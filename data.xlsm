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comments6.xml" ContentType="application/vnd.openxmlformats-officedocument.spreadsheetml.comments+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8.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9" codeName="{00000000-0000-0000-0000-000000000000}"/>
  <workbookPr showInkAnnotation="0" updateLinks="always" codeName="ThisWorkbook" hidePivotFieldList="1" defaultThemeVersion="124226"/>
  <mc:AlternateContent xmlns:mc="http://schemas.openxmlformats.org/markup-compatibility/2006">
    <mc:Choice Requires="x15">
      <x15ac:absPath xmlns:x15ac="http://schemas.microsoft.com/office/spreadsheetml/2010/11/ac" url="https://cummins365-my.sharepoint.com/personal/mt618_cummins_com/Documents/Q3'26/Mangement/Scrum/"/>
    </mc:Choice>
  </mc:AlternateContent>
  <xr:revisionPtr revIDLastSave="0" documentId="8_{1EE92304-884E-427D-8202-153CE2449ECC}" xr6:coauthVersionLast="47" xr6:coauthVersionMax="47" xr10:uidLastSave="{00000000-0000-0000-0000-000000000000}"/>
  <bookViews>
    <workbookView xWindow="28680" yWindow="-120" windowWidth="29040" windowHeight="15720" tabRatio="630" firstSheet="5" activeTab="5" xr2:uid="{00000000-000D-0000-FFFF-FFFF00000000}"/>
  </bookViews>
  <sheets>
    <sheet name="Tracker (2)" sheetId="81" state="hidden" r:id="rId1"/>
    <sheet name="Guidelines" sheetId="37" r:id="rId2"/>
    <sheet name="Team details from Q226Planning" sheetId="76" r:id="rId3"/>
    <sheet name="Team" sheetId="67" r:id="rId4"/>
    <sheet name="% details of Eval &amp; Impl" sheetId="70" r:id="rId5"/>
    <sheet name="Non STLA" sheetId="15" r:id="rId6"/>
    <sheet name="Non_STLA (Planning)" sheetId="86" state="hidden" r:id="rId7"/>
    <sheet name="CSAR_WSR_Graph (Non-STLA)" sheetId="71" r:id="rId8"/>
    <sheet name="STLA" sheetId="83" r:id="rId9"/>
    <sheet name="STLA_Old" sheetId="82" state="hidden" r:id="rId10"/>
    <sheet name="CSAR_WSR_GRAPH ( STLA_Sabre)" sheetId="88" r:id="rId11"/>
    <sheet name="STLA (2)" sheetId="87" r:id="rId12"/>
    <sheet name="Sheet2" sheetId="64" state="hidden" r:id="rId13"/>
    <sheet name="Sheet1" sheetId="63" state="hidden" r:id="rId14"/>
    <sheet name="Sheet9" sheetId="62" state="hidden" r:id="rId15"/>
    <sheet name="Sheet3" sheetId="58" state="hidden" r:id="rId16"/>
    <sheet name="Sheet5" sheetId="56" state="hidden" r:id="rId17"/>
    <sheet name="Sheet6" sheetId="59" state="hidden" r:id="rId18"/>
    <sheet name="Sheet4" sheetId="55" state="hidden" r:id="rId19"/>
    <sheet name="Actio Item Tracker" sheetId="57" state="hidden" r:id="rId20"/>
    <sheet name="Visibility Sheet." sheetId="66" state="hidden" r:id="rId21"/>
    <sheet name="CSAT Matrics" sheetId="40" state="hidden" r:id="rId22"/>
    <sheet name="RASCI" sheetId="36" state="hidden" r:id="rId23"/>
    <sheet name="CSAR_WSR_Graph (STLA_Phantom" sheetId="73" state="hidden" r:id="rId24"/>
    <sheet name="DDP_Plan" sheetId="84" r:id="rId25"/>
    <sheet name="DDP_MS1-5_Plan" sheetId="85" r:id="rId26"/>
  </sheets>
  <externalReferences>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s>
  <definedNames>
    <definedName name="_xlnm._FilterDatabase" localSheetId="24" hidden="1">DDP_Plan!$A$1:$M$38</definedName>
    <definedName name="_xlnm._FilterDatabase" localSheetId="5" hidden="1">'Non STLA'!$A$1:$BL$259</definedName>
    <definedName name="_xlnm._FilterDatabase" localSheetId="6" hidden="1">'Non_STLA (Planning)'!$A$2:$AP$105</definedName>
    <definedName name="_xlnm._FilterDatabase" localSheetId="14" hidden="1">Sheet9!$A$1:$I$273</definedName>
    <definedName name="_xlnm._FilterDatabase" localSheetId="8" hidden="1">STLA!$A$1:$BL$41</definedName>
    <definedName name="_xlnm._FilterDatabase" localSheetId="11" hidden="1">'STLA (2)'!$A$1:$W$32</definedName>
    <definedName name="_xlnm._FilterDatabase" localSheetId="9" hidden="1">STLA_Old!$A$1:$BL$32</definedName>
    <definedName name="_xlnm._FilterDatabase" localSheetId="3" hidden="1">Team!$A$1:$BT$29</definedName>
    <definedName name="_xlnm._FilterDatabase" localSheetId="0" hidden="1">'Tracker (2)'!$A$1:$BL$282</definedName>
    <definedName name="_xlnm._FilterDatabase" localSheetId="20" hidden="1">'Visibility Sheet.'!$A$1:$Q$261</definedName>
    <definedName name="_xlcn.WorksheetConnection_Q225_DCR_Completion_dates.xlsxTable1" hidden="1">[1]!Table1[#Data]</definedName>
    <definedName name="ActHrs" localSheetId="25">#REF!</definedName>
    <definedName name="ActHrs" localSheetId="6">'Non_STLA (Planning)'!#REF!</definedName>
    <definedName name="ActHrs" localSheetId="8">STLA!$B$1</definedName>
    <definedName name="ActHrs" localSheetId="11">#REF!</definedName>
    <definedName name="ActHrs" localSheetId="9">STLA_Old!$B$1</definedName>
    <definedName name="ActHrs" localSheetId="0">'Tracker (2)'!$B$1</definedName>
    <definedName name="ActHrs">'Non STLA'!$B$1</definedName>
    <definedName name="ActualCmplDt" localSheetId="25">#REF!</definedName>
    <definedName name="ActualCmplDt" localSheetId="6">'Non_STLA (Planning)'!#REF!</definedName>
    <definedName name="ActualCmplDt" localSheetId="8">STLA!$AS$1</definedName>
    <definedName name="ActualCmplDt" localSheetId="11">#REF!</definedName>
    <definedName name="ActualCmplDt" localSheetId="9">STLA_Old!$AS$1</definedName>
    <definedName name="ActualCmplDt" localSheetId="0">'Tracker (2)'!$AS$1</definedName>
    <definedName name="ActualCmplDt">'Non STLA'!$AS$1</definedName>
    <definedName name="ActualL2Dt" localSheetId="25">#REF!</definedName>
    <definedName name="ActualL2Dt" localSheetId="6">'Non_STLA (Planning)'!#REF!</definedName>
    <definedName name="ActualL2Dt" localSheetId="8">STLA!$AT$1</definedName>
    <definedName name="ActualL2Dt" localSheetId="11">#REF!</definedName>
    <definedName name="ActualL2Dt" localSheetId="9">STLA_Old!$AT$1</definedName>
    <definedName name="ActualL2Dt" localSheetId="0">'Tracker (2)'!$AT$1</definedName>
    <definedName name="ActualL2Dt">'Non STLA'!$AT$1</definedName>
    <definedName name="APP_ACCEPTED" localSheetId="25">[2]Lookup!$A$19</definedName>
    <definedName name="APP_ACCEPTED">#REF!</definedName>
    <definedName name="APP_DECLINED" localSheetId="25">[2]Lookup!$A$21</definedName>
    <definedName name="APP_DECLINED">#REF!</definedName>
    <definedName name="APP_GEN" localSheetId="25">[2]Lookup!$A$22</definedName>
    <definedName name="APP_GEN">#REF!</definedName>
    <definedName name="APP_JOINED" localSheetId="25">[2]Lookup!$A$25</definedName>
    <definedName name="APP_JOINED">#REF!</definedName>
    <definedName name="APP_L1_CANCEL" localSheetId="25">[2]Lookup!$A$12</definedName>
    <definedName name="APP_L1_CANCEL">#REF!</definedName>
    <definedName name="APP_L1_REJ" localSheetId="25">[2]Lookup!$A$13</definedName>
    <definedName name="APP_L1_REJ">#REF!</definedName>
    <definedName name="APP_L1_SCH" localSheetId="25">[2]Lookup!$A$14</definedName>
    <definedName name="APP_L1_SCH">#REF!</definedName>
    <definedName name="APP_L1_SHRT" localSheetId="25">[2]Lookup!$A$15</definedName>
    <definedName name="APP_L1_SHRT">#REF!</definedName>
    <definedName name="APP_L2_REJ" localSheetId="25">[2]Lookup!$A$16</definedName>
    <definedName name="APP_L2_REJ">#REF!</definedName>
    <definedName name="APP_L2_SCH" localSheetId="25">[2]Lookup!$A$17</definedName>
    <definedName name="APP_L2_SCH">#REF!</definedName>
    <definedName name="APP_NOT_SHRT" localSheetId="25">[2]Lookup!$A$3</definedName>
    <definedName name="APP_NOT_SHRT">#REF!</definedName>
    <definedName name="APP_PENDING" localSheetId="25">[2]Lookup!$A$4</definedName>
    <definedName name="APP_PENDING">#REF!</definedName>
    <definedName name="APP_PREP" localSheetId="25">[2]Lookup!$A$23</definedName>
    <definedName name="APP_PREP">#REF!</definedName>
    <definedName name="APP_PROG" localSheetId="25">[2]Lookup!$A$2</definedName>
    <definedName name="APP_PROG">#REF!</definedName>
    <definedName name="APP_PROPOSED" localSheetId="25">[2]Lookup!$A$24</definedName>
    <definedName name="APP_PROPOSED">#REF!</definedName>
    <definedName name="APP_SCR_PENDING" localSheetId="25">[2]Lookup!$A$5</definedName>
    <definedName name="APP_SCR_PENDING">#REF!</definedName>
    <definedName name="APP_SCR_REJ" localSheetId="25">[2]Lookup!$A$6</definedName>
    <definedName name="APP_SCR_REJ">#REF!</definedName>
    <definedName name="APP_SCR_SHRT" localSheetId="25">[2]Lookup!$A$7</definedName>
    <definedName name="APP_SCR_SHRT">#REF!</definedName>
    <definedName name="APP_SHRT" localSheetId="25">[2]Lookup!$A$8</definedName>
    <definedName name="APP_SHRT">#REF!</definedName>
    <definedName name="APP_WITHDRAWN" localSheetId="25">[2]Lookup!$A$9</definedName>
    <definedName name="APP_WITHDRAWN">#REF!</definedName>
    <definedName name="AssignDt" localSheetId="25">#REF!</definedName>
    <definedName name="AssignDt" localSheetId="6">'Non_STLA (Planning)'!#REF!</definedName>
    <definedName name="AssignDt" localSheetId="8">STLA!$AG$1</definedName>
    <definedName name="AssignDt" localSheetId="11">#REF!</definedName>
    <definedName name="AssignDt" localSheetId="9">STLA_Old!$AG$1</definedName>
    <definedName name="AssignDt" localSheetId="0">'Tracker (2)'!$AG$1</definedName>
    <definedName name="AssignDt">'Non STLA'!$AG$1</definedName>
    <definedName name="AssignDt_Act" localSheetId="25">#REF!</definedName>
    <definedName name="AssignDt_Act" localSheetId="6">'Non_STLA (Planning)'!#REF!</definedName>
    <definedName name="AssignDt_Act" localSheetId="8">STLA!$AF$1</definedName>
    <definedName name="AssignDt_Act" localSheetId="11">#REF!</definedName>
    <definedName name="AssignDt_Act" localSheetId="9">STLA_Old!$AF$1</definedName>
    <definedName name="AssignDt_Act" localSheetId="0">'Tracker (2)'!$AF$1</definedName>
    <definedName name="AssignDt_Act">'Non STLA'!$AF$1</definedName>
    <definedName name="BizHead" localSheetId="25">#REF!</definedName>
    <definedName name="BizHead" localSheetId="6">'Non_STLA (Planning)'!#REF!</definedName>
    <definedName name="BizHead" localSheetId="8">STLA!$AX:$AX</definedName>
    <definedName name="BizHead" localSheetId="11">#REF!</definedName>
    <definedName name="BizHead" localSheetId="9">STLA_Old!$AX:$AX</definedName>
    <definedName name="BizHead" localSheetId="0">'Tracker (2)'!$AX:$AX</definedName>
    <definedName name="BizHead">'Non STLA'!$AX:$AX</definedName>
    <definedName name="CES_clearError_Btn" localSheetId="25">#REF!</definedName>
    <definedName name="CES_clearError_Btn" localSheetId="6">'Non_STLA (Planning)'!#REF!</definedName>
    <definedName name="CES_clearError_Btn" localSheetId="8">STLA!#REF!</definedName>
    <definedName name="CES_clearError_Btn" localSheetId="11">#REF!</definedName>
    <definedName name="CES_clearError_Btn" localSheetId="9">STLA_Old!#REF!</definedName>
    <definedName name="CES_clearError_Btn" localSheetId="0">'Tracker (2)'!#REF!</definedName>
    <definedName name="CES_clearError_Btn" localSheetId="20">#REF!</definedName>
    <definedName name="CES_clearError_Btn">'Non STLA'!#REF!</definedName>
    <definedName name="COL_APP_STATUS" localSheetId="25">'[2]Detailed Timeline Report'!$AT$2:$AT$5000</definedName>
    <definedName name="COL_APP_STATUS">#REF!</definedName>
    <definedName name="COL_REQ_ID" localSheetId="25">'[2]Detailed Timeline Report'!$D$2:$D$5000</definedName>
    <definedName name="COL_REQ_ID">#REF!</definedName>
    <definedName name="CommDate" localSheetId="25">#REF!</definedName>
    <definedName name="CommDate" localSheetId="6">'Non_STLA (Planning)'!#REF!</definedName>
    <definedName name="CommDate" localSheetId="8">STLA!$W$1</definedName>
    <definedName name="CommDate" localSheetId="11">#REF!</definedName>
    <definedName name="CommDate" localSheetId="9">STLA_Old!$W$1</definedName>
    <definedName name="CommDate" localSheetId="0">'Tracker (2)'!$W$1</definedName>
    <definedName name="CommDate">'Non STLA'!$W$1</definedName>
    <definedName name="Comments" localSheetId="25">#REF!</definedName>
    <definedName name="Comments" localSheetId="6">'Non_STLA (Planning)'!#REF!</definedName>
    <definedName name="Comments" localSheetId="8">STLA!$N$1</definedName>
    <definedName name="Comments" localSheetId="11">#REF!</definedName>
    <definedName name="Comments" localSheetId="9">STLA_Old!$N$1</definedName>
    <definedName name="Comments" localSheetId="0">'Tracker (2)'!$N$1</definedName>
    <definedName name="Comments">'Non STLA'!$N$1</definedName>
    <definedName name="CQPRState" localSheetId="25">#REF!</definedName>
    <definedName name="CQPRState" localSheetId="6">'Non_STLA (Planning)'!#REF!</definedName>
    <definedName name="CQPRState" localSheetId="8">STLA!$L:$L</definedName>
    <definedName name="CQPRState" localSheetId="11">#REF!</definedName>
    <definedName name="CQPRState" localSheetId="9">STLA_Old!$L:$L</definedName>
    <definedName name="CQPRState" localSheetId="0">'Tracker (2)'!$L:$L</definedName>
    <definedName name="CQPRState">'Non STLA'!$L:$L</definedName>
    <definedName name="DCR_ID" localSheetId="25">#REF!</definedName>
    <definedName name="DCR_ID" localSheetId="6">'Non_STLA (Planning)'!#REF!</definedName>
    <definedName name="DCR_ID" localSheetId="8">STLA!$H$1</definedName>
    <definedName name="DCR_ID" localSheetId="11">#REF!</definedName>
    <definedName name="DCR_ID" localSheetId="9">STLA_Old!$H$1</definedName>
    <definedName name="DCR_ID" localSheetId="0">'Tracker (2)'!$H$1</definedName>
    <definedName name="DCR_ID">'Non STLA'!$H$1</definedName>
    <definedName name="DCR_Status" localSheetId="25">[3]Values_Guidelines_KRA!$B$2:$B$20</definedName>
    <definedName name="DCR_Status">#REF!</definedName>
    <definedName name="DCRPhase" localSheetId="25">#REF!</definedName>
    <definedName name="DCRPhase" localSheetId="6">'Non_STLA (Planning)'!#REF!</definedName>
    <definedName name="DCRPhase" localSheetId="8">STLA!$F$1</definedName>
    <definedName name="DCRPhase" localSheetId="11">#REF!</definedName>
    <definedName name="DCRPhase" localSheetId="9">STLA_Old!$F$1</definedName>
    <definedName name="DCRPhase" localSheetId="0">'Tracker (2)'!$F$1</definedName>
    <definedName name="DCRPhase">'Non STLA'!$F$1</definedName>
    <definedName name="DCRPrj" localSheetId="25">#REF!</definedName>
    <definedName name="DCRPrj" localSheetId="6">'Non_STLA (Planning)'!#REF!</definedName>
    <definedName name="DCRPrj" localSheetId="8">STLA!$AK$1</definedName>
    <definedName name="DCRPrj" localSheetId="11">#REF!</definedName>
    <definedName name="DCRPrj" localSheetId="9">STLA_Old!$AK$1</definedName>
    <definedName name="DCRPrj" localSheetId="0">'Tracker (2)'!$AK$1</definedName>
    <definedName name="DCRPrj">'Non STLA'!$AK$1</definedName>
    <definedName name="DCRState" localSheetId="25">#REF!</definedName>
    <definedName name="DCRState" localSheetId="6">'Non_STLA (Planning)'!#REF!</definedName>
    <definedName name="DCRState" localSheetId="8">STLA!$AH$1</definedName>
    <definedName name="DCRState" localSheetId="11">#REF!</definedName>
    <definedName name="DCRState" localSheetId="9">STLA_Old!$AH$1</definedName>
    <definedName name="DCRState" localSheetId="0">'Tracker (2)'!$AH$1</definedName>
    <definedName name="DCRState">'Non STLA'!$AH$1</definedName>
    <definedName name="DCRstatenote" localSheetId="25">#REF!</definedName>
    <definedName name="DCRstatenote" localSheetId="6">'Non_STLA (Planning)'!#REF!</definedName>
    <definedName name="DCRstatenote" localSheetId="8">STLA!$L$1</definedName>
    <definedName name="DCRstatenote" localSheetId="11">#REF!</definedName>
    <definedName name="DCRstatenote" localSheetId="9">STLA_Old!$L$1</definedName>
    <definedName name="DCRstatenote" localSheetId="0">'Tracker (2)'!$L$1</definedName>
    <definedName name="DCRstatenote">'Non STLA'!$L$1</definedName>
    <definedName name="DCRType" localSheetId="25">#REF!</definedName>
    <definedName name="DCRType" localSheetId="6">'Non_STLA (Planning)'!#REF!</definedName>
    <definedName name="DCRType" localSheetId="8">STLA!$AI$1</definedName>
    <definedName name="DCRType" localSheetId="11">#REF!</definedName>
    <definedName name="DCRType" localSheetId="9">STLA_Old!$AI$1</definedName>
    <definedName name="DCRType" localSheetId="0">'Tracker (2)'!$AI$1</definedName>
    <definedName name="DCRType">'Non STLA'!$AI$1</definedName>
    <definedName name="Deadline4phase" localSheetId="25">#REF!</definedName>
    <definedName name="Deadline4phase" localSheetId="6">'Non_STLA (Planning)'!#REF!</definedName>
    <definedName name="Deadline4phase" localSheetId="8">STLA!$AB$1</definedName>
    <definedName name="Deadline4phase" localSheetId="11">#REF!</definedName>
    <definedName name="Deadline4phase" localSheetId="9">STLA_Old!$AB$1</definedName>
    <definedName name="Deadline4phase" localSheetId="0">'Tracker (2)'!$AB$1</definedName>
    <definedName name="Deadline4phase">'Non STLA'!$AB$1</definedName>
    <definedName name="delayedNewDate" localSheetId="25">#REF!</definedName>
    <definedName name="delayedNewDate" localSheetId="6">'Non_STLA (Planning)'!#REF!</definedName>
    <definedName name="delayedNewDate" localSheetId="8">STLA!$BW$1</definedName>
    <definedName name="delayedNewDate" localSheetId="11">#REF!</definedName>
    <definedName name="delayedNewDate" localSheetId="9">STLA_Old!$BW$1</definedName>
    <definedName name="delayedNewDate" localSheetId="0">'Tracker (2)'!$BW$1</definedName>
    <definedName name="delayedNewDate">'Non STLA'!$BW$1</definedName>
    <definedName name="Doc" localSheetId="25">[4]Sheet1!$A$1:$A$4</definedName>
    <definedName name="Doc">#REF!</definedName>
    <definedName name="DUR" localSheetId="25">[4]Sheet1!$A$1:$A$3</definedName>
    <definedName name="DUR">#REF!</definedName>
    <definedName name="EstmHrs" localSheetId="25">#REF!</definedName>
    <definedName name="EstmHrs" localSheetId="6">'Non_STLA (Planning)'!#REF!</definedName>
    <definedName name="EstmHrs" localSheetId="8">STLA!$C$1</definedName>
    <definedName name="EstmHrs" localSheetId="11">#REF!</definedName>
    <definedName name="EstmHrs" localSheetId="9">STLA_Old!$C$1</definedName>
    <definedName name="EstmHrs" localSheetId="0">'Tracker (2)'!$C$1</definedName>
    <definedName name="EstmHrs">'Non STLA'!$C$1</definedName>
    <definedName name="EstTime_Cl" localSheetId="25">#REF!</definedName>
    <definedName name="EstTime_Cl" localSheetId="6">'Non_STLA (Planning)'!#REF!</definedName>
    <definedName name="EstTime_Cl" localSheetId="8">STLA!$C:$C</definedName>
    <definedName name="EstTime_Cl" localSheetId="11">#REF!</definedName>
    <definedName name="EstTime_Cl" localSheetId="9">STLA_Old!$C:$C</definedName>
    <definedName name="EstTime_Cl" localSheetId="0">'Tracker (2)'!$C:$C</definedName>
    <definedName name="EstTime_Cl" localSheetId="20">#REF!</definedName>
    <definedName name="EstTime_Cl">'Non STLA'!$C:$C</definedName>
    <definedName name="Feedback_Awaited" localSheetId="25">#REF!</definedName>
    <definedName name="Feedback_Awaited" localSheetId="6">'Non_STLA (Planning)'!#REF!</definedName>
    <definedName name="Feedback_Awaited" localSheetId="8">STLA!$U$1</definedName>
    <definedName name="Feedback_Awaited" localSheetId="11">#REF!</definedName>
    <definedName name="Feedback_Awaited" localSheetId="9">STLA_Old!$U$1</definedName>
    <definedName name="Feedback_Awaited" localSheetId="0">'Tracker (2)'!$U$1</definedName>
    <definedName name="Feedback_Awaited">'Non STLA'!$U$1</definedName>
    <definedName name="Fmt_Rng" localSheetId="25">[5]References!$A$10:$B$34</definedName>
    <definedName name="Fmt_Rng">#REF!</definedName>
    <definedName name="IntOwnerCol" localSheetId="25">#REF!</definedName>
    <definedName name="IntOwnerCol" localSheetId="6">'Non_STLA (Planning)'!$AI:$AI</definedName>
    <definedName name="IntOwnerCol" localSheetId="8">STLA!$M:$M</definedName>
    <definedName name="IntOwnerCol" localSheetId="11">#REF!</definedName>
    <definedName name="IntOwnerCol" localSheetId="9">STLA_Old!$M:$M</definedName>
    <definedName name="IntOwnerCol" localSheetId="0">'Tracker (2)'!$M:$M</definedName>
    <definedName name="IntOwnerCol" localSheetId="20">#REF!</definedName>
    <definedName name="IntOwnerCol">'Non STLA'!$M:$M</definedName>
    <definedName name="L2RespnseDt" localSheetId="25">#REF!</definedName>
    <definedName name="L2RespnseDt" localSheetId="6">'Non_STLA (Planning)'!#REF!</definedName>
    <definedName name="L2RespnseDt" localSheetId="8">STLA!$AU$1</definedName>
    <definedName name="L2RespnseDt" localSheetId="11">#REF!</definedName>
    <definedName name="L2RespnseDt" localSheetId="9">STLA_Old!$AU$1</definedName>
    <definedName name="L2RespnseDt" localSheetId="0">'Tracker (2)'!$AU$1</definedName>
    <definedName name="L2RespnseDt">'Non STLA'!$AU$1</definedName>
    <definedName name="L2SentTo" localSheetId="25">#REF!</definedName>
    <definedName name="L2SentTo" localSheetId="6">'Non_STLA (Planning)'!#REF!</definedName>
    <definedName name="L2SentTo" localSheetId="8">STLA!$AV$1</definedName>
    <definedName name="L2SentTo" localSheetId="11">#REF!</definedName>
    <definedName name="L2SentTo" localSheetId="9">STLA_Old!$AV$1</definedName>
    <definedName name="L2SentTo" localSheetId="0">'Tracker (2)'!$AV$1</definedName>
    <definedName name="L2SentTo">'Non STLA'!$AV$1</definedName>
    <definedName name="NeedDate" localSheetId="25">#REF!</definedName>
    <definedName name="NeedDate" localSheetId="6">'Non_STLA (Planning)'!#REF!</definedName>
    <definedName name="NeedDate" localSheetId="8">STLA!$AJ$1</definedName>
    <definedName name="NeedDate" localSheetId="11">#REF!</definedName>
    <definedName name="NeedDate" localSheetId="9">STLA_Old!$AJ$1</definedName>
    <definedName name="NeedDate" localSheetId="0">'Tracker (2)'!$AJ$1</definedName>
    <definedName name="NeedDate">'Non STLA'!$AJ$1</definedName>
    <definedName name="Owner" localSheetId="25">#REF!</definedName>
    <definedName name="Owner" localSheetId="6">'Non_STLA (Planning)'!#REF!</definedName>
    <definedName name="Owner" localSheetId="8">STLA!$A$1</definedName>
    <definedName name="Owner" localSheetId="11">#REF!</definedName>
    <definedName name="Owner" localSheetId="9">STLA_Old!$A$1</definedName>
    <definedName name="Owner" localSheetId="0">'Tracker (2)'!$A$1</definedName>
    <definedName name="Owner">'Non STLA'!$A$1</definedName>
    <definedName name="Plan4Quarter" localSheetId="25">#REF!</definedName>
    <definedName name="Plan4Quarter" localSheetId="6">'Non_STLA (Planning)'!#REF!</definedName>
    <definedName name="Plan4Quarter" localSheetId="8">STLA!$BY$1</definedName>
    <definedName name="Plan4Quarter" localSheetId="11">#REF!</definedName>
    <definedName name="Plan4Quarter" localSheetId="9">STLA_Old!$BY$1</definedName>
    <definedName name="Plan4Quarter" localSheetId="0">'Tracker (2)'!$BY$1</definedName>
    <definedName name="Plan4Quarter">'Non STLA'!$BY$1</definedName>
    <definedName name="PlannedCmplDate" localSheetId="25">#REF!</definedName>
    <definedName name="PlannedCmplDate" localSheetId="6">'Non_STLA (Planning)'!#REF!</definedName>
    <definedName name="PlannedCmplDate" localSheetId="8">STLA!$AO$1</definedName>
    <definedName name="PlannedCmplDate" localSheetId="11">#REF!</definedName>
    <definedName name="PlannedCmplDate" localSheetId="9">STLA_Old!$AO$1</definedName>
    <definedName name="PlannedCmplDate" localSheetId="0">'Tracker (2)'!$AO$1</definedName>
    <definedName name="PlannedCmplDate">'Non STLA'!$AO$1</definedName>
    <definedName name="PRCR_Status" localSheetId="25">[6]Values!$A$2:$A$15</definedName>
    <definedName name="PRCR_Status">#REF!</definedName>
    <definedName name="PRCRActStat" localSheetId="25">#REF!</definedName>
    <definedName name="PRCRActStat" localSheetId="6">'Non_STLA (Planning)'!#REF!</definedName>
    <definedName name="PRCRActStat" localSheetId="8">STLA!$O:$O</definedName>
    <definedName name="PRCRActStat" localSheetId="11">#REF!</definedName>
    <definedName name="PRCRActStat" localSheetId="9">STLA_Old!$O:$O</definedName>
    <definedName name="PRCRActStat" localSheetId="0">'Tracker (2)'!$O:$O</definedName>
    <definedName name="PRCRActStat" localSheetId="20">#REF!</definedName>
    <definedName name="PRCRActStat">'Non STLA'!$O:$O</definedName>
    <definedName name="PRCRID" localSheetId="25">#REF!</definedName>
    <definedName name="PRCRID" localSheetId="6">'Non_STLA (Planning)'!#REF!</definedName>
    <definedName name="PRCRID" localSheetId="8">STLA!$I$1</definedName>
    <definedName name="PRCRID" localSheetId="11">#REF!</definedName>
    <definedName name="PRCRID" localSheetId="9">STLA_Old!$I$1</definedName>
    <definedName name="PRCRID" localSheetId="0">'Tracker (2)'!$I$1</definedName>
    <definedName name="PRCRID">'Non STLA'!$I$1</definedName>
    <definedName name="PRCRID_G" localSheetId="25">#REF!</definedName>
    <definedName name="PRCRID_G" localSheetId="6">'Non_STLA (Planning)'!#REF!</definedName>
    <definedName name="PRCRID_G" localSheetId="8">STLA!$I:$I</definedName>
    <definedName name="PRCRID_G" localSheetId="11">#REF!</definedName>
    <definedName name="PRCRID_G" localSheetId="9">STLA_Old!$I:$I</definedName>
    <definedName name="PRCRID_G" localSheetId="0">'Tracker (2)'!$I:$I</definedName>
    <definedName name="PRCRID_G">'Non STLA'!$I:$I</definedName>
    <definedName name="PRCRState" localSheetId="25">#REF!</definedName>
    <definedName name="PRCRState" localSheetId="6">'Non_STLA (Planning)'!#REF!</definedName>
    <definedName name="PRCRState" localSheetId="8">STLA!$K$1</definedName>
    <definedName name="PRCRState" localSheetId="11">#REF!</definedName>
    <definedName name="PRCRState" localSheetId="9">STLA_Old!$K$1</definedName>
    <definedName name="PRCRState" localSheetId="0">'Tracker (2)'!$K$1</definedName>
    <definedName name="PRCRState">'Non STLA'!$K$1</definedName>
    <definedName name="PRCRStatus" localSheetId="25">#REF!</definedName>
    <definedName name="PRCRStatus" localSheetId="6">'Non_STLA (Planning)'!#REF!</definedName>
    <definedName name="PRCRStatus" localSheetId="8">STLA!$O$1</definedName>
    <definedName name="PRCRStatus" localSheetId="11">#REF!</definedName>
    <definedName name="PRCRStatus" localSheetId="9">STLA_Old!$O$1</definedName>
    <definedName name="PRCRStatus" localSheetId="0">'Tracker (2)'!$O$1</definedName>
    <definedName name="PRCRStatus">'Non STLA'!$O$1</definedName>
    <definedName name="PRCRSubmitDt" localSheetId="25">#REF!</definedName>
    <definedName name="PRCRSubmitDt" localSheetId="6">'Non_STLA (Planning)'!#REF!</definedName>
    <definedName name="PRCRSubmitDt" localSheetId="8">STLA!$AL$1</definedName>
    <definedName name="PRCRSubmitDt" localSheetId="11">#REF!</definedName>
    <definedName name="PRCRSubmitDt" localSheetId="9">STLA_Old!$AL$1</definedName>
    <definedName name="PRCRSubmitDt" localSheetId="0">'Tracker (2)'!$AL$1</definedName>
    <definedName name="PRCRSubmitDt">'Non STLA'!$AL$1</definedName>
    <definedName name="_xlnm.Print_Area" localSheetId="6">'Non_STLA (Planning)'!$B$3:$AI$46</definedName>
    <definedName name="Priority" localSheetId="25">#REF!</definedName>
    <definedName name="Priority" localSheetId="6">'Non_STLA (Planning)'!#REF!</definedName>
    <definedName name="Priority" localSheetId="8">STLA!$AD$1</definedName>
    <definedName name="Priority" localSheetId="11">#REF!</definedName>
    <definedName name="Priority" localSheetId="9">STLA_Old!$AD$1</definedName>
    <definedName name="Priority" localSheetId="0">'Tracker (2)'!$AD$1</definedName>
    <definedName name="Priority">'Non STLA'!$AD$1</definedName>
    <definedName name="Project" localSheetId="25">#REF!</definedName>
    <definedName name="Project" localSheetId="6">'Non_STLA (Planning)'!#REF!</definedName>
    <definedName name="Project" localSheetId="8">STLA!$AX$1</definedName>
    <definedName name="Project" localSheetId="11">#REF!</definedName>
    <definedName name="Project" localSheetId="9">STLA_Old!$AX$1</definedName>
    <definedName name="Project" localSheetId="0">'Tracker (2)'!$AX$1</definedName>
    <definedName name="Project">'Non STLA'!$AX$1</definedName>
    <definedName name="Reason4AssignLate" localSheetId="25">#REF!</definedName>
    <definedName name="Reason4AssignLate" localSheetId="6">'Non_STLA (Planning)'!#REF!</definedName>
    <definedName name="Reason4AssignLate" localSheetId="8">STLA!$BA$1</definedName>
    <definedName name="Reason4AssignLate" localSheetId="11">#REF!</definedName>
    <definedName name="Reason4AssignLate" localSheetId="9">STLA_Old!$BA$1</definedName>
    <definedName name="Reason4AssignLate" localSheetId="0">'Tracker (2)'!$BA$1</definedName>
    <definedName name="Reason4AssignLate">'Non STLA'!$BA$1</definedName>
    <definedName name="Reason4Delay" localSheetId="25">#REF!</definedName>
    <definedName name="Reason4Delay" localSheetId="6">'Non_STLA (Planning)'!#REF!</definedName>
    <definedName name="Reason4Delay" localSheetId="8">STLA!$AZ$1</definedName>
    <definedName name="Reason4Delay" localSheetId="11">#REF!</definedName>
    <definedName name="Reason4Delay" localSheetId="9">STLA_Old!$AZ$1</definedName>
    <definedName name="Reason4Delay" localSheetId="0">'Tracker (2)'!$AZ$1</definedName>
    <definedName name="Reason4Delay">'Non STLA'!$AZ$1</definedName>
    <definedName name="Reasonfordelay" localSheetId="25">#REF!</definedName>
    <definedName name="Reasonfordelay" localSheetId="6">'Non_STLA (Planning)'!#REF!</definedName>
    <definedName name="Reasonfordelay" localSheetId="8">STLA!$BZ$1</definedName>
    <definedName name="Reasonfordelay" localSheetId="11">#REF!</definedName>
    <definedName name="Reasonfordelay" localSheetId="9">STLA_Old!$BZ$1</definedName>
    <definedName name="Reasonfordelay" localSheetId="0">'Tracker (2)'!$BZ$1</definedName>
    <definedName name="Reasonfordelay">'Non STLA'!$BZ$1</definedName>
    <definedName name="ReqByPhase" localSheetId="25">#REF!</definedName>
    <definedName name="ReqByPhase" localSheetId="6">'Non_STLA (Planning)'!#REF!</definedName>
    <definedName name="ReqByPhase" localSheetId="8">STLA!$G$1</definedName>
    <definedName name="ReqByPhase" localSheetId="11">#REF!</definedName>
    <definedName name="ReqByPhase" localSheetId="9">STLA_Old!$G$1</definedName>
    <definedName name="ReqByPhase" localSheetId="0">'Tracker (2)'!$G$1</definedName>
    <definedName name="ReqByPhase">'Non STLA'!$G$1</definedName>
    <definedName name="Responsible" localSheetId="25">#REF!</definedName>
    <definedName name="Responsible" localSheetId="6">'Non_STLA (Planning)'!#REF!</definedName>
    <definedName name="Responsible" localSheetId="8">STLA!$V$1</definedName>
    <definedName name="Responsible" localSheetId="11">#REF!</definedName>
    <definedName name="Responsible" localSheetId="9">STLA_Old!$V$1</definedName>
    <definedName name="Responsible" localSheetId="0">'Tracker (2)'!$V$1</definedName>
    <definedName name="Responsible">'Non STLA'!$V$1</definedName>
    <definedName name="RmnHrs" localSheetId="25">#REF!</definedName>
    <definedName name="RmnHrs" localSheetId="6">'Non_STLA (Planning)'!#REF!</definedName>
    <definedName name="RmnHrs" localSheetId="8">STLA!$D$1</definedName>
    <definedName name="RmnHrs" localSheetId="11">#REF!</definedName>
    <definedName name="RmnHrs" localSheetId="9">STLA_Old!$D$1</definedName>
    <definedName name="RmnHrs" localSheetId="0">'Tracker (2)'!$D$1</definedName>
    <definedName name="RmnHrs">'Non STLA'!$D$1</definedName>
    <definedName name="SevIndx" localSheetId="25">[5]References!$A$1:$B$6</definedName>
    <definedName name="SevIndx">#REF!</definedName>
    <definedName name="SevLst" localSheetId="25">[5]References!$A$1:$A$6</definedName>
    <definedName name="SevLst">#REF!</definedName>
    <definedName name="Sheet_BoschSCRFaultStatusMessage.Range_SignalDCU" localSheetId="25">#REF!</definedName>
    <definedName name="Sheet_BoschSCRFaultStatusMessage.Range_SignalDCU">#REF!</definedName>
    <definedName name="Sheet_ErrorsInBuild.Range_Component">[7]ErrorsInBuild!$B$3:$B$65536</definedName>
    <definedName name="Sheet_ErrorsInBuild.Range_ErrorName">[7]ErrorsInBuild!$D$3:$D$65536</definedName>
    <definedName name="Sheet_MasterDiagnosticList.Range_AlgorithmIDCalculated" localSheetId="25">#REF!</definedName>
    <definedName name="Sheet_MasterDiagnosticList.Range_AlgorithmIDCalculated">#REF!</definedName>
    <definedName name="Sheet_MasterDiagnosticList.Range_ComponentSystemName" localSheetId="25">#REF!</definedName>
    <definedName name="Sheet_MasterDiagnosticList.Range_ComponentSystemName">#REF!</definedName>
    <definedName name="Sheet_MasterDiagnosticList.Range_FailureMode" localSheetId="25">#REF!</definedName>
    <definedName name="Sheet_MasterDiagnosticList.Range_FailureMode">#REF!</definedName>
    <definedName name="Sheet_MasterDiagnosticList.Range_HandoffDatePostStep8" localSheetId="25">#REF!</definedName>
    <definedName name="Sheet_MasterDiagnosticList.Range_HandoffDatePostStep8">#REF!</definedName>
    <definedName name="Sheet_MasterDiagnosticList.Range_Milestone4ReviewDatePostStep6" localSheetId="25">#REF!</definedName>
    <definedName name="Sheet_MasterDiagnosticList.Range_Milestone4ReviewDatePostStep6">#REF!</definedName>
    <definedName name="Sheet_MasterDiagnosticList.Range_MS4ReviewActual" localSheetId="25">#REF!</definedName>
    <definedName name="Sheet_MasterDiagnosticList.Range_MS4ReviewActual">#REF!</definedName>
    <definedName name="Sheet_MasterDiagnosticList.Range_MS5ReviewActual" localSheetId="25">#REF!</definedName>
    <definedName name="Sheet_MasterDiagnosticList.Range_MS5ReviewActual">#REF!</definedName>
    <definedName name="sk_col_num_role" localSheetId="10">MATCH(stream,Tbl_roleHeaders,0)</definedName>
    <definedName name="sk_col_num_role" localSheetId="25">MATCH('DDP_MS1-5_Plan'!stream,'DDP_MS1-5_Plan'!Tbl_roleHeaders,0)</definedName>
    <definedName name="sk_col_num_role" localSheetId="6">MATCH(stream,Tbl_roleHeaders,0)</definedName>
    <definedName name="sk_col_num_role" localSheetId="11">MATCH(stream,Tbl_roleHeaders,0)</definedName>
    <definedName name="sk_col_num_role" localSheetId="9">MATCH(stream,Tbl_roleHeaders,0)</definedName>
    <definedName name="sk_col_num_role">MATCH(stream,Tbl_roleHeaders,0)</definedName>
    <definedName name="sk_col_num_skillgrp">#N/A</definedName>
    <definedName name="sk_col_role" localSheetId="10">INDEX(Tbl_role,,'CSAR_WSR_GRAPH ( STLA_Sabre)'!sk_col_num_role)</definedName>
    <definedName name="sk_col_role" localSheetId="25">INDEX('DDP_MS1-5_Plan'!Tbl_role,,'DDP_MS1-5_Plan'!sk_col_num_role)</definedName>
    <definedName name="sk_col_role" localSheetId="6">INDEX(Tbl_role,,'Non_STLA (Planning)'!sk_col_num_role)</definedName>
    <definedName name="sk_col_role" localSheetId="11">INDEX(Tbl_role,,'STLA (2)'!sk_col_num_role)</definedName>
    <definedName name="sk_col_role" localSheetId="9">INDEX(Tbl_role,,STLA_Old!sk_col_num_role)</definedName>
    <definedName name="sk_col_role">INDEX(Tbl_role,,sk_col_num_role)</definedName>
    <definedName name="sk_col_skillgrp" localSheetId="10">INDEX(Tbl_skill,,sk_col_num_skillgrp)</definedName>
    <definedName name="sk_col_skillgrp" localSheetId="25">INDEX('DDP_MS1-5_Plan'!Tbl_skill,,sk_col_num_skillgrp)</definedName>
    <definedName name="sk_col_skillgrp" localSheetId="6">INDEX(Tbl_skill,,sk_col_num_skillgrp)</definedName>
    <definedName name="sk_col_skillgrp" localSheetId="11">INDEX(Tbl_skill,,sk_col_num_skillgrp)</definedName>
    <definedName name="sk_col_skillgrp" localSheetId="9">INDEX(Tbl_skill,,sk_col_num_skillgrp)</definedName>
    <definedName name="sk_col_skillgrp">INDEX(Tbl_skill,,sk_col_num_skillgrp)</definedName>
    <definedName name="sk_role" localSheetId="10">INDEX(Tbl_role,1,'CSAR_WSR_GRAPH ( STLA_Sabre)'!sk_col_num_role) : INDEX(Tbl_role, COUNTA('CSAR_WSR_GRAPH ( STLA_Sabre)'!sk_col_role), 'CSAR_WSR_GRAPH ( STLA_Sabre)'!sk_col_num_role)</definedName>
    <definedName name="sk_role" localSheetId="25">INDEX('DDP_MS1-5_Plan'!Tbl_role,1,'DDP_MS1-5_Plan'!sk_col_num_role) : INDEX('DDP_MS1-5_Plan'!Tbl_role, COUNTA('DDP_MS1-5_Plan'!sk_col_role), 'DDP_MS1-5_Plan'!sk_col_num_role)</definedName>
    <definedName name="sk_role" localSheetId="6">INDEX(Tbl_role,1,'Non_STLA (Planning)'!sk_col_num_role) : INDEX(Tbl_role, COUNTA('Non_STLA (Planning)'!sk_col_role), 'Non_STLA (Planning)'!sk_col_num_role)</definedName>
    <definedName name="sk_role" localSheetId="11">INDEX(Tbl_role,1,'STLA (2)'!sk_col_num_role) : INDEX(Tbl_role, COUNTA('STLA (2)'!sk_col_role), 'STLA (2)'!sk_col_num_role)</definedName>
    <definedName name="sk_role" localSheetId="9">INDEX(Tbl_role,1,STLA_Old!sk_col_num_role) : INDEX(Tbl_role, COUNTA(STLA_Old!sk_col_role), STLA_Old!sk_col_num_role)</definedName>
    <definedName name="sk_role">INDEX(Tbl_role,1,sk_col_num_role) : INDEX(Tbl_role, COUNTA(sk_col_role), sk_col_num_role)</definedName>
    <definedName name="sk_skillgrp" localSheetId="10">INDEX(Tbl_skill,1,sk_col_num_skillgrp) : INDEX(Tbl_skill, COUNTA('CSAR_WSR_GRAPH ( STLA_Sabre)'!sk_col_skillgrp), sk_col_num_skillgrp)</definedName>
    <definedName name="sk_skillgrp" localSheetId="25">INDEX('DDP_MS1-5_Plan'!Tbl_skill,1,sk_col_num_skillgrp) : INDEX('DDP_MS1-5_Plan'!Tbl_skill, COUNTA('DDP_MS1-5_Plan'!sk_col_skillgrp), sk_col_num_skillgrp)</definedName>
    <definedName name="sk_skillgrp" localSheetId="6">INDEX(Tbl_skill,1,sk_col_num_skillgrp) : INDEX(Tbl_skill, COUNTA('Non_STLA (Planning)'!sk_col_skillgrp), sk_col_num_skillgrp)</definedName>
    <definedName name="sk_skillgrp" localSheetId="11">INDEX(Tbl_skill,1,sk_col_num_skillgrp) : INDEX(Tbl_skill, COUNTA('STLA (2)'!sk_col_skillgrp), sk_col_num_skillgrp)</definedName>
    <definedName name="sk_skillgrp" localSheetId="9">INDEX(Tbl_skill,1,sk_col_num_skillgrp) : INDEX(Tbl_skill, COUNTA(STLA_Old!sk_col_skillgrp), sk_col_num_skillgrp)</definedName>
    <definedName name="sk_skillgrp">INDEX(Tbl_skill,1,sk_col_num_skillgrp) : INDEX(Tbl_skill, COUNTA(sk_col_skillgrp), sk_col_num_skillgrp)</definedName>
    <definedName name="Sprint" localSheetId="25">#REF!</definedName>
    <definedName name="Sprint" localSheetId="6">'Non_STLA (Planning)'!#REF!</definedName>
    <definedName name="Sprint" localSheetId="8">STLA!$AA$1</definedName>
    <definedName name="Sprint" localSheetId="11">#REF!</definedName>
    <definedName name="Sprint" localSheetId="9">STLA_Old!$AA$1</definedName>
    <definedName name="Sprint" localSheetId="0">'Tracker (2)'!$AA$1</definedName>
    <definedName name="Sprint">'Non STLA'!$AA$1</definedName>
    <definedName name="st_grade" localSheetId="10">INDEX(Tbl_grade,MATCH(stream_role_join,Tbl_stream_role_join, 0)) : INDEX(Tbl_grade,MATCH(stream_role_join,Tbl_stream_role_join, 0)+COUNTIF(Tbl_stream_role_join,stream_role_join)-1)</definedName>
    <definedName name="st_grade" localSheetId="25">INDEX('DDP_MS1-5_Plan'!Tbl_grade,MATCH('DDP_MS1-5_Plan'!stream_role_join,'DDP_MS1-5_Plan'!Tbl_stream_role_join, 0)) : INDEX('DDP_MS1-5_Plan'!Tbl_grade,MATCH('DDP_MS1-5_Plan'!stream_role_join,'DDP_MS1-5_Plan'!Tbl_stream_role_join, 0)+COUNTIF('DDP_MS1-5_Plan'!Tbl_stream_role_join,'DDP_MS1-5_Plan'!stream_role_join)-1)</definedName>
    <definedName name="st_grade" localSheetId="6">INDEX(Tbl_grade,MATCH(stream_role_join,Tbl_stream_role_join, 0)) : INDEX(Tbl_grade,MATCH(stream_role_join,Tbl_stream_role_join, 0)+COUNTIF(Tbl_stream_role_join,stream_role_join)-1)</definedName>
    <definedName name="st_grade" localSheetId="11">INDEX(Tbl_grade,MATCH(stream_role_join,Tbl_stream_role_join, 0)) : INDEX(Tbl_grade,MATCH(stream_role_join,Tbl_stream_role_join, 0)+COUNTIF(Tbl_stream_role_join,stream_role_join)-1)</definedName>
    <definedName name="st_grade" localSheetId="9">INDEX(Tbl_grade,MATCH(stream_role_join,Tbl_stream_role_join, 0)) : INDEX(Tbl_grade,MATCH(stream_role_join,Tbl_stream_role_join, 0)+COUNTIF(Tbl_stream_role_join,stream_role_join)-1)</definedName>
    <definedName name="st_grade">INDEX(Tbl_grade,MATCH(stream_role_join,Tbl_stream_role_join, 0)) : INDEX(Tbl_grade,MATCH(stream_role_join,Tbl_stream_role_join, 0)+COUNTIF(Tbl_stream_role_join,stream_role_join)-1)</definedName>
    <definedName name="st_primary_skill" localSheetId="10">INDEX(Tbl_Primary_Skill,MATCH(stream_skill_join,Tbl_Stream_Skill_join, 0)) : INDEX(Tbl_Primary_Skill,MATCH(stream_skill_join,Tbl_Stream_Skill_join, 0)+COUNTIF(Tbl_Stream_Skill_join,stream_skill_join)-1)</definedName>
    <definedName name="st_primary_skill" localSheetId="25">INDEX('DDP_MS1-5_Plan'!Tbl_Primary_Skill,MATCH('DDP_MS1-5_Plan'!stream_skill_join,'DDP_MS1-5_Plan'!Tbl_Stream_Skill_join, 0)) : INDEX('DDP_MS1-5_Plan'!Tbl_Primary_Skill,MATCH('DDP_MS1-5_Plan'!stream_skill_join,'DDP_MS1-5_Plan'!Tbl_Stream_Skill_join, 0)+COUNTIF('DDP_MS1-5_Plan'!Tbl_Stream_Skill_join,'DDP_MS1-5_Plan'!stream_skill_join)-1)</definedName>
    <definedName name="st_primary_skill" localSheetId="6">INDEX(Tbl_Primary_Skill,MATCH(stream_skill_join,Tbl_Stream_Skill_join, 0)) : INDEX(Tbl_Primary_Skill,MATCH(stream_skill_join,Tbl_Stream_Skill_join, 0)+COUNTIF(Tbl_Stream_Skill_join,stream_skill_join)-1)</definedName>
    <definedName name="st_primary_skill" localSheetId="11">INDEX(Tbl_Primary_Skill,MATCH(stream_skill_join,Tbl_Stream_Skill_join, 0)) : INDEX(Tbl_Primary_Skill,MATCH(stream_skill_join,Tbl_Stream_Skill_join, 0)+COUNTIF(Tbl_Stream_Skill_join,stream_skill_join)-1)</definedName>
    <definedName name="st_primary_skill" localSheetId="9">INDEX(Tbl_Primary_Skill,MATCH(stream_skill_join,Tbl_Stream_Skill_join, 0)) : INDEX(Tbl_Primary_Skill,MATCH(stream_skill_join,Tbl_Stream_Skill_join, 0)+COUNTIF(Tbl_Stream_Skill_join,stream_skill_join)-1)</definedName>
    <definedName name="st_primary_skill">INDEX(Tbl_Primary_Skill,MATCH(stream_skill_join,Tbl_Stream_Skill_join, 0)) : INDEX(Tbl_Primary_Skill,MATCH(stream_skill_join,Tbl_Stream_Skill_join, 0)+COUNTIF(Tbl_Stream_Skill_join,stream_skill_join)-1)</definedName>
    <definedName name="Status" localSheetId="25">[8]Lookups!$D$2:$D$8</definedName>
    <definedName name="Status">#REF!</definedName>
    <definedName name="Statusnote" localSheetId="25">#REF!</definedName>
    <definedName name="Statusnote" localSheetId="6">'Non_STLA (Planning)'!#REF!</definedName>
    <definedName name="Statusnote" localSheetId="8">STLA!$L$1</definedName>
    <definedName name="Statusnote" localSheetId="11">#REF!</definedName>
    <definedName name="Statusnote" localSheetId="9">STLA_Old!$L$1</definedName>
    <definedName name="Statusnote" localSheetId="0">'Tracker (2)'!$L$1</definedName>
    <definedName name="Statusnote">'Non STLA'!$L$1</definedName>
    <definedName name="stream" localSheetId="25">'[9]Resource Loading'!$A1</definedName>
    <definedName name="stream">#REF!</definedName>
    <definedName name="stream_role_join" localSheetId="25">'[9]Resource Loading'!$A1&amp;'[9]Resource Loading'!$D1</definedName>
    <definedName name="stream_role_join">#REF!&amp;#REF!</definedName>
    <definedName name="stream_skill_join" localSheetId="25">'[10]Resource Loading'!$A1&amp;'[10]Resource Loading'!$B1</definedName>
    <definedName name="stream_skill_join">#REF!&amp;#REF!</definedName>
    <definedName name="SubActivity" localSheetId="25">#REF!</definedName>
    <definedName name="SubActivity" localSheetId="6">'Non_STLA (Planning)'!#REF!</definedName>
    <definedName name="SubActivity" localSheetId="8">STLA!$X$1</definedName>
    <definedName name="SubActivity" localSheetId="11">#REF!</definedName>
    <definedName name="SubActivity" localSheetId="9">STLA_Old!$X$1</definedName>
    <definedName name="SubActivity" localSheetId="0">'Tracker (2)'!$X$1</definedName>
    <definedName name="SubActivity">'Non STLA'!$X$1</definedName>
    <definedName name="SubSystem" localSheetId="25">#REF!</definedName>
    <definedName name="SubSystem" localSheetId="6">'Non_STLA (Planning)'!#REF!</definedName>
    <definedName name="SubSystem" localSheetId="8">STLA!$AY$1</definedName>
    <definedName name="SubSystem" localSheetId="11">#REF!</definedName>
    <definedName name="SubSystem" localSheetId="9">STLA_Old!$AY$1</definedName>
    <definedName name="SubSystem" localSheetId="0">'Tracker (2)'!$AY$1</definedName>
    <definedName name="SubSystem">'Non STLA'!$AY$1</definedName>
    <definedName name="SubTask" localSheetId="25">#REF!</definedName>
    <definedName name="SubTask" localSheetId="6">'Non_STLA (Planning)'!#REF!</definedName>
    <definedName name="SubTask" localSheetId="8">STLA!$Y$1</definedName>
    <definedName name="SubTask" localSheetId="11">#REF!</definedName>
    <definedName name="SubTask" localSheetId="9">STLA_Old!$Y$1</definedName>
    <definedName name="SubTask" localSheetId="0">'Tracker (2)'!$Y$1</definedName>
    <definedName name="SubTask">'Non STLA'!$Y$1</definedName>
    <definedName name="Summary" localSheetId="25">#REF!</definedName>
    <definedName name="Summary" localSheetId="6">'Non_STLA (Planning)'!#REF!</definedName>
    <definedName name="Summary" localSheetId="8">STLA!$J$1</definedName>
    <definedName name="Summary" localSheetId="11">#REF!</definedName>
    <definedName name="Summary" localSheetId="9">STLA_Old!$J$1</definedName>
    <definedName name="Summary" localSheetId="0">'Tracker (2)'!$J$1</definedName>
    <definedName name="Summary">'Non STLA'!$J$1</definedName>
    <definedName name="SupportReqByDt" localSheetId="25">#REF!</definedName>
    <definedName name="SupportReqByDt" localSheetId="6">'Non_STLA (Planning)'!#REF!</definedName>
    <definedName name="SupportReqByDt" localSheetId="8">STLA!$BU$1</definedName>
    <definedName name="SupportReqByDt" localSheetId="11">#REF!</definedName>
    <definedName name="SupportReqByDt" localSheetId="9">STLA_Old!$BU$1</definedName>
    <definedName name="SupportReqByDt" localSheetId="0">'Tracker (2)'!$BU$1</definedName>
    <definedName name="SupportReqByDt">'Non STLA'!$BU$1</definedName>
    <definedName name="SupportReqByTeam" localSheetId="25">#REF!</definedName>
    <definedName name="SupportReqByTeam" localSheetId="6">'Non_STLA (Planning)'!#REF!</definedName>
    <definedName name="SupportReqByTeam" localSheetId="8">STLA!$BT$1</definedName>
    <definedName name="SupportReqByTeam" localSheetId="11">#REF!</definedName>
    <definedName name="SupportReqByTeam" localSheetId="9">STLA_Old!$BT$1</definedName>
    <definedName name="SupportReqByTeam" localSheetId="0">'Tracker (2)'!$BT$1</definedName>
    <definedName name="SupportReqByTeam">'Non STLA'!$BT$1</definedName>
    <definedName name="Tag" localSheetId="25">#REF!</definedName>
    <definedName name="Tag" localSheetId="6">'Non_STLA (Planning)'!#REF!</definedName>
    <definedName name="Tag" localSheetId="8">STLA!$AC$1</definedName>
    <definedName name="Tag" localSheetId="11">#REF!</definedName>
    <definedName name="Tag" localSheetId="9">STLA_Old!$AC$1</definedName>
    <definedName name="Tag" localSheetId="0">'Tracker (2)'!$AC$1</definedName>
    <definedName name="Tag">'Non STLA'!$AC$1</definedName>
    <definedName name="Tbl_grade" localSheetId="25">[9]References!$L$2:$L$342</definedName>
    <definedName name="Tbl_grade">#REF!</definedName>
    <definedName name="Tbl_grade_level" localSheetId="25">[10]References!$R$2:$R$5</definedName>
    <definedName name="Tbl_grade_level">#REF!</definedName>
    <definedName name="Tbl_Primary_Skill" localSheetId="25">[10]References!$D$2:$D$1311</definedName>
    <definedName name="Tbl_Primary_Skill">#REF!</definedName>
    <definedName name="Tbl_project_mode" localSheetId="25">[10]References!$BQ$2:$BQ$3</definedName>
    <definedName name="Tbl_project_mode">#REF!</definedName>
    <definedName name="Tbl_role" localSheetId="25">[9]References!$AR$2:$BM$19</definedName>
    <definedName name="Tbl_role">#REF!</definedName>
    <definedName name="Tbl_roleHeaders" localSheetId="25">[9]References!$AR$1:$BM$1</definedName>
    <definedName name="Tbl_roleHeaders">#REF!</definedName>
    <definedName name="Tbl_skill" localSheetId="25">[10]References!$T$2:$AO$30</definedName>
    <definedName name="Tbl_skill">#REF!</definedName>
    <definedName name="Tbl_skillHeaders" localSheetId="25">[10]References!$T$1:$AO$1</definedName>
    <definedName name="Tbl_skillHeaders">#REF!</definedName>
    <definedName name="Tbl_stream" localSheetId="25">[10]References!$P$2:$P$23</definedName>
    <definedName name="Tbl_stream">#REF!</definedName>
    <definedName name="Tbl_stream_role_join" localSheetId="25">[9]References!$K$2:$K$342</definedName>
    <definedName name="Tbl_stream_role_join">#REF!</definedName>
    <definedName name="Tbl_Stream_Skill_join" localSheetId="25">[10]References!$C$2:$C$1311</definedName>
    <definedName name="Tbl_Stream_Skill_join">#REF!</definedName>
    <definedName name="TypeContent" localSheetId="25">#REF!</definedName>
    <definedName name="TypeContent" localSheetId="6">'Non_STLA (Planning)'!#REF!</definedName>
    <definedName name="TypeContent" localSheetId="8">STLA!$E$1</definedName>
    <definedName name="TypeContent" localSheetId="11">#REF!</definedName>
    <definedName name="TypeContent" localSheetId="9">STLA_Old!$E$1</definedName>
    <definedName name="TypeContent" localSheetId="0">'Tracker (2)'!$E$1</definedName>
    <definedName name="TypeContent">'Non STLA'!$E$1</definedName>
    <definedName name="UsedHrs" localSheetId="25">#REF!</definedName>
    <definedName name="UsedHrs" localSheetId="6">'Non_STLA (Planning)'!#REF!</definedName>
    <definedName name="UsedHrs" localSheetId="8">STLA!$Z$1</definedName>
    <definedName name="UsedHrs" localSheetId="11">#REF!</definedName>
    <definedName name="UsedHrs" localSheetId="9">STLA_Old!$Z$1</definedName>
    <definedName name="UsedHrs" localSheetId="0">'Tracker (2)'!$Z$1</definedName>
    <definedName name="UsedHrs">'Non STLA'!$Z$1</definedName>
    <definedName name="UsedTime_Cl" localSheetId="25">#REF!</definedName>
    <definedName name="UsedTime_Cl" localSheetId="6">'Non_STLA (Planning)'!#REF!</definedName>
    <definedName name="UsedTime_Cl" localSheetId="8">STLA!$Z:$Z</definedName>
    <definedName name="UsedTime_Cl" localSheetId="11">#REF!</definedName>
    <definedName name="UsedTime_Cl" localSheetId="9">STLA_Old!$Z:$Z</definedName>
    <definedName name="UsedTime_Cl" localSheetId="0">'Tracker (2)'!$Z:$Z</definedName>
    <definedName name="UsedTime_Cl" localSheetId="20">#REF!</definedName>
    <definedName name="UsedTime_Cl">'Non STLA'!$Z:$Z</definedName>
    <definedName name="VnVCmplDtReq" localSheetId="25">#REF!</definedName>
    <definedName name="VnVCmplDtReq" localSheetId="6">'Non_STLA (Planning)'!#REF!</definedName>
    <definedName name="VnVCmplDtReq" localSheetId="8">STLA!$BS$1</definedName>
    <definedName name="VnVCmplDtReq" localSheetId="11">#REF!</definedName>
    <definedName name="VnVCmplDtReq" localSheetId="9">STLA_Old!$BS$1</definedName>
    <definedName name="VnVCmplDtReq" localSheetId="0">'Tracker (2)'!$BS$1</definedName>
    <definedName name="VnVCmplDtReq">'Non STLA'!$BS$1</definedName>
    <definedName name="Who" localSheetId="25">OFFSET(#REF!,0,0,COUNTA(#REF!))</definedName>
    <definedName name="Who">OFFSET(#REF!,0,0,COUNTA(#REF!))</definedName>
    <definedName name="YN" localSheetId="25">'[11]Support Sheet'!$N$3:$N$4</definedName>
    <definedName name="YN">#REF!</definedName>
  </definedNames>
  <calcPr calcId="191028"/>
  <pivotCaches>
    <pivotCache cacheId="282" r:id="rId39"/>
    <pivotCache cacheId="283" r:id="rId40"/>
    <pivotCache cacheId="284" r:id="rId41"/>
    <pivotCache cacheId="285" r:id="rId42"/>
  </pivotCaches>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3" i="15" l="1"/>
  <c r="B181" i="15"/>
  <c r="B128" i="15"/>
  <c r="B131" i="15"/>
  <c r="B119" i="15"/>
  <c r="B240" i="15"/>
  <c r="B217" i="15"/>
  <c r="C115" i="15"/>
  <c r="B115" i="15"/>
  <c r="B242" i="15"/>
  <c r="B194" i="15"/>
  <c r="B198" i="15"/>
  <c r="B171" i="15"/>
  <c r="B258" i="15"/>
  <c r="B247" i="15"/>
  <c r="B25" i="83"/>
  <c r="B189" i="15"/>
  <c r="B10" i="15"/>
  <c r="B190" i="15"/>
  <c r="B245" i="15"/>
  <c r="B239" i="15"/>
  <c r="B184" i="15"/>
  <c r="B183" i="15"/>
  <c r="B243" i="15"/>
  <c r="B179" i="15"/>
  <c r="B172" i="15"/>
  <c r="B100" i="15"/>
  <c r="B210" i="15"/>
  <c r="B170" i="15"/>
  <c r="B67" i="15"/>
  <c r="H29" i="71"/>
  <c r="H30" i="71" s="1"/>
  <c r="H31" i="71" s="1"/>
  <c r="H32" i="71" s="1"/>
  <c r="H33" i="71" s="1"/>
  <c r="H34" i="71" s="1"/>
  <c r="H28" i="71"/>
  <c r="H10" i="71"/>
  <c r="H27" i="71"/>
  <c r="H11" i="71"/>
  <c r="H12" i="71" s="1"/>
  <c r="H13" i="71" s="1"/>
  <c r="H14" i="71" s="1"/>
  <c r="H15" i="71" s="1"/>
  <c r="H9" i="71"/>
  <c r="H8" i="71"/>
  <c r="H7" i="71"/>
  <c r="H6" i="71"/>
  <c r="I4" i="88" l="1"/>
  <c r="I5" i="88" s="1"/>
  <c r="I6" i="88" s="1"/>
  <c r="I7" i="88" s="1"/>
  <c r="I8" i="88" s="1"/>
  <c r="I9" i="88" s="1"/>
  <c r="I10" i="88" s="1"/>
  <c r="I11" i="88" s="1"/>
  <c r="I12" i="88" s="1"/>
  <c r="I13" i="88" s="1"/>
  <c r="I14" i="88" s="1"/>
  <c r="I15" i="88" s="1"/>
  <c r="I16" i="88" s="1"/>
  <c r="J4" i="88"/>
  <c r="J5" i="88" s="1"/>
  <c r="J6" i="88" s="1"/>
  <c r="J7" i="88" s="1"/>
  <c r="J8" i="88" s="1"/>
  <c r="J9" i="88" s="1"/>
  <c r="J10" i="88" s="1"/>
  <c r="J11" i="88" s="1"/>
  <c r="J12" i="88" s="1"/>
  <c r="J13" i="88" s="1"/>
  <c r="J14" i="88" s="1"/>
  <c r="J15" i="88" s="1"/>
  <c r="J16" i="88" s="1"/>
  <c r="K4" i="88"/>
  <c r="K5" i="88" s="1"/>
  <c r="K6" i="88" s="1"/>
  <c r="L4" i="88"/>
  <c r="L5" i="88" s="1"/>
  <c r="L6" i="88" s="1"/>
  <c r="C5" i="88"/>
  <c r="C6" i="88" s="1"/>
  <c r="C7" i="88" s="1"/>
  <c r="C8" i="88" s="1"/>
  <c r="C9" i="88" s="1"/>
  <c r="C10" i="88" s="1"/>
  <c r="C11" i="88" s="1"/>
  <c r="C12" i="88" s="1"/>
  <c r="C13" i="88" s="1"/>
  <c r="C14" i="88" s="1"/>
  <c r="C15" i="88" s="1"/>
  <c r="C16" i="88" s="1"/>
  <c r="F6" i="88"/>
  <c r="F17" i="88" s="1"/>
  <c r="F7" i="88"/>
  <c r="F8" i="88"/>
  <c r="E17" i="88"/>
  <c r="G17" i="88"/>
  <c r="H17" i="88"/>
  <c r="I22" i="88"/>
  <c r="I23" i="88" s="1"/>
  <c r="I24" i="88" s="1"/>
  <c r="I25" i="88" s="1"/>
  <c r="I26" i="88" s="1"/>
  <c r="I27" i="88" s="1"/>
  <c r="I28" i="88" s="1"/>
  <c r="I29" i="88" s="1"/>
  <c r="I30" i="88" s="1"/>
  <c r="I31" i="88" s="1"/>
  <c r="I32" i="88" s="1"/>
  <c r="I33" i="88" s="1"/>
  <c r="I34" i="88" s="1"/>
  <c r="J22" i="88"/>
  <c r="K22" i="88"/>
  <c r="L22" i="88"/>
  <c r="C23" i="88"/>
  <c r="J23" i="88"/>
  <c r="J24" i="88" s="1"/>
  <c r="J25" i="88" s="1"/>
  <c r="J26" i="88" s="1"/>
  <c r="K23" i="88"/>
  <c r="K24" i="88" s="1"/>
  <c r="L23" i="88"/>
  <c r="L24" i="88" s="1"/>
  <c r="C24" i="88"/>
  <c r="C25" i="88" s="1"/>
  <c r="C26" i="88" s="1"/>
  <c r="C27" i="88" s="1"/>
  <c r="C28" i="88" s="1"/>
  <c r="C29" i="88" s="1"/>
  <c r="C30" i="88" s="1"/>
  <c r="C31" i="88" s="1"/>
  <c r="C32" i="88" s="1"/>
  <c r="C33" i="88" s="1"/>
  <c r="C34" i="88" s="1"/>
  <c r="F27" i="88"/>
  <c r="E29" i="88"/>
  <c r="E35" i="88" s="1"/>
  <c r="F29" i="88"/>
  <c r="F30" i="88"/>
  <c r="E33" i="88"/>
  <c r="F33" i="88"/>
  <c r="F35" i="88"/>
  <c r="G35" i="88"/>
  <c r="H35" i="88"/>
  <c r="M28" i="71"/>
  <c r="G10" i="71"/>
  <c r="J27" i="88" l="1"/>
  <c r="J28" i="88" s="1"/>
  <c r="J29" i="88" s="1"/>
  <c r="J30" i="88" s="1"/>
  <c r="J31" i="88" s="1"/>
  <c r="J32" i="88" s="1"/>
  <c r="J33" i="88" s="1"/>
  <c r="J34" i="88" s="1"/>
  <c r="Q23" i="88"/>
  <c r="L25" i="88"/>
  <c r="Q24" i="88"/>
  <c r="P24" i="88"/>
  <c r="K25" i="88"/>
  <c r="L7" i="88"/>
  <c r="Q6" i="88"/>
  <c r="P6" i="88"/>
  <c r="K7" i="88"/>
  <c r="CD41" i="83"/>
  <c r="CE41" i="83"/>
  <c r="CF41" i="83"/>
  <c r="Q25" i="88" l="1"/>
  <c r="L26" i="88"/>
  <c r="P25" i="88"/>
  <c r="K26" i="88"/>
  <c r="P7" i="88"/>
  <c r="K8" i="88"/>
  <c r="L8" i="88"/>
  <c r="Q7" i="88"/>
  <c r="CD40" i="83"/>
  <c r="CE40" i="83"/>
  <c r="CF40" i="83"/>
  <c r="E34" i="71"/>
  <c r="E14" i="71"/>
  <c r="B254" i="15"/>
  <c r="D254" i="15" s="1"/>
  <c r="B6" i="83"/>
  <c r="B193" i="15"/>
  <c r="B225" i="15"/>
  <c r="B187" i="15"/>
  <c r="B26" i="83"/>
  <c r="B127" i="15"/>
  <c r="B35" i="83"/>
  <c r="B37" i="83"/>
  <c r="B36" i="83"/>
  <c r="B29" i="83"/>
  <c r="B233" i="15"/>
  <c r="B252" i="15"/>
  <c r="D252" i="15" s="1"/>
  <c r="B3" i="83"/>
  <c r="B2" i="15"/>
  <c r="B207" i="15"/>
  <c r="B234" i="15"/>
  <c r="B24" i="83"/>
  <c r="B33" i="83"/>
  <c r="B148" i="15"/>
  <c r="B146" i="15"/>
  <c r="B106" i="15"/>
  <c r="D106" i="15" s="1"/>
  <c r="B27" i="83"/>
  <c r="B219" i="15"/>
  <c r="B126" i="15"/>
  <c r="B201" i="15"/>
  <c r="F14" i="71"/>
  <c r="B238" i="15"/>
  <c r="D258" i="15"/>
  <c r="X259" i="15"/>
  <c r="AO259" i="15"/>
  <c r="AT259" i="15"/>
  <c r="BE259" i="15"/>
  <c r="BP259" i="15"/>
  <c r="CA259" i="15"/>
  <c r="I259" i="15"/>
  <c r="D259" i="15"/>
  <c r="I258" i="15"/>
  <c r="X258" i="15"/>
  <c r="AO258" i="15"/>
  <c r="AT258" i="15"/>
  <c r="BE258" i="15"/>
  <c r="BP258" i="15"/>
  <c r="CA258" i="15"/>
  <c r="N3" i="15"/>
  <c r="D253" i="15"/>
  <c r="B188" i="15"/>
  <c r="B197" i="15"/>
  <c r="B212" i="15"/>
  <c r="CA257" i="15"/>
  <c r="BP257" i="15"/>
  <c r="BE257" i="15"/>
  <c r="AT257" i="15"/>
  <c r="AO257" i="15"/>
  <c r="X257" i="15"/>
  <c r="I257" i="15"/>
  <c r="B257" i="15"/>
  <c r="D257" i="15"/>
  <c r="B256" i="15"/>
  <c r="D256" i="15" s="1"/>
  <c r="I256" i="15"/>
  <c r="I252" i="15"/>
  <c r="I253" i="15"/>
  <c r="I254" i="15"/>
  <c r="CA256" i="15"/>
  <c r="BP256" i="15"/>
  <c r="BE256" i="15"/>
  <c r="AT256" i="15"/>
  <c r="AO256" i="15"/>
  <c r="X256" i="15"/>
  <c r="B209" i="15"/>
  <c r="B42" i="15"/>
  <c r="B139" i="15"/>
  <c r="B222" i="15"/>
  <c r="B105" i="15"/>
  <c r="B241" i="15"/>
  <c r="B255" i="15"/>
  <c r="D255" i="15" s="1"/>
  <c r="I255" i="15"/>
  <c r="CA255" i="15"/>
  <c r="BP255" i="15"/>
  <c r="BE255" i="15"/>
  <c r="AT255" i="15"/>
  <c r="AO255" i="15"/>
  <c r="X255" i="15"/>
  <c r="B5" i="15"/>
  <c r="B199" i="15"/>
  <c r="B34" i="83"/>
  <c r="B206" i="15"/>
  <c r="B39" i="83"/>
  <c r="CD39" i="83"/>
  <c r="CE39" i="83"/>
  <c r="CF39" i="83"/>
  <c r="B147" i="15"/>
  <c r="B248" i="15"/>
  <c r="B58" i="15"/>
  <c r="E13" i="71"/>
  <c r="O28" i="71"/>
  <c r="O29" i="71"/>
  <c r="O30" i="71"/>
  <c r="O31" i="71"/>
  <c r="O32" i="71"/>
  <c r="O33" i="71"/>
  <c r="O34" i="71"/>
  <c r="O27" i="71"/>
  <c r="F26" i="71"/>
  <c r="G27" i="71"/>
  <c r="M9" i="71"/>
  <c r="F5" i="71"/>
  <c r="D105" i="15"/>
  <c r="X254" i="15"/>
  <c r="BE254" i="15"/>
  <c r="BP254" i="15"/>
  <c r="CA254" i="15"/>
  <c r="X253" i="15"/>
  <c r="BE253" i="15"/>
  <c r="BP253" i="15"/>
  <c r="CA253" i="15"/>
  <c r="B60" i="15"/>
  <c r="C212" i="15"/>
  <c r="B38" i="83"/>
  <c r="B7" i="83"/>
  <c r="B11" i="15"/>
  <c r="B28" i="83"/>
  <c r="B59" i="15"/>
  <c r="B195" i="15"/>
  <c r="D249" i="15"/>
  <c r="D248" i="15"/>
  <c r="B102" i="15"/>
  <c r="D102" i="15"/>
  <c r="B20" i="15"/>
  <c r="B235" i="15"/>
  <c r="CA252" i="15"/>
  <c r="BP252" i="15"/>
  <c r="BE252" i="15"/>
  <c r="X252" i="15"/>
  <c r="I251" i="15"/>
  <c r="I250" i="15"/>
  <c r="X251" i="15"/>
  <c r="BE251" i="15"/>
  <c r="BP251" i="15"/>
  <c r="CA251" i="15"/>
  <c r="X250" i="15"/>
  <c r="AT250" i="15"/>
  <c r="BE250" i="15"/>
  <c r="BP250" i="15"/>
  <c r="CA250" i="15"/>
  <c r="B205" i="15"/>
  <c r="X249" i="15"/>
  <c r="AT249" i="15"/>
  <c r="BE249" i="15"/>
  <c r="BP249" i="15"/>
  <c r="CA249" i="15"/>
  <c r="I249" i="15"/>
  <c r="I248" i="15"/>
  <c r="CA248" i="15"/>
  <c r="BP248" i="15"/>
  <c r="BE248" i="15"/>
  <c r="AT248" i="15"/>
  <c r="X248" i="15"/>
  <c r="X247" i="15"/>
  <c r="AT247" i="15"/>
  <c r="BE247" i="15"/>
  <c r="BP247" i="15"/>
  <c r="CA247" i="15"/>
  <c r="I247" i="15"/>
  <c r="D247" i="15"/>
  <c r="O26" i="71"/>
  <c r="O9" i="71"/>
  <c r="O10" i="71"/>
  <c r="O11" i="71"/>
  <c r="O12" i="71"/>
  <c r="O13" i="71"/>
  <c r="O14" i="71"/>
  <c r="O15" i="71"/>
  <c r="O16" i="71"/>
  <c r="O8" i="71"/>
  <c r="Q8" i="88" l="1"/>
  <c r="L9" i="88"/>
  <c r="K9" i="88"/>
  <c r="P8" i="88"/>
  <c r="L27" i="88"/>
  <c r="Q26" i="88"/>
  <c r="K27" i="88"/>
  <c r="P26" i="88"/>
  <c r="K28" i="88" l="1"/>
  <c r="P27" i="88"/>
  <c r="Q27" i="88"/>
  <c r="L28" i="88"/>
  <c r="P9" i="88"/>
  <c r="K10" i="88"/>
  <c r="L10" i="88"/>
  <c r="Q9" i="88"/>
  <c r="CD35" i="83"/>
  <c r="CD36" i="83"/>
  <c r="CD37" i="83"/>
  <c r="CD38" i="83"/>
  <c r="CE35" i="83"/>
  <c r="CE36" i="83"/>
  <c r="CE37" i="83"/>
  <c r="CE38" i="83"/>
  <c r="CF35" i="83"/>
  <c r="CF36" i="83"/>
  <c r="CF37" i="83"/>
  <c r="CF38" i="83"/>
  <c r="N26" i="71"/>
  <c r="N8" i="71"/>
  <c r="D147" i="15"/>
  <c r="B223" i="15"/>
  <c r="D201" i="15"/>
  <c r="D217" i="15"/>
  <c r="D171" i="15"/>
  <c r="B54" i="15"/>
  <c r="D54" i="15" s="1"/>
  <c r="D179" i="15"/>
  <c r="D195" i="15"/>
  <c r="B236" i="15"/>
  <c r="D236" i="15" s="1"/>
  <c r="D198" i="15"/>
  <c r="D10" i="15"/>
  <c r="C246" i="15"/>
  <c r="D246" i="15" s="1"/>
  <c r="C245" i="15"/>
  <c r="D245" i="15" s="1"/>
  <c r="I245" i="15"/>
  <c r="I246" i="15"/>
  <c r="CA246" i="15"/>
  <c r="BP246" i="15"/>
  <c r="BE246" i="15"/>
  <c r="AT246" i="15"/>
  <c r="X246" i="15"/>
  <c r="CA245" i="15"/>
  <c r="BP245" i="15"/>
  <c r="BE245" i="15"/>
  <c r="X245" i="15"/>
  <c r="B107" i="15"/>
  <c r="D107" i="15"/>
  <c r="B109" i="15"/>
  <c r="D109" i="15" s="1"/>
  <c r="B169" i="15"/>
  <c r="D244" i="15"/>
  <c r="D243" i="15"/>
  <c r="I244" i="15"/>
  <c r="I243" i="15"/>
  <c r="CA244" i="15"/>
  <c r="BP244" i="15"/>
  <c r="BE244" i="15"/>
  <c r="AT244" i="15"/>
  <c r="X244" i="15"/>
  <c r="CA243" i="15"/>
  <c r="BP243" i="15"/>
  <c r="BE243" i="15"/>
  <c r="AT243" i="15"/>
  <c r="X243" i="15"/>
  <c r="CA242" i="15"/>
  <c r="BP242" i="15"/>
  <c r="BE242" i="15"/>
  <c r="AT242" i="15"/>
  <c r="X242" i="15"/>
  <c r="I242" i="15"/>
  <c r="D242" i="15"/>
  <c r="CA241" i="15"/>
  <c r="BP241" i="15"/>
  <c r="BE241" i="15"/>
  <c r="AT241" i="15"/>
  <c r="X241" i="15"/>
  <c r="I241" i="15"/>
  <c r="D241" i="15"/>
  <c r="D67" i="15"/>
  <c r="D209" i="15"/>
  <c r="D239" i="15"/>
  <c r="C100" i="15"/>
  <c r="C59" i="15"/>
  <c r="D135" i="15"/>
  <c r="D128" i="15"/>
  <c r="D138" i="15"/>
  <c r="D131" i="15"/>
  <c r="D189" i="15"/>
  <c r="D11" i="15"/>
  <c r="B167" i="15"/>
  <c r="B165" i="15"/>
  <c r="B160" i="15"/>
  <c r="D160" i="15" s="1"/>
  <c r="B227" i="15"/>
  <c r="D164" i="15"/>
  <c r="B156" i="15"/>
  <c r="D156" i="15"/>
  <c r="D114" i="15"/>
  <c r="D111" i="15"/>
  <c r="D159"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3" i="15"/>
  <c r="I212" i="15"/>
  <c r="I211" i="15"/>
  <c r="I210" i="15"/>
  <c r="I209" i="15"/>
  <c r="I206" i="15"/>
  <c r="I205" i="15"/>
  <c r="I204" i="15"/>
  <c r="I188" i="15"/>
  <c r="I189" i="15"/>
  <c r="I190" i="15"/>
  <c r="I191" i="15"/>
  <c r="I192" i="15"/>
  <c r="I193" i="15"/>
  <c r="I194" i="15"/>
  <c r="I195" i="15"/>
  <c r="I196" i="15"/>
  <c r="I197" i="15"/>
  <c r="I198" i="15"/>
  <c r="I199" i="15"/>
  <c r="I187" i="15"/>
  <c r="I126" i="15"/>
  <c r="I127" i="15"/>
  <c r="I128" i="15"/>
  <c r="I129" i="15"/>
  <c r="I130" i="15"/>
  <c r="I131" i="15"/>
  <c r="I132" i="15"/>
  <c r="I133" i="15"/>
  <c r="I134" i="15"/>
  <c r="I135" i="15"/>
  <c r="I136" i="15"/>
  <c r="I137" i="15"/>
  <c r="I138" i="15"/>
  <c r="I139" i="15"/>
  <c r="I140" i="15"/>
  <c r="I141" i="15"/>
  <c r="I142" i="15"/>
  <c r="I143" i="15"/>
  <c r="I144" i="15"/>
  <c r="I145" i="15"/>
  <c r="I146" i="15"/>
  <c r="I147" i="15"/>
  <c r="I148" i="15"/>
  <c r="I149" i="15"/>
  <c r="I150" i="15"/>
  <c r="I151" i="15"/>
  <c r="I152" i="15"/>
  <c r="I153" i="15"/>
  <c r="I154" i="15"/>
  <c r="I155" i="15"/>
  <c r="I156" i="15"/>
  <c r="I157" i="15"/>
  <c r="I158" i="15"/>
  <c r="I159" i="15"/>
  <c r="I160" i="15"/>
  <c r="I161" i="15"/>
  <c r="I162" i="15"/>
  <c r="I163" i="15"/>
  <c r="I164" i="15"/>
  <c r="I165" i="15"/>
  <c r="I166" i="15"/>
  <c r="I167" i="15"/>
  <c r="I168" i="15"/>
  <c r="I169" i="15"/>
  <c r="I170" i="15"/>
  <c r="I171" i="15"/>
  <c r="I172" i="15"/>
  <c r="I173" i="15"/>
  <c r="I174" i="15"/>
  <c r="I175" i="15"/>
  <c r="I176" i="15"/>
  <c r="I177" i="15"/>
  <c r="I178" i="15"/>
  <c r="I179" i="15"/>
  <c r="I180" i="15"/>
  <c r="I181" i="15"/>
  <c r="I182" i="15"/>
  <c r="I183" i="15"/>
  <c r="I184" i="15"/>
  <c r="I185" i="15"/>
  <c r="I125" i="15"/>
  <c r="I3" i="15"/>
  <c r="I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108" i="15"/>
  <c r="I109" i="15"/>
  <c r="I110" i="15"/>
  <c r="I111" i="15"/>
  <c r="I112" i="15"/>
  <c r="I113" i="15"/>
  <c r="I114" i="15"/>
  <c r="I115" i="15"/>
  <c r="I116" i="15"/>
  <c r="I117" i="15"/>
  <c r="I118" i="15"/>
  <c r="I119" i="15"/>
  <c r="I120" i="15"/>
  <c r="I121" i="15"/>
  <c r="I122" i="15"/>
  <c r="I2" i="15"/>
  <c r="D240" i="15"/>
  <c r="D238" i="15"/>
  <c r="D237" i="15"/>
  <c r="D235" i="15"/>
  <c r="D234" i="15"/>
  <c r="D233" i="15"/>
  <c r="D231" i="15"/>
  <c r="D230" i="15"/>
  <c r="D229" i="15"/>
  <c r="D228" i="15"/>
  <c r="D226" i="15"/>
  <c r="D225" i="15"/>
  <c r="D224" i="15"/>
  <c r="D223" i="15"/>
  <c r="D222" i="15"/>
  <c r="D221" i="15"/>
  <c r="D220" i="15"/>
  <c r="D219" i="15"/>
  <c r="D218" i="15"/>
  <c r="D212" i="15"/>
  <c r="D211" i="15"/>
  <c r="D210" i="15"/>
  <c r="D202" i="15"/>
  <c r="D197" i="15"/>
  <c r="D196" i="15"/>
  <c r="D194" i="15"/>
  <c r="D193" i="15"/>
  <c r="D191" i="15"/>
  <c r="D190" i="15"/>
  <c r="D188" i="15"/>
  <c r="D184" i="15"/>
  <c r="D183" i="15"/>
  <c r="D182" i="15"/>
  <c r="D181" i="15"/>
  <c r="D176" i="15"/>
  <c r="D175" i="15"/>
  <c r="D174" i="15"/>
  <c r="D173" i="15"/>
  <c r="D172" i="15"/>
  <c r="D169" i="15"/>
  <c r="D168" i="15"/>
  <c r="D165" i="15"/>
  <c r="D162" i="15"/>
  <c r="D161" i="15"/>
  <c r="D157" i="15"/>
  <c r="D155" i="15"/>
  <c r="D154" i="15"/>
  <c r="D152" i="15"/>
  <c r="D151" i="15"/>
  <c r="D150" i="15"/>
  <c r="D148" i="15"/>
  <c r="D146" i="15"/>
  <c r="D145" i="15"/>
  <c r="D144" i="15"/>
  <c r="D141" i="15"/>
  <c r="D139" i="15"/>
  <c r="D133" i="15"/>
  <c r="D112" i="15"/>
  <c r="D101" i="15"/>
  <c r="D100" i="15"/>
  <c r="D98" i="15"/>
  <c r="D96" i="15"/>
  <c r="D95" i="15"/>
  <c r="D94" i="15"/>
  <c r="D89" i="15"/>
  <c r="D75" i="15"/>
  <c r="D74" i="15"/>
  <c r="D71" i="15"/>
  <c r="D58" i="15"/>
  <c r="D44" i="15"/>
  <c r="D43" i="15"/>
  <c r="D42" i="15"/>
  <c r="D38" i="15"/>
  <c r="D20" i="15"/>
  <c r="D16" i="15"/>
  <c r="D15" i="15"/>
  <c r="D14" i="15"/>
  <c r="D13" i="15"/>
  <c r="D9" i="15"/>
  <c r="D6" i="15"/>
  <c r="D7" i="15"/>
  <c r="D5" i="15"/>
  <c r="D3" i="15"/>
  <c r="D2" i="15"/>
  <c r="CA240" i="15"/>
  <c r="BP240" i="15"/>
  <c r="BE240" i="15"/>
  <c r="AT240" i="15"/>
  <c r="X240" i="15"/>
  <c r="D170" i="15"/>
  <c r="B232" i="15"/>
  <c r="D232" i="15" s="1"/>
  <c r="O7" i="71"/>
  <c r="O4" i="71"/>
  <c r="O5" i="71"/>
  <c r="C29" i="83"/>
  <c r="B4" i="15"/>
  <c r="D4" i="15" s="1"/>
  <c r="B200" i="15"/>
  <c r="D200" i="15" s="1"/>
  <c r="O25" i="71"/>
  <c r="L29" i="88" l="1"/>
  <c r="Q28" i="88"/>
  <c r="K29" i="88"/>
  <c r="P28" i="88"/>
  <c r="L11" i="88"/>
  <c r="Q10" i="88"/>
  <c r="P10" i="88"/>
  <c r="K11" i="88"/>
  <c r="D59" i="15"/>
  <c r="B204" i="15"/>
  <c r="B49" i="15"/>
  <c r="P11" i="88" l="1"/>
  <c r="K12" i="88"/>
  <c r="Q11" i="88"/>
  <c r="L12" i="88"/>
  <c r="K30" i="88"/>
  <c r="P29" i="88"/>
  <c r="L30" i="88"/>
  <c r="Q29" i="88"/>
  <c r="CA239" i="15"/>
  <c r="BP239" i="15"/>
  <c r="BE239" i="15"/>
  <c r="AT239" i="15"/>
  <c r="X239" i="15"/>
  <c r="CA238" i="15"/>
  <c r="BP238" i="15"/>
  <c r="BE238" i="15"/>
  <c r="AT238" i="15"/>
  <c r="X238" i="15"/>
  <c r="X237" i="15"/>
  <c r="AT237" i="15"/>
  <c r="BE237" i="15"/>
  <c r="BP237" i="15"/>
  <c r="CA237" i="15"/>
  <c r="X236" i="15"/>
  <c r="AT236" i="15"/>
  <c r="BE236" i="15"/>
  <c r="BP236" i="15"/>
  <c r="CA236" i="15"/>
  <c r="CA235" i="15"/>
  <c r="BP235" i="15"/>
  <c r="BE235" i="15"/>
  <c r="AT235" i="15"/>
  <c r="X235" i="15"/>
  <c r="X234" i="15"/>
  <c r="AT234" i="15"/>
  <c r="BE234" i="15"/>
  <c r="BP234" i="15"/>
  <c r="CA234" i="15"/>
  <c r="X233" i="15"/>
  <c r="AT233" i="15"/>
  <c r="BE233" i="15"/>
  <c r="BP233" i="15"/>
  <c r="CA233" i="15"/>
  <c r="X232" i="15"/>
  <c r="AT232" i="15"/>
  <c r="BE232" i="15"/>
  <c r="BP232" i="15"/>
  <c r="CA232" i="15"/>
  <c r="X231" i="15"/>
  <c r="AT231" i="15"/>
  <c r="BE231" i="15"/>
  <c r="BP231" i="15"/>
  <c r="CA231" i="15"/>
  <c r="CA230" i="15"/>
  <c r="BP230" i="15"/>
  <c r="BE230" i="15"/>
  <c r="AT230" i="15"/>
  <c r="X230" i="15"/>
  <c r="X229" i="15"/>
  <c r="AT229" i="15"/>
  <c r="BE229" i="15"/>
  <c r="BP229" i="15"/>
  <c r="CA229" i="15"/>
  <c r="CA228" i="15"/>
  <c r="BP228" i="15"/>
  <c r="BE228" i="15"/>
  <c r="AT228" i="15"/>
  <c r="X228" i="15"/>
  <c r="X227" i="15"/>
  <c r="AT227" i="15"/>
  <c r="BE227" i="15"/>
  <c r="BP227" i="15"/>
  <c r="CA227" i="15"/>
  <c r="X226" i="15"/>
  <c r="AT226" i="15"/>
  <c r="BE226" i="15"/>
  <c r="BP226" i="15"/>
  <c r="CA226" i="15"/>
  <c r="CA225" i="15"/>
  <c r="BP225" i="15"/>
  <c r="BE225" i="15"/>
  <c r="AT225" i="15"/>
  <c r="X225" i="15"/>
  <c r="X3" i="15"/>
  <c r="X4" i="15"/>
  <c r="X5" i="15"/>
  <c r="X6" i="15"/>
  <c r="X7" i="15"/>
  <c r="X8" i="15"/>
  <c r="X9" i="15"/>
  <c r="X218" i="15"/>
  <c r="X10" i="15"/>
  <c r="X11" i="15"/>
  <c r="X12" i="15"/>
  <c r="X13" i="15"/>
  <c r="X14" i="15"/>
  <c r="X15" i="15"/>
  <c r="X16" i="15"/>
  <c r="X17" i="15"/>
  <c r="X18" i="15"/>
  <c r="X19" i="15"/>
  <c r="X20" i="15"/>
  <c r="X21" i="15"/>
  <c r="X22" i="15"/>
  <c r="X23" i="15"/>
  <c r="X24" i="15"/>
  <c r="X25" i="15"/>
  <c r="X26" i="15"/>
  <c r="X27" i="15"/>
  <c r="X28" i="15"/>
  <c r="X29" i="15"/>
  <c r="X30" i="15"/>
  <c r="X31" i="15"/>
  <c r="X32" i="15"/>
  <c r="X33" i="15"/>
  <c r="X34" i="15"/>
  <c r="X35" i="15"/>
  <c r="X36" i="15"/>
  <c r="X37" i="15"/>
  <c r="X38" i="15"/>
  <c r="X39" i="15"/>
  <c r="X40" i="15"/>
  <c r="X41" i="15"/>
  <c r="X42" i="15"/>
  <c r="X43" i="15"/>
  <c r="X44" i="15"/>
  <c r="X45" i="15"/>
  <c r="X46" i="15"/>
  <c r="X47" i="15"/>
  <c r="X48" i="15"/>
  <c r="X49" i="15"/>
  <c r="X50" i="15"/>
  <c r="X51" i="15"/>
  <c r="X52" i="15"/>
  <c r="X53" i="15"/>
  <c r="X54" i="15"/>
  <c r="X55" i="15"/>
  <c r="X56" i="15"/>
  <c r="X57" i="15"/>
  <c r="X58" i="15"/>
  <c r="X59" i="15"/>
  <c r="X60" i="15"/>
  <c r="X61" i="15"/>
  <c r="X62" i="15"/>
  <c r="X63" i="15"/>
  <c r="X64" i="15"/>
  <c r="X65" i="15"/>
  <c r="X66" i="15"/>
  <c r="X67" i="15"/>
  <c r="X68" i="15"/>
  <c r="X69" i="15"/>
  <c r="X70" i="15"/>
  <c r="X71" i="15"/>
  <c r="X72" i="15"/>
  <c r="X73" i="15"/>
  <c r="X74" i="15"/>
  <c r="X75" i="15"/>
  <c r="X76" i="15"/>
  <c r="X77" i="15"/>
  <c r="X78" i="15"/>
  <c r="X79" i="15"/>
  <c r="X80" i="15"/>
  <c r="X81" i="15"/>
  <c r="X82" i="15"/>
  <c r="X83" i="15"/>
  <c r="X84" i="15"/>
  <c r="X85" i="15"/>
  <c r="X86" i="15"/>
  <c r="X87" i="15"/>
  <c r="X88" i="15"/>
  <c r="X89" i="15"/>
  <c r="X90" i="15"/>
  <c r="X91" i="15"/>
  <c r="X92" i="15"/>
  <c r="X93" i="15"/>
  <c r="X94" i="15"/>
  <c r="X95" i="15"/>
  <c r="X96" i="15"/>
  <c r="X97" i="15"/>
  <c r="X98" i="15"/>
  <c r="X99" i="15"/>
  <c r="X100" i="15"/>
  <c r="X101" i="15"/>
  <c r="X102" i="15"/>
  <c r="X103" i="15"/>
  <c r="X104" i="15"/>
  <c r="X105" i="15"/>
  <c r="X106" i="15"/>
  <c r="X107" i="15"/>
  <c r="X108" i="15"/>
  <c r="X109" i="15"/>
  <c r="X110" i="15"/>
  <c r="X111" i="15"/>
  <c r="X112" i="15"/>
  <c r="X113" i="15"/>
  <c r="X114" i="15"/>
  <c r="X115" i="15"/>
  <c r="X116" i="15"/>
  <c r="X117" i="15"/>
  <c r="X118" i="15"/>
  <c r="X119" i="15"/>
  <c r="X120" i="15"/>
  <c r="X121" i="15"/>
  <c r="X122" i="15"/>
  <c r="X123" i="15"/>
  <c r="X124" i="15"/>
  <c r="X125" i="15"/>
  <c r="X126" i="15"/>
  <c r="X127" i="15"/>
  <c r="X128" i="15"/>
  <c r="X129" i="15"/>
  <c r="X130" i="15"/>
  <c r="X131" i="15"/>
  <c r="X132" i="15"/>
  <c r="X133" i="15"/>
  <c r="X134" i="15"/>
  <c r="X135" i="15"/>
  <c r="X136" i="15"/>
  <c r="X137" i="15"/>
  <c r="X138" i="15"/>
  <c r="X139" i="15"/>
  <c r="X140" i="15"/>
  <c r="X141" i="15"/>
  <c r="X142" i="15"/>
  <c r="X143" i="15"/>
  <c r="X144" i="15"/>
  <c r="X145" i="15"/>
  <c r="X146" i="15"/>
  <c r="X147" i="15"/>
  <c r="X148" i="15"/>
  <c r="X149" i="15"/>
  <c r="X150" i="15"/>
  <c r="X151" i="15"/>
  <c r="X152" i="15"/>
  <c r="X153" i="15"/>
  <c r="X154" i="15"/>
  <c r="X155" i="15"/>
  <c r="X156" i="15"/>
  <c r="X157" i="15"/>
  <c r="X158" i="15"/>
  <c r="X159" i="15"/>
  <c r="X160" i="15"/>
  <c r="X161" i="15"/>
  <c r="X162" i="15"/>
  <c r="X163" i="15"/>
  <c r="X164" i="15"/>
  <c r="X165" i="15"/>
  <c r="X166" i="15"/>
  <c r="X167" i="15"/>
  <c r="X168" i="15"/>
  <c r="X169" i="15"/>
  <c r="X170" i="15"/>
  <c r="X171" i="15"/>
  <c r="X172" i="15"/>
  <c r="X173" i="15"/>
  <c r="X174" i="15"/>
  <c r="X175" i="15"/>
  <c r="X176" i="15"/>
  <c r="X177" i="15"/>
  <c r="X178" i="15"/>
  <c r="X179" i="15"/>
  <c r="X180" i="15"/>
  <c r="X181" i="15"/>
  <c r="X182" i="15"/>
  <c r="X183" i="15"/>
  <c r="X184" i="15"/>
  <c r="X185" i="15"/>
  <c r="X186" i="15"/>
  <c r="X187" i="15"/>
  <c r="X188" i="15"/>
  <c r="X189" i="15"/>
  <c r="X190" i="15"/>
  <c r="X191" i="15"/>
  <c r="X192" i="15"/>
  <c r="X193" i="15"/>
  <c r="X194" i="15"/>
  <c r="X195" i="15"/>
  <c r="X196" i="15"/>
  <c r="X197" i="15"/>
  <c r="X198" i="15"/>
  <c r="X199" i="15"/>
  <c r="X200" i="15"/>
  <c r="X201" i="15"/>
  <c r="X202" i="15"/>
  <c r="X203" i="15"/>
  <c r="X204" i="15"/>
  <c r="X205" i="15"/>
  <c r="X206" i="15"/>
  <c r="X207" i="15"/>
  <c r="X208" i="15"/>
  <c r="X209" i="15"/>
  <c r="X210" i="15"/>
  <c r="X211" i="15"/>
  <c r="X212" i="15"/>
  <c r="X213" i="15"/>
  <c r="X214" i="15"/>
  <c r="X215" i="15"/>
  <c r="X216" i="15"/>
  <c r="X217" i="15"/>
  <c r="X223" i="15"/>
  <c r="X219" i="15"/>
  <c r="X220" i="15"/>
  <c r="X221" i="15"/>
  <c r="X222" i="15"/>
  <c r="X2" i="15"/>
  <c r="AT3" i="15"/>
  <c r="AT5" i="15"/>
  <c r="AT6" i="15"/>
  <c r="AT7" i="15"/>
  <c r="AT8" i="15"/>
  <c r="AT9" i="15"/>
  <c r="AT218" i="15"/>
  <c r="AT10" i="15"/>
  <c r="AT11" i="15"/>
  <c r="AT13" i="15"/>
  <c r="AT14" i="15"/>
  <c r="AT15" i="15"/>
  <c r="AT16" i="15"/>
  <c r="AT19" i="15"/>
  <c r="AT20" i="15"/>
  <c r="AT22" i="15"/>
  <c r="AT23" i="15"/>
  <c r="AT24" i="15"/>
  <c r="AT25" i="15"/>
  <c r="AT26" i="15"/>
  <c r="AT27" i="15"/>
  <c r="AT28" i="15"/>
  <c r="AT29" i="15"/>
  <c r="AT30" i="15"/>
  <c r="AT31" i="15"/>
  <c r="AT32" i="15"/>
  <c r="AT33" i="15"/>
  <c r="AT34" i="15"/>
  <c r="AT35" i="15"/>
  <c r="AT36" i="15"/>
  <c r="AT37" i="15"/>
  <c r="AT38" i="15"/>
  <c r="AT39" i="15"/>
  <c r="AT41" i="15"/>
  <c r="AT42" i="15"/>
  <c r="AT43" i="15"/>
  <c r="AT44" i="15"/>
  <c r="AT45" i="15"/>
  <c r="AT46" i="15"/>
  <c r="AT47" i="15"/>
  <c r="AT48" i="15"/>
  <c r="AT50" i="15"/>
  <c r="AT51" i="15"/>
  <c r="AT52" i="15"/>
  <c r="AT53" i="15"/>
  <c r="AT55" i="15"/>
  <c r="AT57" i="15"/>
  <c r="AT58" i="15"/>
  <c r="AT59" i="15"/>
  <c r="AT60" i="15"/>
  <c r="AT61" i="15"/>
  <c r="AT62" i="15"/>
  <c r="AT63" i="15"/>
  <c r="AT64" i="15"/>
  <c r="AT65" i="15"/>
  <c r="AT66" i="15"/>
  <c r="AT67" i="15"/>
  <c r="AT69" i="15"/>
  <c r="AT70" i="15"/>
  <c r="AT71" i="15"/>
  <c r="AT72" i="15"/>
  <c r="AT73" i="15"/>
  <c r="AT74" i="15"/>
  <c r="AT75" i="15"/>
  <c r="AT76" i="15"/>
  <c r="AT77" i="15"/>
  <c r="AT78" i="15"/>
  <c r="AT79" i="15"/>
  <c r="AT80" i="15"/>
  <c r="AT81" i="15"/>
  <c r="AT82" i="15"/>
  <c r="AT83" i="15"/>
  <c r="AT84" i="15"/>
  <c r="AT85" i="15"/>
  <c r="AT86" i="15"/>
  <c r="AT87" i="15"/>
  <c r="AT88" i="15"/>
  <c r="AT89" i="15"/>
  <c r="AT90" i="15"/>
  <c r="AT91" i="15"/>
  <c r="AT92" i="15"/>
  <c r="AT93" i="15"/>
  <c r="AT94" i="15"/>
  <c r="AT95" i="15"/>
  <c r="AT96" i="15"/>
  <c r="AT97" i="15"/>
  <c r="AT98" i="15"/>
  <c r="AT99" i="15"/>
  <c r="AT100" i="15"/>
  <c r="AT101" i="15"/>
  <c r="AT102" i="15"/>
  <c r="AT103" i="15"/>
  <c r="AT104" i="15"/>
  <c r="AT106" i="15"/>
  <c r="AT107" i="15"/>
  <c r="AT108" i="15"/>
  <c r="AT109" i="15"/>
  <c r="AT112" i="15"/>
  <c r="AT115" i="15"/>
  <c r="AT116" i="15"/>
  <c r="AT117" i="15"/>
  <c r="AT118" i="15"/>
  <c r="AT119" i="15"/>
  <c r="AT120" i="15"/>
  <c r="AT121" i="15"/>
  <c r="AT122" i="15"/>
  <c r="AT125" i="15"/>
  <c r="AT126" i="15"/>
  <c r="AT127" i="15"/>
  <c r="AT128" i="15"/>
  <c r="AT129" i="15"/>
  <c r="AT131" i="15"/>
  <c r="AT132" i="15"/>
  <c r="AT133" i="15"/>
  <c r="AT135" i="15"/>
  <c r="AT137" i="15"/>
  <c r="AT138" i="15"/>
  <c r="AT139" i="15"/>
  <c r="AT140" i="15"/>
  <c r="AT141" i="15"/>
  <c r="AT142" i="15"/>
  <c r="AT143" i="15"/>
  <c r="AT144" i="15"/>
  <c r="AT145" i="15"/>
  <c r="AT146" i="15"/>
  <c r="AT147" i="15"/>
  <c r="AT148" i="15"/>
  <c r="AT157" i="15"/>
  <c r="AT158" i="15"/>
  <c r="AT161" i="15"/>
  <c r="AT162" i="15"/>
  <c r="AT163" i="15"/>
  <c r="AT167" i="15"/>
  <c r="AT168" i="15"/>
  <c r="AT170" i="15"/>
  <c r="AT171" i="15"/>
  <c r="AT172" i="15"/>
  <c r="AT173" i="15"/>
  <c r="AT174" i="15"/>
  <c r="AT175" i="15"/>
  <c r="AT176" i="15"/>
  <c r="AT177" i="15"/>
  <c r="AT179" i="15"/>
  <c r="AT180" i="15"/>
  <c r="AT181" i="15"/>
  <c r="AT183" i="15"/>
  <c r="AT184" i="15"/>
  <c r="AT185" i="15"/>
  <c r="AT187" i="15"/>
  <c r="AT188" i="15"/>
  <c r="AT189" i="15"/>
  <c r="AT190" i="15"/>
  <c r="AT191" i="15"/>
  <c r="AT192" i="15"/>
  <c r="AT193" i="15"/>
  <c r="AT194" i="15"/>
  <c r="AT196" i="15"/>
  <c r="AT197" i="15"/>
  <c r="AT198" i="15"/>
  <c r="AT199" i="15"/>
  <c r="AT201" i="15"/>
  <c r="AT202" i="15"/>
  <c r="AT203" i="15"/>
  <c r="AT204" i="15"/>
  <c r="AT205" i="15"/>
  <c r="AT206" i="15"/>
  <c r="AT207" i="15"/>
  <c r="AT208" i="15"/>
  <c r="AT209" i="15"/>
  <c r="AT210" i="15"/>
  <c r="AT211" i="15"/>
  <c r="AT212" i="15"/>
  <c r="AT213" i="15"/>
  <c r="AT214" i="15"/>
  <c r="AT215" i="15"/>
  <c r="AT216" i="15"/>
  <c r="AT217" i="15"/>
  <c r="AT223" i="15"/>
  <c r="AT219" i="15"/>
  <c r="AT221" i="15"/>
  <c r="AT222" i="15"/>
  <c r="AT2" i="15"/>
  <c r="BE3" i="15"/>
  <c r="BE4" i="15"/>
  <c r="BE5" i="15"/>
  <c r="BE6" i="15"/>
  <c r="BE7" i="15"/>
  <c r="BE8" i="15"/>
  <c r="BE9" i="15"/>
  <c r="BE218" i="15"/>
  <c r="BE10" i="15"/>
  <c r="BE11" i="15"/>
  <c r="BE12" i="15"/>
  <c r="BE13" i="15"/>
  <c r="BE14" i="15"/>
  <c r="BE15" i="15"/>
  <c r="BE16" i="15"/>
  <c r="BE17" i="15"/>
  <c r="BE18" i="15"/>
  <c r="BE19" i="15"/>
  <c r="BE20" i="15"/>
  <c r="BE21" i="15"/>
  <c r="BE22" i="15"/>
  <c r="BE23" i="15"/>
  <c r="BE24" i="15"/>
  <c r="BE25" i="15"/>
  <c r="BE26" i="15"/>
  <c r="BE27" i="15"/>
  <c r="BE28" i="15"/>
  <c r="BE29" i="15"/>
  <c r="BE30" i="15"/>
  <c r="BE31" i="15"/>
  <c r="BE32" i="15"/>
  <c r="BE33" i="15"/>
  <c r="BE34" i="15"/>
  <c r="BE35" i="15"/>
  <c r="BE36" i="15"/>
  <c r="BE37" i="15"/>
  <c r="BE38" i="15"/>
  <c r="BE39" i="15"/>
  <c r="BE40" i="15"/>
  <c r="BE41" i="15"/>
  <c r="BE42" i="15"/>
  <c r="BE43" i="15"/>
  <c r="BE44" i="15"/>
  <c r="BE45" i="15"/>
  <c r="BE46" i="15"/>
  <c r="BE47" i="15"/>
  <c r="BE48" i="15"/>
  <c r="BE49" i="15"/>
  <c r="BE50" i="15"/>
  <c r="BE51" i="15"/>
  <c r="BE52" i="15"/>
  <c r="BE53" i="15"/>
  <c r="BE54" i="15"/>
  <c r="BE55" i="15"/>
  <c r="BE56" i="15"/>
  <c r="BE57" i="15"/>
  <c r="BE58" i="15"/>
  <c r="BE59" i="15"/>
  <c r="BE60" i="15"/>
  <c r="BE61" i="15"/>
  <c r="BE62" i="15"/>
  <c r="BE63" i="15"/>
  <c r="BE64" i="15"/>
  <c r="BE65" i="15"/>
  <c r="BE66" i="15"/>
  <c r="BE67" i="15"/>
  <c r="BE68" i="15"/>
  <c r="BE69" i="15"/>
  <c r="BE70" i="15"/>
  <c r="BE71" i="15"/>
  <c r="BE72" i="15"/>
  <c r="BE73" i="15"/>
  <c r="BE74" i="15"/>
  <c r="BE75" i="15"/>
  <c r="BE76" i="15"/>
  <c r="BE77" i="15"/>
  <c r="BE78" i="15"/>
  <c r="BE79" i="15"/>
  <c r="BE80" i="15"/>
  <c r="BE81" i="15"/>
  <c r="BE82" i="15"/>
  <c r="BE83" i="15"/>
  <c r="BE84" i="15"/>
  <c r="BE85" i="15"/>
  <c r="BE86" i="15"/>
  <c r="BE87" i="15"/>
  <c r="BE88" i="15"/>
  <c r="BE89" i="15"/>
  <c r="BE90" i="15"/>
  <c r="BE91" i="15"/>
  <c r="BE92" i="15"/>
  <c r="BE93" i="15"/>
  <c r="BE94" i="15"/>
  <c r="BE95" i="15"/>
  <c r="BE96" i="15"/>
  <c r="BE97" i="15"/>
  <c r="BE98" i="15"/>
  <c r="BE99" i="15"/>
  <c r="BE100" i="15"/>
  <c r="BE101" i="15"/>
  <c r="BE102" i="15"/>
  <c r="BE103" i="15"/>
  <c r="BE104" i="15"/>
  <c r="BE105" i="15"/>
  <c r="BE106" i="15"/>
  <c r="BE107" i="15"/>
  <c r="BE108" i="15"/>
  <c r="BE109" i="15"/>
  <c r="BE110" i="15"/>
  <c r="BE111" i="15"/>
  <c r="BE112" i="15"/>
  <c r="BE113" i="15"/>
  <c r="BE114" i="15"/>
  <c r="BE115" i="15"/>
  <c r="BE116" i="15"/>
  <c r="BE117" i="15"/>
  <c r="BE118" i="15"/>
  <c r="BE119" i="15"/>
  <c r="BE120" i="15"/>
  <c r="BE121" i="15"/>
  <c r="BE122" i="15"/>
  <c r="BE123" i="15"/>
  <c r="BE124" i="15"/>
  <c r="BE125" i="15"/>
  <c r="BE126" i="15"/>
  <c r="BE127" i="15"/>
  <c r="BE128" i="15"/>
  <c r="BE129" i="15"/>
  <c r="BE130" i="15"/>
  <c r="BE131" i="15"/>
  <c r="BE132" i="15"/>
  <c r="BE133" i="15"/>
  <c r="BE134" i="15"/>
  <c r="BE135" i="15"/>
  <c r="BE136" i="15"/>
  <c r="BE137" i="15"/>
  <c r="BE138" i="15"/>
  <c r="BE139" i="15"/>
  <c r="BE140" i="15"/>
  <c r="BE141" i="15"/>
  <c r="BE142" i="15"/>
  <c r="BE143" i="15"/>
  <c r="BE144" i="15"/>
  <c r="BE145" i="15"/>
  <c r="BE146" i="15"/>
  <c r="BE147" i="15"/>
  <c r="BE148" i="15"/>
  <c r="BE149" i="15"/>
  <c r="BE150" i="15"/>
  <c r="BE151" i="15"/>
  <c r="BE152" i="15"/>
  <c r="BE153" i="15"/>
  <c r="BE154" i="15"/>
  <c r="BE155" i="15"/>
  <c r="BE156" i="15"/>
  <c r="BE157" i="15"/>
  <c r="BE158" i="15"/>
  <c r="BE159" i="15"/>
  <c r="BE160" i="15"/>
  <c r="BE161" i="15"/>
  <c r="BE162" i="15"/>
  <c r="BE163" i="15"/>
  <c r="BE164" i="15"/>
  <c r="BE165" i="15"/>
  <c r="BE166" i="15"/>
  <c r="BE167" i="15"/>
  <c r="BE168" i="15"/>
  <c r="BE169" i="15"/>
  <c r="BE170" i="15"/>
  <c r="BE171" i="15"/>
  <c r="BE172" i="15"/>
  <c r="BE173" i="15"/>
  <c r="BE174" i="15"/>
  <c r="BE175" i="15"/>
  <c r="BE176" i="15"/>
  <c r="BE177" i="15"/>
  <c r="BE178" i="15"/>
  <c r="BE179" i="15"/>
  <c r="BE180" i="15"/>
  <c r="BE181" i="15"/>
  <c r="BE182" i="15"/>
  <c r="BE183" i="15"/>
  <c r="BE184" i="15"/>
  <c r="BE185" i="15"/>
  <c r="BE186" i="15"/>
  <c r="BE187" i="15"/>
  <c r="BE188" i="15"/>
  <c r="BE189" i="15"/>
  <c r="BE190" i="15"/>
  <c r="BE191" i="15"/>
  <c r="BE192" i="15"/>
  <c r="BE193" i="15"/>
  <c r="BE194" i="15"/>
  <c r="BE195" i="15"/>
  <c r="BE196" i="15"/>
  <c r="BE197" i="15"/>
  <c r="BE198" i="15"/>
  <c r="BE199" i="15"/>
  <c r="BE200" i="15"/>
  <c r="BE201" i="15"/>
  <c r="BE202" i="15"/>
  <c r="BE203" i="15"/>
  <c r="BE204" i="15"/>
  <c r="BE205" i="15"/>
  <c r="BE206" i="15"/>
  <c r="BE207" i="15"/>
  <c r="BE208" i="15"/>
  <c r="BE209" i="15"/>
  <c r="BE210" i="15"/>
  <c r="BE211" i="15"/>
  <c r="BE212" i="15"/>
  <c r="BE213" i="15"/>
  <c r="BE214" i="15"/>
  <c r="BE215" i="15"/>
  <c r="BE216" i="15"/>
  <c r="BE217" i="15"/>
  <c r="BE223" i="15"/>
  <c r="BE219" i="15"/>
  <c r="BE220" i="15"/>
  <c r="BE221" i="15"/>
  <c r="BE222" i="15"/>
  <c r="BE2" i="15"/>
  <c r="BE224" i="15"/>
  <c r="BP3" i="15"/>
  <c r="BP4" i="15"/>
  <c r="BP5" i="15"/>
  <c r="BP6" i="15"/>
  <c r="BP7" i="15"/>
  <c r="BP8" i="15"/>
  <c r="BP9" i="15"/>
  <c r="BP218" i="15"/>
  <c r="BP10" i="15"/>
  <c r="BP11" i="15"/>
  <c r="BP12" i="15"/>
  <c r="BP13" i="15"/>
  <c r="BP14" i="15"/>
  <c r="BP15" i="15"/>
  <c r="BP16" i="15"/>
  <c r="BP17" i="15"/>
  <c r="BP18" i="15"/>
  <c r="BP19" i="15"/>
  <c r="BP20" i="15"/>
  <c r="BP21" i="15"/>
  <c r="BP22" i="15"/>
  <c r="BP23" i="15"/>
  <c r="BP24" i="15"/>
  <c r="BP25" i="15"/>
  <c r="BP26" i="15"/>
  <c r="BP27" i="15"/>
  <c r="BP28" i="15"/>
  <c r="BP29" i="15"/>
  <c r="BP30" i="15"/>
  <c r="BP31" i="15"/>
  <c r="BP32" i="15"/>
  <c r="BP33" i="15"/>
  <c r="BP34" i="15"/>
  <c r="BP35" i="15"/>
  <c r="BP36" i="15"/>
  <c r="BP37" i="15"/>
  <c r="BP38" i="15"/>
  <c r="BP39" i="15"/>
  <c r="BP40" i="15"/>
  <c r="BP41" i="15"/>
  <c r="BP42" i="15"/>
  <c r="BP43" i="15"/>
  <c r="BP44" i="15"/>
  <c r="BP45" i="15"/>
  <c r="BP46" i="15"/>
  <c r="BP47" i="15"/>
  <c r="BP48" i="15"/>
  <c r="BP49" i="15"/>
  <c r="BP50" i="15"/>
  <c r="BP51" i="15"/>
  <c r="BP52" i="15"/>
  <c r="BP53" i="15"/>
  <c r="BP54" i="15"/>
  <c r="BP55" i="15"/>
  <c r="BP56" i="15"/>
  <c r="BP57" i="15"/>
  <c r="BP58" i="15"/>
  <c r="BP59" i="15"/>
  <c r="BP60" i="15"/>
  <c r="BP61" i="15"/>
  <c r="BP62" i="15"/>
  <c r="BP63" i="15"/>
  <c r="BP64" i="15"/>
  <c r="BP65" i="15"/>
  <c r="BP66" i="15"/>
  <c r="BP67" i="15"/>
  <c r="BP68" i="15"/>
  <c r="BP69" i="15"/>
  <c r="BP70" i="15"/>
  <c r="BP71" i="15"/>
  <c r="BP72" i="15"/>
  <c r="BP73" i="15"/>
  <c r="BP74" i="15"/>
  <c r="BP75" i="15"/>
  <c r="BP76" i="15"/>
  <c r="BP77" i="15"/>
  <c r="BP78" i="15"/>
  <c r="BP79" i="15"/>
  <c r="BP80" i="15"/>
  <c r="BP81" i="15"/>
  <c r="BP82" i="15"/>
  <c r="BP83" i="15"/>
  <c r="BP84" i="15"/>
  <c r="BP85" i="15"/>
  <c r="BP86" i="15"/>
  <c r="BP87" i="15"/>
  <c r="BP88" i="15"/>
  <c r="BP89" i="15"/>
  <c r="BP90" i="15"/>
  <c r="BP91" i="15"/>
  <c r="BP92" i="15"/>
  <c r="BP93" i="15"/>
  <c r="BP94" i="15"/>
  <c r="BP95" i="15"/>
  <c r="BP96" i="15"/>
  <c r="BP97" i="15"/>
  <c r="BP98" i="15"/>
  <c r="BP99" i="15"/>
  <c r="BP100" i="15"/>
  <c r="BP101" i="15"/>
  <c r="BP102" i="15"/>
  <c r="BP103" i="15"/>
  <c r="BP104" i="15"/>
  <c r="BP105" i="15"/>
  <c r="BP106" i="15"/>
  <c r="BP107" i="15"/>
  <c r="BP108" i="15"/>
  <c r="BP109" i="15"/>
  <c r="BP110" i="15"/>
  <c r="BP111" i="15"/>
  <c r="BP112" i="15"/>
  <c r="BP113" i="15"/>
  <c r="BP114" i="15"/>
  <c r="BP115" i="15"/>
  <c r="BP116" i="15"/>
  <c r="BP117" i="15"/>
  <c r="BP118" i="15"/>
  <c r="BP119" i="15"/>
  <c r="BP120" i="15"/>
  <c r="BP121" i="15"/>
  <c r="BP122" i="15"/>
  <c r="BP123" i="15"/>
  <c r="BP124" i="15"/>
  <c r="BP125" i="15"/>
  <c r="BP126" i="15"/>
  <c r="BP127" i="15"/>
  <c r="BP128" i="15"/>
  <c r="BP129" i="15"/>
  <c r="BP130" i="15"/>
  <c r="BP131" i="15"/>
  <c r="BP132" i="15"/>
  <c r="BP133" i="15"/>
  <c r="BP134" i="15"/>
  <c r="BP135" i="15"/>
  <c r="BP136" i="15"/>
  <c r="BP137" i="15"/>
  <c r="BP138" i="15"/>
  <c r="BP139" i="15"/>
  <c r="BP140" i="15"/>
  <c r="BP141" i="15"/>
  <c r="BP142" i="15"/>
  <c r="BP143" i="15"/>
  <c r="BP144" i="15"/>
  <c r="BP145" i="15"/>
  <c r="BP146" i="15"/>
  <c r="BP147" i="15"/>
  <c r="BP148" i="15"/>
  <c r="BP149" i="15"/>
  <c r="BP150" i="15"/>
  <c r="BP151" i="15"/>
  <c r="BP152" i="15"/>
  <c r="BP153" i="15"/>
  <c r="BP154" i="15"/>
  <c r="BP155" i="15"/>
  <c r="BP156" i="15"/>
  <c r="BP157" i="15"/>
  <c r="BP158" i="15"/>
  <c r="BP159" i="15"/>
  <c r="BP160" i="15"/>
  <c r="BP161" i="15"/>
  <c r="BP162" i="15"/>
  <c r="BP163" i="15"/>
  <c r="BP164" i="15"/>
  <c r="BP165" i="15"/>
  <c r="BP166" i="15"/>
  <c r="BP167" i="15"/>
  <c r="BP168" i="15"/>
  <c r="BP169" i="15"/>
  <c r="BP170" i="15"/>
  <c r="BP171" i="15"/>
  <c r="BP172" i="15"/>
  <c r="BP173" i="15"/>
  <c r="BP174" i="15"/>
  <c r="BP175" i="15"/>
  <c r="BP176" i="15"/>
  <c r="BP177" i="15"/>
  <c r="BP178" i="15"/>
  <c r="BP179" i="15"/>
  <c r="BP180" i="15"/>
  <c r="BP181" i="15"/>
  <c r="BP182" i="15"/>
  <c r="BP183" i="15"/>
  <c r="BP184" i="15"/>
  <c r="BP185" i="15"/>
  <c r="BP186" i="15"/>
  <c r="BP187" i="15"/>
  <c r="BP188" i="15"/>
  <c r="BP189" i="15"/>
  <c r="BP190" i="15"/>
  <c r="BP191" i="15"/>
  <c r="BP192" i="15"/>
  <c r="BP193" i="15"/>
  <c r="BP194" i="15"/>
  <c r="BP195" i="15"/>
  <c r="BP196" i="15"/>
  <c r="BP197" i="15"/>
  <c r="BP198" i="15"/>
  <c r="BP199" i="15"/>
  <c r="BP200" i="15"/>
  <c r="BP201" i="15"/>
  <c r="BP202" i="15"/>
  <c r="BP203" i="15"/>
  <c r="BP204" i="15"/>
  <c r="BP205" i="15"/>
  <c r="BP206" i="15"/>
  <c r="BP207" i="15"/>
  <c r="BP208" i="15"/>
  <c r="BP209" i="15"/>
  <c r="BP210" i="15"/>
  <c r="BP211" i="15"/>
  <c r="BP212" i="15"/>
  <c r="BP213" i="15"/>
  <c r="BP214" i="15"/>
  <c r="BP215" i="15"/>
  <c r="BP216" i="15"/>
  <c r="BP217" i="15"/>
  <c r="BP223" i="15"/>
  <c r="BP219" i="15"/>
  <c r="BP220" i="15"/>
  <c r="BP221" i="15"/>
  <c r="BP222" i="15"/>
  <c r="BP2" i="15"/>
  <c r="BP224" i="15"/>
  <c r="CA3" i="15"/>
  <c r="CA4" i="15"/>
  <c r="CA5" i="15"/>
  <c r="CA6" i="15"/>
  <c r="CA7" i="15"/>
  <c r="CA8" i="15"/>
  <c r="CA9" i="15"/>
  <c r="CA218" i="15"/>
  <c r="CA10" i="15"/>
  <c r="CA11" i="15"/>
  <c r="CA12" i="15"/>
  <c r="CA13" i="15"/>
  <c r="CA14" i="15"/>
  <c r="CA15" i="15"/>
  <c r="CA16" i="15"/>
  <c r="CA17" i="15"/>
  <c r="CA18" i="15"/>
  <c r="CA19" i="15"/>
  <c r="CA20" i="15"/>
  <c r="CA21" i="15"/>
  <c r="CA22" i="15"/>
  <c r="CA23" i="15"/>
  <c r="CA24" i="15"/>
  <c r="CA25" i="15"/>
  <c r="CA26" i="15"/>
  <c r="CA27" i="15"/>
  <c r="CA28" i="15"/>
  <c r="CA29" i="15"/>
  <c r="CA30" i="15"/>
  <c r="CA31" i="15"/>
  <c r="CA32" i="15"/>
  <c r="CA33" i="15"/>
  <c r="CA34" i="15"/>
  <c r="CA35" i="15"/>
  <c r="CA36" i="15"/>
  <c r="CA37" i="15"/>
  <c r="CA38" i="15"/>
  <c r="CA39" i="15"/>
  <c r="CA40" i="15"/>
  <c r="CA41" i="15"/>
  <c r="CA42" i="15"/>
  <c r="CA43" i="15"/>
  <c r="CA44" i="15"/>
  <c r="CA45" i="15"/>
  <c r="CA46" i="15"/>
  <c r="CA47" i="15"/>
  <c r="CA48" i="15"/>
  <c r="CA49" i="15"/>
  <c r="CA50" i="15"/>
  <c r="CA51" i="15"/>
  <c r="CA52" i="15"/>
  <c r="CA53" i="15"/>
  <c r="CA54" i="15"/>
  <c r="CA55" i="15"/>
  <c r="CA56" i="15"/>
  <c r="CA57" i="15"/>
  <c r="CA58" i="15"/>
  <c r="CA59" i="15"/>
  <c r="CA60" i="15"/>
  <c r="CA61" i="15"/>
  <c r="CA62" i="15"/>
  <c r="CA63" i="15"/>
  <c r="CA64" i="15"/>
  <c r="CA65" i="15"/>
  <c r="CA66" i="15"/>
  <c r="CA67" i="15"/>
  <c r="CA68" i="15"/>
  <c r="CA69" i="15"/>
  <c r="CA70" i="15"/>
  <c r="CA71" i="15"/>
  <c r="CA72" i="15"/>
  <c r="CA73" i="15"/>
  <c r="CA74" i="15"/>
  <c r="CA75" i="15"/>
  <c r="CA76" i="15"/>
  <c r="CA77" i="15"/>
  <c r="CA78" i="15"/>
  <c r="CA79" i="15"/>
  <c r="CA80" i="15"/>
  <c r="CA81" i="15"/>
  <c r="CA82" i="15"/>
  <c r="CA83" i="15"/>
  <c r="CA84" i="15"/>
  <c r="CA85" i="15"/>
  <c r="CA86" i="15"/>
  <c r="CA87" i="15"/>
  <c r="CA88" i="15"/>
  <c r="CA89" i="15"/>
  <c r="CA90" i="15"/>
  <c r="CA91" i="15"/>
  <c r="CA92" i="15"/>
  <c r="CA93" i="15"/>
  <c r="CA94" i="15"/>
  <c r="CA95" i="15"/>
  <c r="CA96" i="15"/>
  <c r="CA97" i="15"/>
  <c r="CA98" i="15"/>
  <c r="CA99" i="15"/>
  <c r="CA100" i="15"/>
  <c r="CA101" i="15"/>
  <c r="CA102" i="15"/>
  <c r="CA103" i="15"/>
  <c r="CA104" i="15"/>
  <c r="CA105" i="15"/>
  <c r="CA106" i="15"/>
  <c r="CA107" i="15"/>
  <c r="CA108" i="15"/>
  <c r="CA109" i="15"/>
  <c r="CA110" i="15"/>
  <c r="CA111" i="15"/>
  <c r="CA112" i="15"/>
  <c r="CA113" i="15"/>
  <c r="CA114" i="15"/>
  <c r="CA115" i="15"/>
  <c r="CA116" i="15"/>
  <c r="CA117" i="15"/>
  <c r="CA118" i="15"/>
  <c r="CA119" i="15"/>
  <c r="CA120" i="15"/>
  <c r="CA121" i="15"/>
  <c r="CA122" i="15"/>
  <c r="CA123" i="15"/>
  <c r="CA124" i="15"/>
  <c r="CA125" i="15"/>
  <c r="CA126" i="15"/>
  <c r="CA127" i="15"/>
  <c r="CA128" i="15"/>
  <c r="CA129" i="15"/>
  <c r="CA130" i="15"/>
  <c r="CA131" i="15"/>
  <c r="CA132" i="15"/>
  <c r="CA133" i="15"/>
  <c r="CA134" i="15"/>
  <c r="CA135" i="15"/>
  <c r="CA136" i="15"/>
  <c r="CA137" i="15"/>
  <c r="CA138" i="15"/>
  <c r="CA139" i="15"/>
  <c r="CA140" i="15"/>
  <c r="CA141" i="15"/>
  <c r="CA142" i="15"/>
  <c r="CA143" i="15"/>
  <c r="CA144" i="15"/>
  <c r="CA145" i="15"/>
  <c r="CA146" i="15"/>
  <c r="CA147" i="15"/>
  <c r="CA148" i="15"/>
  <c r="CA149" i="15"/>
  <c r="CA150" i="15"/>
  <c r="CA151" i="15"/>
  <c r="CA152" i="15"/>
  <c r="CA153" i="15"/>
  <c r="CA154" i="15"/>
  <c r="CA155" i="15"/>
  <c r="CA156" i="15"/>
  <c r="CA157" i="15"/>
  <c r="CA158" i="15"/>
  <c r="CA159" i="15"/>
  <c r="CA160" i="15"/>
  <c r="CA161" i="15"/>
  <c r="CA162" i="15"/>
  <c r="CA163" i="15"/>
  <c r="CA164" i="15"/>
  <c r="CA165" i="15"/>
  <c r="CA166" i="15"/>
  <c r="CA167" i="15"/>
  <c r="CA168" i="15"/>
  <c r="CA169" i="15"/>
  <c r="CA170" i="15"/>
  <c r="CA171" i="15"/>
  <c r="CA172" i="15"/>
  <c r="CA173" i="15"/>
  <c r="CA174" i="15"/>
  <c r="CA175" i="15"/>
  <c r="CA176" i="15"/>
  <c r="CA177" i="15"/>
  <c r="CA178" i="15"/>
  <c r="CA179" i="15"/>
  <c r="CA180" i="15"/>
  <c r="CA181" i="15"/>
  <c r="CA182" i="15"/>
  <c r="CA183" i="15"/>
  <c r="CA184" i="15"/>
  <c r="CA185" i="15"/>
  <c r="CA186" i="15"/>
  <c r="CA187" i="15"/>
  <c r="CA188" i="15"/>
  <c r="CA189" i="15"/>
  <c r="CA190" i="15"/>
  <c r="CA191" i="15"/>
  <c r="CA192" i="15"/>
  <c r="CA193" i="15"/>
  <c r="CA194" i="15"/>
  <c r="CA195" i="15"/>
  <c r="CA196" i="15"/>
  <c r="CA197" i="15"/>
  <c r="CA198" i="15"/>
  <c r="CA199" i="15"/>
  <c r="CA200" i="15"/>
  <c r="CA201" i="15"/>
  <c r="CA202" i="15"/>
  <c r="CA203" i="15"/>
  <c r="CA204" i="15"/>
  <c r="CA205" i="15"/>
  <c r="CA206" i="15"/>
  <c r="CA207" i="15"/>
  <c r="CA208" i="15"/>
  <c r="CA209" i="15"/>
  <c r="CA210" i="15"/>
  <c r="CA211" i="15"/>
  <c r="CA212" i="15"/>
  <c r="CA213" i="15"/>
  <c r="CA214" i="15"/>
  <c r="CA215" i="15"/>
  <c r="CA216" i="15"/>
  <c r="CA217" i="15"/>
  <c r="CA223" i="15"/>
  <c r="CA219" i="15"/>
  <c r="CA220" i="15"/>
  <c r="CA221" i="15"/>
  <c r="CA222" i="15"/>
  <c r="CA2" i="15"/>
  <c r="CA224" i="15"/>
  <c r="M224" i="15"/>
  <c r="B153" i="15"/>
  <c r="D153" i="15" s="1"/>
  <c r="B8" i="83"/>
  <c r="B23" i="83"/>
  <c r="B13" i="83"/>
  <c r="B216" i="15"/>
  <c r="D216" i="15" s="1"/>
  <c r="B213" i="15"/>
  <c r="D213" i="15" s="1"/>
  <c r="B214" i="15"/>
  <c r="D214" i="15" s="1"/>
  <c r="B180" i="15"/>
  <c r="D180" i="15" s="1"/>
  <c r="B110" i="15"/>
  <c r="D110" i="15" s="1"/>
  <c r="B215" i="15"/>
  <c r="D215" i="15" s="1"/>
  <c r="B178" i="15"/>
  <c r="D178" i="15" s="1"/>
  <c r="B134" i="15"/>
  <c r="D134" i="15" s="1"/>
  <c r="B125" i="15"/>
  <c r="B68" i="15"/>
  <c r="D68" i="15" s="1"/>
  <c r="B149" i="15"/>
  <c r="D149" i="15" s="1"/>
  <c r="B129" i="15"/>
  <c r="Q12" i="88" l="1"/>
  <c r="L13" i="88"/>
  <c r="Q30" i="88"/>
  <c r="L31" i="88"/>
  <c r="K31" i="88"/>
  <c r="P30" i="88"/>
  <c r="K13" i="88"/>
  <c r="P12" i="88"/>
  <c r="O23" i="71"/>
  <c r="O24" i="71"/>
  <c r="O22" i="71"/>
  <c r="O6" i="71"/>
  <c r="F7" i="71"/>
  <c r="CF2" i="83"/>
  <c r="CF3" i="83"/>
  <c r="CF4" i="83"/>
  <c r="CF5" i="83"/>
  <c r="CF9" i="83"/>
  <c r="CF10" i="83"/>
  <c r="CF11" i="83"/>
  <c r="CF12" i="83"/>
  <c r="CF13" i="83"/>
  <c r="CF14" i="83"/>
  <c r="CF15" i="83"/>
  <c r="CF16" i="83"/>
  <c r="CF17" i="83"/>
  <c r="CF18" i="83"/>
  <c r="CF19" i="83"/>
  <c r="CF20" i="83"/>
  <c r="CF21" i="83"/>
  <c r="CF22" i="83"/>
  <c r="CF23" i="83"/>
  <c r="CF24" i="83"/>
  <c r="CF25" i="83"/>
  <c r="CF26" i="83"/>
  <c r="CF27" i="83"/>
  <c r="CF28" i="83"/>
  <c r="CF29" i="83"/>
  <c r="CF30" i="83"/>
  <c r="CF31" i="83"/>
  <c r="CF32" i="83"/>
  <c r="CF33" i="83"/>
  <c r="CE2" i="83"/>
  <c r="CE3" i="83"/>
  <c r="CE4" i="83"/>
  <c r="CE5" i="83"/>
  <c r="CE9" i="83"/>
  <c r="CE10" i="83"/>
  <c r="CE11" i="83"/>
  <c r="CE12" i="83"/>
  <c r="CE13" i="83"/>
  <c r="CE14" i="83"/>
  <c r="CE15" i="83"/>
  <c r="CE16" i="83"/>
  <c r="CE17" i="83"/>
  <c r="CE18" i="83"/>
  <c r="CE19" i="83"/>
  <c r="CE20" i="83"/>
  <c r="CE21" i="83"/>
  <c r="CE22" i="83"/>
  <c r="CE23" i="83"/>
  <c r="CE24" i="83"/>
  <c r="CE25" i="83"/>
  <c r="CE26" i="83"/>
  <c r="CE27" i="83"/>
  <c r="CE28" i="83"/>
  <c r="CE29" i="83"/>
  <c r="CE30" i="83"/>
  <c r="CE31" i="83"/>
  <c r="CE32" i="83"/>
  <c r="CE33" i="83"/>
  <c r="CD33" i="83"/>
  <c r="CD32" i="83"/>
  <c r="CD31" i="83"/>
  <c r="CD30" i="83"/>
  <c r="CD29" i="83"/>
  <c r="CD27" i="83"/>
  <c r="CD25" i="83"/>
  <c r="CD24" i="83"/>
  <c r="CD4" i="83"/>
  <c r="CD3" i="83"/>
  <c r="CD2" i="83"/>
  <c r="CD5" i="83"/>
  <c r="CD9" i="83"/>
  <c r="CD10" i="83"/>
  <c r="CD11" i="83"/>
  <c r="CD12" i="83"/>
  <c r="CD13" i="83"/>
  <c r="CD14" i="83"/>
  <c r="CD15" i="83"/>
  <c r="CD16" i="83"/>
  <c r="CD17" i="83"/>
  <c r="CD18" i="83"/>
  <c r="CD19" i="83"/>
  <c r="CD20" i="83"/>
  <c r="CD21" i="83"/>
  <c r="CD22" i="83"/>
  <c r="CD23" i="83"/>
  <c r="CD26" i="83"/>
  <c r="CD28" i="83"/>
  <c r="AO33" i="83"/>
  <c r="AO32" i="83"/>
  <c r="AO31" i="83"/>
  <c r="AO30" i="83"/>
  <c r="AO29" i="83"/>
  <c r="AO27" i="83"/>
  <c r="AO25" i="83"/>
  <c r="AO24" i="83"/>
  <c r="AO4" i="83"/>
  <c r="AO3" i="83"/>
  <c r="AO2" i="83"/>
  <c r="AO5" i="83"/>
  <c r="AO9" i="83"/>
  <c r="AO10" i="83"/>
  <c r="AO11" i="83"/>
  <c r="AO12" i="83"/>
  <c r="AO13" i="83"/>
  <c r="AO14" i="83"/>
  <c r="AO15" i="83"/>
  <c r="AO16" i="83"/>
  <c r="AO17" i="83"/>
  <c r="AO18" i="83"/>
  <c r="AO19" i="83"/>
  <c r="AO20" i="83"/>
  <c r="AO21" i="83"/>
  <c r="AO22" i="83"/>
  <c r="AO23" i="83"/>
  <c r="AO26" i="83"/>
  <c r="AO28" i="83"/>
  <c r="C33" i="83"/>
  <c r="C32" i="83"/>
  <c r="C31" i="83"/>
  <c r="C28" i="83"/>
  <c r="C27" i="83"/>
  <c r="C25" i="83"/>
  <c r="D25" i="83" s="1"/>
  <c r="C24" i="83"/>
  <c r="C23" i="83"/>
  <c r="C22" i="83"/>
  <c r="C21" i="83"/>
  <c r="C20" i="83"/>
  <c r="C19" i="83"/>
  <c r="C18" i="83"/>
  <c r="C17" i="83"/>
  <c r="C16" i="83"/>
  <c r="C15" i="83"/>
  <c r="C14" i="83"/>
  <c r="C13" i="83"/>
  <c r="C12" i="83"/>
  <c r="C11" i="83"/>
  <c r="C10" i="83"/>
  <c r="C9" i="83"/>
  <c r="C5" i="83"/>
  <c r="C4" i="83"/>
  <c r="C3" i="83"/>
  <c r="C2" i="83"/>
  <c r="M48" i="87"/>
  <c r="K41" i="87"/>
  <c r="M37" i="87"/>
  <c r="M45" i="87" s="1"/>
  <c r="L35" i="87"/>
  <c r="K35" i="87"/>
  <c r="L8" i="87"/>
  <c r="P13" i="88" l="1"/>
  <c r="K14" i="88"/>
  <c r="P31" i="88"/>
  <c r="K32" i="88"/>
  <c r="L32" i="88"/>
  <c r="Q31" i="88"/>
  <c r="L14" i="88"/>
  <c r="Q13" i="88"/>
  <c r="K36" i="87"/>
  <c r="K37" i="87" s="1"/>
  <c r="K39" i="87" s="1"/>
  <c r="M39" i="87"/>
  <c r="M40" i="87" s="1"/>
  <c r="K42" i="87"/>
  <c r="P32" i="88" l="1"/>
  <c r="K33" i="88"/>
  <c r="P14" i="88"/>
  <c r="K15" i="88"/>
  <c r="Q14" i="88"/>
  <c r="L15" i="88"/>
  <c r="L33" i="88"/>
  <c r="Q32" i="88"/>
  <c r="K43" i="87"/>
  <c r="M46" i="87"/>
  <c r="B4" i="83"/>
  <c r="B186" i="15"/>
  <c r="D186" i="15" s="1"/>
  <c r="B56" i="15"/>
  <c r="D56" i="15" s="1"/>
  <c r="V3" i="86"/>
  <c r="V4" i="86"/>
  <c r="V5" i="86"/>
  <c r="V7" i="86"/>
  <c r="V8" i="86"/>
  <c r="V9" i="86"/>
  <c r="V10" i="86"/>
  <c r="V11" i="86"/>
  <c r="V12" i="86"/>
  <c r="V13" i="86"/>
  <c r="V14" i="86"/>
  <c r="T15" i="86"/>
  <c r="V15" i="86"/>
  <c r="V16" i="86"/>
  <c r="V17" i="86"/>
  <c r="V18" i="86"/>
  <c r="V19" i="86"/>
  <c r="V20" i="86"/>
  <c r="V21" i="86"/>
  <c r="V22" i="86"/>
  <c r="V23" i="86"/>
  <c r="V24" i="86"/>
  <c r="V25" i="86"/>
  <c r="V26" i="86"/>
  <c r="V27" i="86"/>
  <c r="V28" i="86"/>
  <c r="V29" i="86"/>
  <c r="V30" i="86"/>
  <c r="V31" i="86"/>
  <c r="V32" i="86"/>
  <c r="V33" i="86"/>
  <c r="V34" i="86"/>
  <c r="V35" i="86"/>
  <c r="V36" i="86"/>
  <c r="V37" i="86"/>
  <c r="V38" i="86"/>
  <c r="V39" i="86"/>
  <c r="V40" i="86"/>
  <c r="V41" i="86"/>
  <c r="V42" i="86"/>
  <c r="V43" i="86"/>
  <c r="V44" i="86"/>
  <c r="V45" i="86"/>
  <c r="V46" i="86"/>
  <c r="V47" i="86"/>
  <c r="V48" i="86"/>
  <c r="V49" i="86"/>
  <c r="V50" i="86"/>
  <c r="V51" i="86"/>
  <c r="V52" i="86"/>
  <c r="V53" i="86"/>
  <c r="V54" i="86"/>
  <c r="V55" i="86"/>
  <c r="V56" i="86"/>
  <c r="V57" i="86"/>
  <c r="V58" i="86"/>
  <c r="V59" i="86"/>
  <c r="V60" i="86"/>
  <c r="V61" i="86"/>
  <c r="V62" i="86"/>
  <c r="V63" i="86"/>
  <c r="V64" i="86"/>
  <c r="V65" i="86"/>
  <c r="V66" i="86"/>
  <c r="V67" i="86"/>
  <c r="V68" i="86"/>
  <c r="V69" i="86"/>
  <c r="V70" i="86"/>
  <c r="V71" i="86"/>
  <c r="V72" i="86"/>
  <c r="V73" i="86"/>
  <c r="V74" i="86"/>
  <c r="V75" i="86"/>
  <c r="V76" i="86"/>
  <c r="V77" i="86"/>
  <c r="V78" i="86"/>
  <c r="W78" i="86" s="1"/>
  <c r="V79" i="86"/>
  <c r="V80" i="86"/>
  <c r="V81" i="86"/>
  <c r="V82" i="86"/>
  <c r="V83" i="86"/>
  <c r="V84" i="86"/>
  <c r="V85" i="86"/>
  <c r="V86" i="86"/>
  <c r="V87" i="86"/>
  <c r="V88" i="86"/>
  <c r="V89" i="86"/>
  <c r="V90" i="86"/>
  <c r="V91" i="86"/>
  <c r="V92" i="86"/>
  <c r="V93" i="86"/>
  <c r="V94" i="86"/>
  <c r="V95" i="86"/>
  <c r="V96" i="86"/>
  <c r="V97" i="86"/>
  <c r="V98" i="86"/>
  <c r="V99" i="86"/>
  <c r="V100" i="86"/>
  <c r="V101" i="86"/>
  <c r="V102" i="86"/>
  <c r="K34" i="88" l="1"/>
  <c r="P34" i="88" s="1"/>
  <c r="P33" i="88"/>
  <c r="L34" i="88"/>
  <c r="Q34" i="88" s="1"/>
  <c r="Q33" i="88"/>
  <c r="L16" i="88"/>
  <c r="Q16" i="88" s="1"/>
  <c r="Q15" i="88"/>
  <c r="P15" i="88"/>
  <c r="K16" i="88"/>
  <c r="P16" i="88" s="1"/>
  <c r="V1" i="86"/>
  <c r="Y1" i="86" s="1"/>
  <c r="AA1" i="86" s="1"/>
  <c r="B123" i="15"/>
  <c r="D123" i="15" s="1"/>
  <c r="B124" i="15"/>
  <c r="D124" i="15" s="1"/>
  <c r="B113" i="15" l="1"/>
  <c r="D113" i="15" s="1"/>
  <c r="B192" i="15"/>
  <c r="D192" i="15" s="1"/>
  <c r="B103" i="15"/>
  <c r="D103" i="15" s="1"/>
  <c r="B2" i="83"/>
  <c r="B185" i="15"/>
  <c r="D185" i="15" s="1"/>
  <c r="B136" i="15"/>
  <c r="D136" i="15" s="1"/>
  <c r="B41" i="15"/>
  <c r="D41" i="15" s="1"/>
  <c r="B39" i="15"/>
  <c r="B17" i="15"/>
  <c r="D17" i="15" s="1"/>
  <c r="B130" i="15"/>
  <c r="D130" i="15" s="1"/>
  <c r="B166" i="15"/>
  <c r="D166" i="15" s="1"/>
  <c r="B18" i="15"/>
  <c r="D18" i="15" s="1"/>
  <c r="B65" i="15"/>
  <c r="B45" i="15"/>
  <c r="B142" i="15"/>
  <c r="D142" i="15" s="1"/>
  <c r="B12" i="15"/>
  <c r="D12" i="15" s="1"/>
  <c r="B21" i="15" l="1"/>
  <c r="B52" i="15"/>
  <c r="D52" i="15" s="1"/>
  <c r="B53" i="15"/>
  <c r="D53" i="15" s="1"/>
  <c r="F6" i="71"/>
  <c r="G35" i="85"/>
  <c r="G36" i="85" s="1"/>
  <c r="G37" i="85" s="1"/>
  <c r="G38" i="85" s="1"/>
  <c r="G39" i="85" s="1"/>
  <c r="G40" i="85" s="1"/>
  <c r="G41" i="85" s="1"/>
  <c r="G42" i="85" s="1"/>
  <c r="G43" i="85" s="1"/>
  <c r="G44" i="85" s="1"/>
  <c r="G45" i="85" s="1"/>
  <c r="F35" i="85"/>
  <c r="F36" i="85" s="1"/>
  <c r="F37" i="85" s="1"/>
  <c r="F38" i="85" s="1"/>
  <c r="F39" i="85" s="1"/>
  <c r="F40" i="85" s="1"/>
  <c r="F41" i="85" s="1"/>
  <c r="F42" i="85" s="1"/>
  <c r="F43" i="85" s="1"/>
  <c r="F44" i="85" s="1"/>
  <c r="F45" i="85" s="1"/>
  <c r="E34" i="85"/>
  <c r="E35" i="85" s="1"/>
  <c r="E36" i="85" s="1"/>
  <c r="E37" i="85" s="1"/>
  <c r="E38" i="85" s="1"/>
  <c r="E39" i="85" s="1"/>
  <c r="E40" i="85" s="1"/>
  <c r="E41" i="85" s="1"/>
  <c r="E42" i="85" s="1"/>
  <c r="E43" i="85" s="1"/>
  <c r="E44" i="85" s="1"/>
  <c r="E45" i="85" s="1"/>
  <c r="D34" i="85"/>
  <c r="D35" i="85" s="1"/>
  <c r="D36" i="85" s="1"/>
  <c r="D37" i="85" s="1"/>
  <c r="D38" i="85" s="1"/>
  <c r="D39" i="85" s="1"/>
  <c r="D40" i="85" s="1"/>
  <c r="D41" i="85" s="1"/>
  <c r="D42" i="85" s="1"/>
  <c r="D43" i="85" s="1"/>
  <c r="D44" i="85" s="1"/>
  <c r="F22" i="71" l="1"/>
  <c r="F35" i="71" s="1"/>
  <c r="F8" i="71"/>
  <c r="F12" i="71"/>
  <c r="B40" i="15" l="1"/>
  <c r="D40" i="15" s="1"/>
  <c r="B51" i="15"/>
  <c r="D51" i="15" s="1"/>
  <c r="B22" i="15"/>
  <c r="D22" i="15" s="1"/>
  <c r="B132" i="15"/>
  <c r="D132" i="15" s="1"/>
  <c r="I31" i="82" l="1"/>
  <c r="B31" i="82"/>
  <c r="D31" i="82" s="1"/>
  <c r="M30" i="82"/>
  <c r="E30" i="82"/>
  <c r="M29" i="82"/>
  <c r="E29" i="82"/>
  <c r="C29" i="82"/>
  <c r="B29" i="82"/>
  <c r="M28" i="82"/>
  <c r="E28" i="82"/>
  <c r="C28" i="82"/>
  <c r="B28" i="82"/>
  <c r="M27" i="82"/>
  <c r="E27" i="82"/>
  <c r="B27" i="82"/>
  <c r="D27" i="82" s="1"/>
  <c r="M26" i="82"/>
  <c r="E26" i="82"/>
  <c r="D26" i="82"/>
  <c r="M25" i="82"/>
  <c r="E25" i="82"/>
  <c r="D25" i="82"/>
  <c r="M24" i="82"/>
  <c r="E24" i="82"/>
  <c r="D24" i="82"/>
  <c r="M23" i="82"/>
  <c r="E23" i="82"/>
  <c r="D23" i="82"/>
  <c r="M22" i="82"/>
  <c r="E22" i="82"/>
  <c r="D22" i="82"/>
  <c r="M21" i="82"/>
  <c r="E21" i="82"/>
  <c r="B21" i="82"/>
  <c r="D21" i="82" s="1"/>
  <c r="M20" i="82"/>
  <c r="E20" i="82"/>
  <c r="B20" i="82"/>
  <c r="M19" i="82"/>
  <c r="E19" i="82"/>
  <c r="M18" i="82"/>
  <c r="E18" i="82"/>
  <c r="M17" i="82"/>
  <c r="I17" i="82"/>
  <c r="E17" i="82"/>
  <c r="M16" i="82"/>
  <c r="I16" i="82"/>
  <c r="E16" i="82"/>
  <c r="M15" i="82"/>
  <c r="I15" i="82"/>
  <c r="E15" i="82"/>
  <c r="B15" i="82"/>
  <c r="D15" i="82" s="1"/>
  <c r="M14" i="82"/>
  <c r="I14" i="82"/>
  <c r="E14" i="82"/>
  <c r="B14" i="82"/>
  <c r="D14" i="82" s="1"/>
  <c r="M13" i="82"/>
  <c r="I13" i="82"/>
  <c r="E13" i="82"/>
  <c r="B13" i="82"/>
  <c r="D13" i="82" s="1"/>
  <c r="M12" i="82"/>
  <c r="I12" i="82"/>
  <c r="E12" i="82"/>
  <c r="B12" i="82"/>
  <c r="M11" i="82"/>
  <c r="I11" i="82"/>
  <c r="E11" i="82"/>
  <c r="B11" i="82"/>
  <c r="D11" i="82" s="1"/>
  <c r="M10" i="82"/>
  <c r="I10" i="82"/>
  <c r="E10" i="82"/>
  <c r="B10" i="82"/>
  <c r="M9" i="82"/>
  <c r="I9" i="82"/>
  <c r="E9" i="82"/>
  <c r="B9" i="82"/>
  <c r="D9" i="82" s="1"/>
  <c r="M8" i="82"/>
  <c r="I8" i="82"/>
  <c r="E8" i="82"/>
  <c r="B8" i="82"/>
  <c r="D8" i="82" s="1"/>
  <c r="M7" i="82"/>
  <c r="I7" i="82"/>
  <c r="E7" i="82"/>
  <c r="B7" i="82"/>
  <c r="D7" i="82" s="1"/>
  <c r="I6" i="82"/>
  <c r="B6" i="82"/>
  <c r="D6" i="82" s="1"/>
  <c r="M5" i="82"/>
  <c r="I5" i="82"/>
  <c r="E5" i="82"/>
  <c r="B5" i="82"/>
  <c r="D5" i="82" s="1"/>
  <c r="I4" i="82"/>
  <c r="B4" i="82"/>
  <c r="D4" i="82" s="1"/>
  <c r="I3" i="82"/>
  <c r="B3" i="82"/>
  <c r="D3" i="82" s="1"/>
  <c r="I2" i="82"/>
  <c r="B2" i="82"/>
  <c r="D2" i="82" s="1"/>
  <c r="D29" i="82" l="1"/>
  <c r="D28" i="82"/>
  <c r="B281" i="81" l="1"/>
  <c r="D281" i="81" s="1"/>
  <c r="B280" i="81"/>
  <c r="D280" i="81" s="1"/>
  <c r="B279" i="81"/>
  <c r="D279" i="81" s="1"/>
  <c r="C278" i="81"/>
  <c r="B278" i="81"/>
  <c r="B276" i="81"/>
  <c r="D276" i="81" s="1"/>
  <c r="B275" i="81"/>
  <c r="D275" i="81" s="1"/>
  <c r="B274" i="81"/>
  <c r="D273" i="81"/>
  <c r="D272" i="81"/>
  <c r="D271" i="81"/>
  <c r="D270" i="81"/>
  <c r="B269" i="81"/>
  <c r="D269" i="81" s="1"/>
  <c r="B268" i="81"/>
  <c r="D268" i="81" s="1"/>
  <c r="B267" i="81"/>
  <c r="D267" i="81" s="1"/>
  <c r="B266" i="81"/>
  <c r="D266" i="81" s="1"/>
  <c r="C264" i="81"/>
  <c r="B264" i="81"/>
  <c r="B263" i="81"/>
  <c r="B262" i="81"/>
  <c r="D262" i="81" s="1"/>
  <c r="D261" i="81"/>
  <c r="C260" i="81"/>
  <c r="B260" i="81"/>
  <c r="B259" i="81"/>
  <c r="D259" i="81" s="1"/>
  <c r="I258" i="81"/>
  <c r="B258" i="81"/>
  <c r="D258" i="81" s="1"/>
  <c r="I257" i="81"/>
  <c r="I256" i="81"/>
  <c r="I255" i="81"/>
  <c r="I254" i="81"/>
  <c r="B254" i="81"/>
  <c r="D254" i="81" s="1"/>
  <c r="I253" i="81"/>
  <c r="B252" i="81"/>
  <c r="D252" i="81" s="1"/>
  <c r="B251" i="81"/>
  <c r="D251" i="81" s="1"/>
  <c r="B250" i="81"/>
  <c r="I249" i="81"/>
  <c r="I248" i="81"/>
  <c r="B247" i="81"/>
  <c r="D247" i="81" s="1"/>
  <c r="B246" i="81"/>
  <c r="D246" i="81" s="1"/>
  <c r="D245" i="81"/>
  <c r="D244" i="81"/>
  <c r="B243" i="81"/>
  <c r="D243" i="81" s="1"/>
  <c r="D242" i="81"/>
  <c r="D241" i="81"/>
  <c r="D240" i="81"/>
  <c r="B239" i="81"/>
  <c r="D239" i="81" s="1"/>
  <c r="B238" i="81"/>
  <c r="D238" i="81" s="1"/>
  <c r="B237" i="81"/>
  <c r="D237" i="81" s="1"/>
  <c r="B236" i="81"/>
  <c r="D236" i="81" s="1"/>
  <c r="B235" i="81"/>
  <c r="D235" i="81" s="1"/>
  <c r="B234" i="81"/>
  <c r="D234" i="81" s="1"/>
  <c r="D233" i="81"/>
  <c r="I232" i="81"/>
  <c r="D232" i="81"/>
  <c r="I231" i="81"/>
  <c r="B231" i="81"/>
  <c r="D231" i="81" s="1"/>
  <c r="I230" i="81"/>
  <c r="B230" i="81"/>
  <c r="D230" i="81" s="1"/>
  <c r="B229" i="81"/>
  <c r="D229" i="81" s="1"/>
  <c r="D228" i="81"/>
  <c r="D227" i="81"/>
  <c r="B226" i="81"/>
  <c r="D226" i="81" s="1"/>
  <c r="B225" i="81"/>
  <c r="D225" i="81" s="1"/>
  <c r="B224" i="81"/>
  <c r="D224" i="81" s="1"/>
  <c r="B223" i="81"/>
  <c r="D223" i="81" s="1"/>
  <c r="B222" i="81"/>
  <c r="D222" i="81" s="1"/>
  <c r="B221" i="81"/>
  <c r="D221" i="81" s="1"/>
  <c r="I220" i="81"/>
  <c r="B220" i="81"/>
  <c r="I219" i="81"/>
  <c r="D219" i="81"/>
  <c r="I218" i="81"/>
  <c r="I217" i="81"/>
  <c r="I216" i="81"/>
  <c r="I215" i="81"/>
  <c r="I214" i="81"/>
  <c r="I213" i="81"/>
  <c r="I212" i="81"/>
  <c r="I211" i="81"/>
  <c r="I210" i="81"/>
  <c r="I209" i="81"/>
  <c r="I208" i="81"/>
  <c r="I207" i="81"/>
  <c r="I206" i="81"/>
  <c r="I205" i="81"/>
  <c r="I204" i="81"/>
  <c r="I203" i="81"/>
  <c r="I202" i="81"/>
  <c r="I201" i="81"/>
  <c r="B201" i="81"/>
  <c r="D201" i="81" s="1"/>
  <c r="I200" i="81"/>
  <c r="D200" i="81"/>
  <c r="I199" i="81"/>
  <c r="D199" i="81"/>
  <c r="C198" i="81"/>
  <c r="B198" i="81"/>
  <c r="I197" i="81"/>
  <c r="B197" i="81"/>
  <c r="D197" i="81" s="1"/>
  <c r="I196" i="81"/>
  <c r="B196" i="81"/>
  <c r="D196" i="81" s="1"/>
  <c r="B195" i="81"/>
  <c r="D195" i="81" s="1"/>
  <c r="B194" i="81"/>
  <c r="D194" i="81" s="1"/>
  <c r="B193" i="81"/>
  <c r="D193" i="81" s="1"/>
  <c r="D192" i="81"/>
  <c r="D191" i="81"/>
  <c r="D190" i="81"/>
  <c r="B189" i="81"/>
  <c r="D189" i="81" s="1"/>
  <c r="B188" i="81"/>
  <c r="D188" i="81" s="1"/>
  <c r="B187" i="81"/>
  <c r="D187" i="81" s="1"/>
  <c r="I186" i="81"/>
  <c r="C186" i="81"/>
  <c r="B186" i="81"/>
  <c r="I185" i="81"/>
  <c r="I184" i="81"/>
  <c r="I183" i="81"/>
  <c r="I182" i="81"/>
  <c r="I181" i="81"/>
  <c r="I180" i="81"/>
  <c r="I179" i="81"/>
  <c r="B179" i="81"/>
  <c r="D179" i="81" s="1"/>
  <c r="I178" i="81"/>
  <c r="I177" i="81"/>
  <c r="D177" i="81"/>
  <c r="I176" i="81"/>
  <c r="I175" i="81"/>
  <c r="I174" i="81"/>
  <c r="I173" i="81"/>
  <c r="I172" i="81"/>
  <c r="I171" i="81"/>
  <c r="I170" i="81"/>
  <c r="I169" i="81"/>
  <c r="D168" i="81"/>
  <c r="B167" i="81"/>
  <c r="D167" i="81" s="1"/>
  <c r="B166" i="81"/>
  <c r="D166" i="81" s="1"/>
  <c r="I165" i="81"/>
  <c r="B165" i="81"/>
  <c r="D165" i="81" s="1"/>
  <c r="I164" i="81"/>
  <c r="I163" i="81"/>
  <c r="I162" i="81"/>
  <c r="I161" i="81"/>
  <c r="I160" i="81"/>
  <c r="I159" i="81"/>
  <c r="I158" i="81"/>
  <c r="I157" i="81"/>
  <c r="I156" i="81"/>
  <c r="I155" i="81"/>
  <c r="I154" i="81"/>
  <c r="I153" i="81"/>
  <c r="I152" i="81"/>
  <c r="I151" i="81"/>
  <c r="I150" i="81"/>
  <c r="I149" i="81"/>
  <c r="I148" i="81"/>
  <c r="I147" i="81"/>
  <c r="I146" i="81"/>
  <c r="I145" i="81"/>
  <c r="I144" i="81"/>
  <c r="I143" i="81"/>
  <c r="C143" i="81"/>
  <c r="B143" i="81"/>
  <c r="I142" i="81"/>
  <c r="I141" i="81"/>
  <c r="I140" i="81"/>
  <c r="B140" i="81"/>
  <c r="I139" i="81"/>
  <c r="I138" i="81"/>
  <c r="I137" i="81"/>
  <c r="I136" i="81"/>
  <c r="I135" i="81"/>
  <c r="I134" i="81"/>
  <c r="B134" i="81"/>
  <c r="D134" i="81" s="1"/>
  <c r="I133" i="81"/>
  <c r="B133" i="81"/>
  <c r="I132" i="81"/>
  <c r="B132" i="81"/>
  <c r="D132" i="81" s="1"/>
  <c r="I131" i="81"/>
  <c r="B131" i="81"/>
  <c r="D131" i="81" s="1"/>
  <c r="I130" i="81"/>
  <c r="C130" i="81"/>
  <c r="B130" i="81"/>
  <c r="C129" i="81"/>
  <c r="B129" i="81"/>
  <c r="D128" i="81"/>
  <c r="D127" i="81"/>
  <c r="B126" i="81"/>
  <c r="D126" i="81" s="1"/>
  <c r="B125" i="81"/>
  <c r="D125" i="81" s="1"/>
  <c r="D124" i="81"/>
  <c r="B124" i="81"/>
  <c r="B123" i="81"/>
  <c r="D123" i="81" s="1"/>
  <c r="BY122" i="81"/>
  <c r="BJ122" i="81"/>
  <c r="AF122" i="81"/>
  <c r="Q122" i="81"/>
  <c r="B122" i="81"/>
  <c r="D122" i="81" s="1"/>
  <c r="B121" i="81"/>
  <c r="D121" i="81" s="1"/>
  <c r="I120" i="81"/>
  <c r="I119" i="81"/>
  <c r="I118" i="81"/>
  <c r="I117" i="81"/>
  <c r="I116" i="81"/>
  <c r="I115" i="81"/>
  <c r="I114" i="81"/>
  <c r="I113" i="81"/>
  <c r="I112" i="81"/>
  <c r="I111" i="81"/>
  <c r="I110" i="81"/>
  <c r="I109" i="81"/>
  <c r="I108" i="81"/>
  <c r="I107" i="81"/>
  <c r="I106" i="81"/>
  <c r="I105" i="81"/>
  <c r="I104" i="81"/>
  <c r="I103" i="81"/>
  <c r="I102" i="81"/>
  <c r="I101" i="81"/>
  <c r="I100" i="81"/>
  <c r="I99" i="81"/>
  <c r="I98" i="81"/>
  <c r="I97" i="81"/>
  <c r="I96" i="81"/>
  <c r="I95" i="81"/>
  <c r="I94" i="81"/>
  <c r="I93" i="81"/>
  <c r="I92" i="81"/>
  <c r="I91" i="81"/>
  <c r="I90" i="81"/>
  <c r="I89" i="81"/>
  <c r="I88" i="81"/>
  <c r="I87" i="81"/>
  <c r="D86" i="81"/>
  <c r="I85" i="81"/>
  <c r="B85" i="81"/>
  <c r="D85" i="81" s="1"/>
  <c r="I84" i="81"/>
  <c r="C84" i="81"/>
  <c r="B84" i="81"/>
  <c r="I83" i="81"/>
  <c r="I82" i="81"/>
  <c r="I81" i="81"/>
  <c r="I80" i="81"/>
  <c r="I79" i="81"/>
  <c r="I78" i="81"/>
  <c r="I77" i="81"/>
  <c r="I76" i="81"/>
  <c r="I75" i="81"/>
  <c r="I74" i="81"/>
  <c r="I73" i="81"/>
  <c r="B73" i="81"/>
  <c r="D73" i="81" s="1"/>
  <c r="I72" i="81"/>
  <c r="I71" i="81"/>
  <c r="I70" i="81"/>
  <c r="I69" i="81"/>
  <c r="I68" i="81"/>
  <c r="I67" i="81"/>
  <c r="I66" i="81"/>
  <c r="I65" i="81"/>
  <c r="I64" i="81"/>
  <c r="D63" i="81"/>
  <c r="I62" i="81"/>
  <c r="D62" i="81"/>
  <c r="I61" i="81"/>
  <c r="B61" i="81"/>
  <c r="D61" i="81" s="1"/>
  <c r="I60" i="81"/>
  <c r="I59" i="81"/>
  <c r="I58" i="81"/>
  <c r="I57" i="81"/>
  <c r="B56" i="81"/>
  <c r="D56" i="81" s="1"/>
  <c r="B55" i="81"/>
  <c r="B54" i="81"/>
  <c r="B53" i="81"/>
  <c r="D53" i="81" s="1"/>
  <c r="B52" i="81"/>
  <c r="B51" i="81"/>
  <c r="D51" i="81" s="1"/>
  <c r="B50" i="81"/>
  <c r="D50" i="81" s="1"/>
  <c r="B49" i="81"/>
  <c r="D49" i="81" s="1"/>
  <c r="I46" i="81"/>
  <c r="I45" i="81"/>
  <c r="C45" i="81"/>
  <c r="B45" i="81"/>
  <c r="I44" i="81"/>
  <c r="I43" i="81"/>
  <c r="B43" i="81"/>
  <c r="D43" i="81" s="1"/>
  <c r="B42" i="81"/>
  <c r="B41" i="81"/>
  <c r="D41" i="81" s="1"/>
  <c r="B40" i="81"/>
  <c r="D40" i="81" s="1"/>
  <c r="B39" i="81"/>
  <c r="D39" i="81" s="1"/>
  <c r="I38" i="81"/>
  <c r="B38" i="81"/>
  <c r="D38" i="81" s="1"/>
  <c r="I37" i="81"/>
  <c r="B37" i="81"/>
  <c r="B36" i="81"/>
  <c r="D36" i="81" s="1"/>
  <c r="D35" i="81"/>
  <c r="B34" i="81"/>
  <c r="D34" i="81" s="1"/>
  <c r="I33" i="81"/>
  <c r="B33" i="81"/>
  <c r="D33" i="81" s="1"/>
  <c r="I32" i="81"/>
  <c r="B32" i="81"/>
  <c r="D32" i="81" s="1"/>
  <c r="I31" i="81"/>
  <c r="B31" i="81"/>
  <c r="D31" i="81" s="1"/>
  <c r="B30" i="81"/>
  <c r="B249" i="81" s="1"/>
  <c r="D249" i="81" s="1"/>
  <c r="C250" i="81" s="1"/>
  <c r="I29" i="81"/>
  <c r="I28" i="81"/>
  <c r="I27" i="81"/>
  <c r="B26" i="81"/>
  <c r="D26" i="81" s="1"/>
  <c r="I25" i="81"/>
  <c r="I24" i="81"/>
  <c r="I23" i="81"/>
  <c r="B23" i="81"/>
  <c r="I22" i="81"/>
  <c r="I21" i="81"/>
  <c r="B20" i="81"/>
  <c r="B19" i="81"/>
  <c r="B17" i="81"/>
  <c r="D17" i="81" s="1"/>
  <c r="I16" i="81"/>
  <c r="I15" i="81"/>
  <c r="I14" i="81"/>
  <c r="B14" i="81"/>
  <c r="D14" i="81" s="1"/>
  <c r="I13" i="81"/>
  <c r="B13" i="81"/>
  <c r="D13" i="81" s="1"/>
  <c r="I12" i="81"/>
  <c r="I11" i="81"/>
  <c r="I10" i="81"/>
  <c r="D8" i="81"/>
  <c r="B7" i="81"/>
  <c r="D7" i="81" s="1"/>
  <c r="I6" i="81"/>
  <c r="C6" i="81"/>
  <c r="B6" i="81"/>
  <c r="I5" i="81"/>
  <c r="B5" i="81"/>
  <c r="D5" i="81" s="1"/>
  <c r="I4" i="81"/>
  <c r="I3" i="81"/>
  <c r="I2" i="81"/>
  <c r="D30" i="81" l="1"/>
  <c r="D278" i="81"/>
  <c r="D198" i="81"/>
  <c r="D260" i="81"/>
  <c r="D45" i="81"/>
  <c r="D143" i="81"/>
  <c r="D250" i="81"/>
  <c r="D130" i="81"/>
  <c r="D186" i="81"/>
  <c r="D264" i="81"/>
  <c r="D84" i="81"/>
  <c r="D6" i="81"/>
  <c r="D129" i="81"/>
  <c r="F24" i="73" l="1"/>
  <c r="F23" i="73"/>
  <c r="C23" i="73"/>
  <c r="C24" i="73" s="1"/>
  <c r="C25" i="73" s="1"/>
  <c r="C26" i="73" s="1"/>
  <c r="C27" i="73" s="1"/>
  <c r="C28" i="73" s="1"/>
  <c r="C29" i="73" s="1"/>
  <c r="C30" i="73" s="1"/>
  <c r="C31" i="73" s="1"/>
  <c r="C32" i="73" s="1"/>
  <c r="C33" i="73" s="1"/>
  <c r="C34" i="73" s="1"/>
  <c r="K22" i="73"/>
  <c r="K23" i="73" s="1"/>
  <c r="K24" i="73" s="1"/>
  <c r="I22" i="73"/>
  <c r="F22" i="73"/>
  <c r="G8" i="73"/>
  <c r="C5" i="73"/>
  <c r="C6" i="73" s="1"/>
  <c r="C7" i="73" s="1"/>
  <c r="C8" i="73" s="1"/>
  <c r="C9" i="73" s="1"/>
  <c r="C10" i="73" s="1"/>
  <c r="C11" i="73" s="1"/>
  <c r="C12" i="73" s="1"/>
  <c r="C13" i="73" s="1"/>
  <c r="C14" i="73" s="1"/>
  <c r="C15" i="73" s="1"/>
  <c r="C16" i="73" s="1"/>
  <c r="L4" i="73"/>
  <c r="L5" i="73" s="1"/>
  <c r="L6" i="73" s="1"/>
  <c r="L7" i="73" s="1"/>
  <c r="K4" i="73"/>
  <c r="K5" i="73" s="1"/>
  <c r="K6" i="73" s="1"/>
  <c r="J4" i="73"/>
  <c r="J5" i="73" s="1"/>
  <c r="J6" i="73" s="1"/>
  <c r="J7" i="73" s="1"/>
  <c r="J8" i="73" s="1"/>
  <c r="J9" i="73" s="1"/>
  <c r="J10" i="73" s="1"/>
  <c r="J11" i="73" s="1"/>
  <c r="J12" i="73" s="1"/>
  <c r="J13" i="73" s="1"/>
  <c r="J14" i="73" s="1"/>
  <c r="J15" i="73" s="1"/>
  <c r="J16" i="73" s="1"/>
  <c r="P16" i="73" s="1"/>
  <c r="I4" i="73"/>
  <c r="G35" i="71"/>
  <c r="C23" i="71"/>
  <c r="C24" i="71" s="1"/>
  <c r="C25" i="71" s="1"/>
  <c r="C26" i="71" s="1"/>
  <c r="C27" i="71" s="1"/>
  <c r="C28" i="71" s="1"/>
  <c r="C29" i="71" s="1"/>
  <c r="C30" i="71" s="1"/>
  <c r="C31" i="71" s="1"/>
  <c r="C32" i="71" s="1"/>
  <c r="C33" i="71" s="1"/>
  <c r="C34" i="71" s="1"/>
  <c r="L22" i="71"/>
  <c r="L23" i="71" s="1"/>
  <c r="K22" i="71"/>
  <c r="J22" i="71"/>
  <c r="I22" i="71"/>
  <c r="C5" i="71"/>
  <c r="C6" i="71" s="1"/>
  <c r="C7" i="71" s="1"/>
  <c r="C8" i="71" s="1"/>
  <c r="C9" i="71" s="1"/>
  <c r="C10" i="71" s="1"/>
  <c r="C11" i="71" s="1"/>
  <c r="C12" i="71" s="1"/>
  <c r="C13" i="71" s="1"/>
  <c r="C14" i="71" s="1"/>
  <c r="C15" i="71" s="1"/>
  <c r="C16" i="71" s="1"/>
  <c r="L4" i="71"/>
  <c r="L5" i="71" s="1"/>
  <c r="K4" i="71"/>
  <c r="J4" i="71"/>
  <c r="I4" i="71"/>
  <c r="I5" i="71" s="1"/>
  <c r="I6" i="71" s="1"/>
  <c r="I7" i="71" s="1"/>
  <c r="K23" i="71" l="1"/>
  <c r="Q22" i="71"/>
  <c r="Q4" i="71"/>
  <c r="K5" i="71"/>
  <c r="J5" i="71"/>
  <c r="J6" i="71" s="1"/>
  <c r="J7" i="71" s="1"/>
  <c r="J8" i="71" s="1"/>
  <c r="F17" i="71"/>
  <c r="J23" i="71"/>
  <c r="J24" i="71" s="1"/>
  <c r="J25" i="71" s="1"/>
  <c r="J26" i="71" s="1"/>
  <c r="E35" i="71"/>
  <c r="G189" i="66"/>
  <c r="E17" i="71"/>
  <c r="I8" i="71"/>
  <c r="I9" i="71" s="1"/>
  <c r="I10" i="71" s="1"/>
  <c r="I11" i="71" s="1"/>
  <c r="I12" i="71" s="1"/>
  <c r="I13" i="71" s="1"/>
  <c r="I14" i="71" s="1"/>
  <c r="I15" i="71" s="1"/>
  <c r="I16" i="71" s="1"/>
  <c r="G197" i="66"/>
  <c r="G196" i="66"/>
  <c r="I5" i="73"/>
  <c r="I6" i="73" s="1"/>
  <c r="I7" i="73" s="1"/>
  <c r="I8" i="73" s="1"/>
  <c r="I9" i="73" s="1"/>
  <c r="I10" i="73" s="1"/>
  <c r="I11" i="73" s="1"/>
  <c r="I12" i="73" s="1"/>
  <c r="I13" i="73" s="1"/>
  <c r="I14" i="73" s="1"/>
  <c r="I15" i="73" s="1"/>
  <c r="I16" i="73" s="1"/>
  <c r="M4" i="73"/>
  <c r="K7" i="73"/>
  <c r="P7" i="73"/>
  <c r="L8" i="73"/>
  <c r="L22" i="73"/>
  <c r="L23" i="73" s="1"/>
  <c r="L24" i="73" s="1"/>
  <c r="J22" i="73"/>
  <c r="J23" i="73" s="1"/>
  <c r="J24" i="73" s="1"/>
  <c r="J25" i="73" s="1"/>
  <c r="J26" i="73" s="1"/>
  <c r="J27" i="73" s="1"/>
  <c r="J28" i="73" s="1"/>
  <c r="J29" i="73" s="1"/>
  <c r="J30" i="73" s="1"/>
  <c r="J31" i="73" s="1"/>
  <c r="J32" i="73" s="1"/>
  <c r="J33" i="73" s="1"/>
  <c r="J34" i="73" s="1"/>
  <c r="I23" i="73"/>
  <c r="M22" i="73"/>
  <c r="K25" i="73"/>
  <c r="G17" i="71"/>
  <c r="L6" i="71"/>
  <c r="I23" i="71"/>
  <c r="I24" i="71" s="1"/>
  <c r="I25" i="71" s="1"/>
  <c r="I26" i="71" s="1"/>
  <c r="I27" i="71" s="1"/>
  <c r="I28" i="71" s="1"/>
  <c r="I29" i="71" s="1"/>
  <c r="I30" i="71" s="1"/>
  <c r="I31" i="71" s="1"/>
  <c r="I32" i="71" s="1"/>
  <c r="I33" i="71" s="1"/>
  <c r="I34" i="71" s="1"/>
  <c r="L24" i="71"/>
  <c r="F231" i="66"/>
  <c r="F192" i="66"/>
  <c r="F170" i="66"/>
  <c r="P261" i="66"/>
  <c r="P260" i="66"/>
  <c r="P259" i="66"/>
  <c r="P258" i="66"/>
  <c r="P257" i="66"/>
  <c r="P256" i="66"/>
  <c r="P255" i="66"/>
  <c r="P254" i="66"/>
  <c r="P253" i="66"/>
  <c r="P252" i="66"/>
  <c r="P251" i="66"/>
  <c r="P250" i="66"/>
  <c r="P249" i="66"/>
  <c r="P248" i="66"/>
  <c r="P247" i="66"/>
  <c r="P246" i="66"/>
  <c r="P245" i="66"/>
  <c r="P244" i="66"/>
  <c r="P243" i="66"/>
  <c r="P241" i="66"/>
  <c r="P240" i="66"/>
  <c r="P239" i="66"/>
  <c r="P238" i="66"/>
  <c r="P237" i="66"/>
  <c r="P236" i="66"/>
  <c r="P235" i="66"/>
  <c r="P234" i="66"/>
  <c r="P233" i="66"/>
  <c r="P232" i="66"/>
  <c r="P231" i="66"/>
  <c r="P230" i="66"/>
  <c r="P229" i="66"/>
  <c r="P228" i="66"/>
  <c r="P227" i="66"/>
  <c r="P226" i="66"/>
  <c r="P225" i="66"/>
  <c r="P224" i="66"/>
  <c r="P223" i="66"/>
  <c r="P222" i="66"/>
  <c r="P221" i="66"/>
  <c r="P220" i="66"/>
  <c r="P219" i="66"/>
  <c r="P218" i="66"/>
  <c r="P217" i="66"/>
  <c r="P216" i="66"/>
  <c r="P215" i="66"/>
  <c r="P214" i="66"/>
  <c r="P213" i="66"/>
  <c r="P212" i="66"/>
  <c r="P211" i="66"/>
  <c r="P210" i="66"/>
  <c r="P209" i="66"/>
  <c r="P208" i="66"/>
  <c r="P207" i="66"/>
  <c r="P206" i="66"/>
  <c r="P205" i="66"/>
  <c r="P204" i="66"/>
  <c r="P203" i="66"/>
  <c r="P202" i="66"/>
  <c r="P201" i="66"/>
  <c r="P200" i="66"/>
  <c r="P199" i="66"/>
  <c r="P198" i="66"/>
  <c r="P197" i="66"/>
  <c r="P196" i="66"/>
  <c r="P195" i="66"/>
  <c r="P194" i="66"/>
  <c r="P193" i="66"/>
  <c r="P192" i="66"/>
  <c r="P191" i="66"/>
  <c r="P190" i="66"/>
  <c r="P189" i="66"/>
  <c r="P188" i="66"/>
  <c r="P187" i="66"/>
  <c r="P186" i="66"/>
  <c r="P185" i="66"/>
  <c r="P184" i="66"/>
  <c r="P183" i="66"/>
  <c r="P182" i="66"/>
  <c r="P181" i="66"/>
  <c r="P180" i="66"/>
  <c r="P179" i="66"/>
  <c r="P178" i="66"/>
  <c r="P177" i="66"/>
  <c r="P176" i="66"/>
  <c r="P175" i="66"/>
  <c r="P174" i="66"/>
  <c r="P173" i="66"/>
  <c r="P172" i="66"/>
  <c r="P171" i="66"/>
  <c r="P170" i="66"/>
  <c r="P169" i="66"/>
  <c r="P168" i="66"/>
  <c r="P167" i="66"/>
  <c r="P166" i="66"/>
  <c r="P165" i="66"/>
  <c r="P164" i="66"/>
  <c r="P163" i="66"/>
  <c r="P161" i="66"/>
  <c r="P160" i="66"/>
  <c r="P159" i="66"/>
  <c r="P158" i="66"/>
  <c r="P157" i="66"/>
  <c r="P156" i="66"/>
  <c r="P155" i="66"/>
  <c r="P154" i="66"/>
  <c r="P123" i="66"/>
  <c r="P112" i="66"/>
  <c r="P111" i="66"/>
  <c r="P110" i="66"/>
  <c r="P109" i="66"/>
  <c r="P108" i="66"/>
  <c r="P107" i="66"/>
  <c r="P106" i="66"/>
  <c r="P105" i="66"/>
  <c r="P104" i="66"/>
  <c r="P103" i="66"/>
  <c r="P102" i="66"/>
  <c r="P101" i="66"/>
  <c r="P100" i="66"/>
  <c r="P99" i="66"/>
  <c r="P98" i="66"/>
  <c r="P97" i="66"/>
  <c r="P96" i="66"/>
  <c r="P95" i="66"/>
  <c r="P94" i="66"/>
  <c r="P93" i="66"/>
  <c r="P92" i="66"/>
  <c r="P91" i="66"/>
  <c r="P90" i="66"/>
  <c r="P89" i="66"/>
  <c r="P88" i="66"/>
  <c r="P87" i="66"/>
  <c r="P86" i="66"/>
  <c r="P85" i="66"/>
  <c r="P84" i="66"/>
  <c r="P83" i="66"/>
  <c r="P82" i="66"/>
  <c r="P81" i="66"/>
  <c r="P80" i="66"/>
  <c r="P79" i="66"/>
  <c r="P78" i="66"/>
  <c r="P77" i="66"/>
  <c r="P76" i="66"/>
  <c r="P75" i="66"/>
  <c r="P74" i="66"/>
  <c r="P73" i="66"/>
  <c r="P72" i="66"/>
  <c r="P71" i="66"/>
  <c r="P70" i="66"/>
  <c r="P69" i="66"/>
  <c r="P68" i="66"/>
  <c r="P67" i="66"/>
  <c r="P66" i="66"/>
  <c r="P65" i="66"/>
  <c r="P64" i="66"/>
  <c r="P63" i="66"/>
  <c r="P62" i="66"/>
  <c r="P61" i="66"/>
  <c r="P60" i="66"/>
  <c r="P59" i="66"/>
  <c r="P58" i="66"/>
  <c r="P57" i="66"/>
  <c r="P56" i="66"/>
  <c r="P55" i="66"/>
  <c r="P54" i="66"/>
  <c r="P53" i="66"/>
  <c r="P52" i="66"/>
  <c r="P51" i="66"/>
  <c r="P50" i="66"/>
  <c r="P49" i="66"/>
  <c r="P48" i="66"/>
  <c r="P47" i="66"/>
  <c r="P46" i="66"/>
  <c r="P45" i="66"/>
  <c r="P44" i="66"/>
  <c r="P43" i="66"/>
  <c r="P42" i="66"/>
  <c r="P41" i="66"/>
  <c r="P40" i="66"/>
  <c r="P39" i="66"/>
  <c r="P38" i="66"/>
  <c r="P37" i="66"/>
  <c r="P36" i="66"/>
  <c r="P35" i="66"/>
  <c r="P34" i="66"/>
  <c r="P33" i="66"/>
  <c r="P32" i="66"/>
  <c r="P31" i="66"/>
  <c r="P30" i="66"/>
  <c r="P29" i="66"/>
  <c r="P28" i="66"/>
  <c r="P27" i="66"/>
  <c r="P26" i="66"/>
  <c r="P25" i="66"/>
  <c r="P24" i="66"/>
  <c r="P23" i="66"/>
  <c r="P22" i="66"/>
  <c r="P21" i="66"/>
  <c r="P20" i="66"/>
  <c r="P19" i="66"/>
  <c r="P18" i="66"/>
  <c r="P17" i="66"/>
  <c r="P16" i="66"/>
  <c r="P15" i="66"/>
  <c r="P14" i="66"/>
  <c r="P13" i="66"/>
  <c r="P12" i="66"/>
  <c r="P11" i="66"/>
  <c r="P10" i="66"/>
  <c r="P9" i="66"/>
  <c r="P8" i="66"/>
  <c r="P7" i="66"/>
  <c r="P6" i="66"/>
  <c r="P5" i="66"/>
  <c r="P4" i="66"/>
  <c r="P3" i="66"/>
  <c r="P2" i="66"/>
  <c r="O3" i="66"/>
  <c r="O4" i="66"/>
  <c r="O5" i="66"/>
  <c r="O6" i="66"/>
  <c r="O7" i="66"/>
  <c r="O8" i="66"/>
  <c r="O9" i="66"/>
  <c r="O10" i="66"/>
  <c r="O11" i="66"/>
  <c r="O12" i="66"/>
  <c r="O13" i="66"/>
  <c r="O14" i="66"/>
  <c r="O15" i="66"/>
  <c r="O16" i="66"/>
  <c r="O17" i="66"/>
  <c r="O18" i="66"/>
  <c r="O19" i="66"/>
  <c r="O20" i="66"/>
  <c r="O21" i="66"/>
  <c r="O22" i="66"/>
  <c r="O23" i="66"/>
  <c r="O24" i="66"/>
  <c r="O25" i="66"/>
  <c r="O26" i="66"/>
  <c r="O27" i="66"/>
  <c r="O28" i="66"/>
  <c r="O29" i="66"/>
  <c r="O30" i="66"/>
  <c r="O31" i="66"/>
  <c r="O32" i="66"/>
  <c r="O33" i="66"/>
  <c r="O34" i="66"/>
  <c r="O35" i="66"/>
  <c r="O36" i="66"/>
  <c r="O37" i="66"/>
  <c r="O38" i="66"/>
  <c r="O39" i="66"/>
  <c r="O40" i="66"/>
  <c r="O41" i="66"/>
  <c r="O42" i="66"/>
  <c r="O43" i="66"/>
  <c r="O44" i="66"/>
  <c r="O45" i="66"/>
  <c r="O46" i="66"/>
  <c r="O47" i="66"/>
  <c r="O48" i="66"/>
  <c r="O49" i="66"/>
  <c r="O50" i="66"/>
  <c r="O51" i="66"/>
  <c r="O52" i="66"/>
  <c r="O53" i="66"/>
  <c r="O54" i="66"/>
  <c r="O55" i="66"/>
  <c r="O56" i="66"/>
  <c r="O57" i="66"/>
  <c r="O58" i="66"/>
  <c r="O59" i="66"/>
  <c r="O60" i="66"/>
  <c r="O61" i="66"/>
  <c r="O62" i="66"/>
  <c r="O63" i="66"/>
  <c r="O64" i="66"/>
  <c r="O65" i="66"/>
  <c r="O66" i="66"/>
  <c r="O67" i="66"/>
  <c r="O68" i="66"/>
  <c r="O69" i="66"/>
  <c r="O70" i="66"/>
  <c r="O71" i="66"/>
  <c r="O72" i="66"/>
  <c r="O73" i="66"/>
  <c r="O74" i="66"/>
  <c r="O75" i="66"/>
  <c r="O76" i="66"/>
  <c r="O77" i="66"/>
  <c r="O78" i="66"/>
  <c r="O79" i="66"/>
  <c r="O80" i="66"/>
  <c r="O81" i="66"/>
  <c r="O82" i="66"/>
  <c r="O83" i="66"/>
  <c r="O84" i="66"/>
  <c r="O85" i="66"/>
  <c r="O86" i="66"/>
  <c r="O87" i="66"/>
  <c r="O88" i="66"/>
  <c r="O89" i="66"/>
  <c r="O90" i="66"/>
  <c r="O91" i="66"/>
  <c r="O92" i="66"/>
  <c r="O93" i="66"/>
  <c r="O94" i="66"/>
  <c r="O95" i="66"/>
  <c r="O96" i="66"/>
  <c r="O97" i="66"/>
  <c r="O98" i="66"/>
  <c r="O99" i="66"/>
  <c r="O100" i="66"/>
  <c r="O101" i="66"/>
  <c r="O102" i="66"/>
  <c r="O103" i="66"/>
  <c r="O104" i="66"/>
  <c r="O105" i="66"/>
  <c r="O106" i="66"/>
  <c r="O107" i="66"/>
  <c r="O108" i="66"/>
  <c r="O109" i="66"/>
  <c r="O110" i="66"/>
  <c r="O111" i="66"/>
  <c r="O112" i="66"/>
  <c r="O113" i="66"/>
  <c r="O114" i="66"/>
  <c r="O115" i="66"/>
  <c r="O116" i="66"/>
  <c r="O117" i="66"/>
  <c r="O118" i="66"/>
  <c r="O119" i="66"/>
  <c r="O120" i="66"/>
  <c r="O121" i="66"/>
  <c r="O122" i="66"/>
  <c r="O123" i="66"/>
  <c r="O124" i="66"/>
  <c r="O125" i="66"/>
  <c r="O126" i="66"/>
  <c r="O127" i="66"/>
  <c r="O128" i="66"/>
  <c r="O129" i="66"/>
  <c r="O130" i="66"/>
  <c r="O131" i="66"/>
  <c r="O132" i="66"/>
  <c r="O133" i="66"/>
  <c r="O134" i="66"/>
  <c r="O135" i="66"/>
  <c r="O136" i="66"/>
  <c r="O137" i="66"/>
  <c r="O138" i="66"/>
  <c r="O139" i="66"/>
  <c r="O140" i="66"/>
  <c r="O141" i="66"/>
  <c r="O142" i="66"/>
  <c r="O143" i="66"/>
  <c r="O144" i="66"/>
  <c r="O145" i="66"/>
  <c r="O146" i="66"/>
  <c r="O147" i="66"/>
  <c r="O148" i="66"/>
  <c r="O149" i="66"/>
  <c r="O150" i="66"/>
  <c r="O151" i="66"/>
  <c r="O152" i="66"/>
  <c r="O153" i="66"/>
  <c r="O154" i="66"/>
  <c r="O155" i="66"/>
  <c r="O156" i="66"/>
  <c r="O157" i="66"/>
  <c r="O158" i="66"/>
  <c r="O159" i="66"/>
  <c r="O160" i="66"/>
  <c r="O161" i="66"/>
  <c r="O163" i="66"/>
  <c r="O164" i="66"/>
  <c r="O165" i="66"/>
  <c r="O166" i="66"/>
  <c r="O167" i="66"/>
  <c r="O168" i="66"/>
  <c r="O169" i="66"/>
  <c r="O170" i="66"/>
  <c r="O171" i="66"/>
  <c r="O172" i="66"/>
  <c r="O173" i="66"/>
  <c r="O174" i="66"/>
  <c r="O175" i="66"/>
  <c r="O176" i="66"/>
  <c r="O177" i="66"/>
  <c r="O178" i="66"/>
  <c r="O179" i="66"/>
  <c r="O180" i="66"/>
  <c r="O181" i="66"/>
  <c r="O182" i="66"/>
  <c r="O183" i="66"/>
  <c r="O184" i="66"/>
  <c r="O185" i="66"/>
  <c r="O186" i="66"/>
  <c r="O187" i="66"/>
  <c r="O188" i="66"/>
  <c r="O189" i="66"/>
  <c r="O190" i="66"/>
  <c r="O191" i="66"/>
  <c r="O192" i="66"/>
  <c r="O193" i="66"/>
  <c r="O194" i="66"/>
  <c r="O195" i="66"/>
  <c r="O196" i="66"/>
  <c r="O197" i="66"/>
  <c r="O198" i="66"/>
  <c r="O199" i="66"/>
  <c r="O200" i="66"/>
  <c r="O201" i="66"/>
  <c r="O202" i="66"/>
  <c r="O203" i="66"/>
  <c r="O204" i="66"/>
  <c r="O205" i="66"/>
  <c r="O206" i="66"/>
  <c r="O207" i="66"/>
  <c r="O208" i="66"/>
  <c r="O209" i="66"/>
  <c r="O210" i="66"/>
  <c r="O211" i="66"/>
  <c r="O212" i="66"/>
  <c r="O213" i="66"/>
  <c r="O214" i="66"/>
  <c r="O215" i="66"/>
  <c r="O216" i="66"/>
  <c r="O217" i="66"/>
  <c r="O218" i="66"/>
  <c r="O219" i="66"/>
  <c r="O220" i="66"/>
  <c r="O221" i="66"/>
  <c r="O222" i="66"/>
  <c r="O223" i="66"/>
  <c r="O224" i="66"/>
  <c r="O225" i="66"/>
  <c r="O226" i="66"/>
  <c r="O227" i="66"/>
  <c r="O228" i="66"/>
  <c r="O229" i="66"/>
  <c r="O230" i="66"/>
  <c r="O231" i="66"/>
  <c r="O232" i="66"/>
  <c r="O233" i="66"/>
  <c r="O234" i="66"/>
  <c r="O235" i="66"/>
  <c r="O236" i="66"/>
  <c r="O237" i="66"/>
  <c r="O238" i="66"/>
  <c r="O239" i="66"/>
  <c r="O240" i="66"/>
  <c r="O241" i="66"/>
  <c r="O242" i="66"/>
  <c r="O243" i="66"/>
  <c r="O244" i="66"/>
  <c r="O245" i="66"/>
  <c r="O246" i="66"/>
  <c r="O247" i="66"/>
  <c r="O248" i="66"/>
  <c r="O249" i="66"/>
  <c r="O250" i="66"/>
  <c r="O251" i="66"/>
  <c r="O252" i="66"/>
  <c r="O253" i="66"/>
  <c r="O254" i="66"/>
  <c r="O255" i="66"/>
  <c r="O256" i="66"/>
  <c r="O257" i="66"/>
  <c r="O258" i="66"/>
  <c r="O259" i="66"/>
  <c r="O260" i="66"/>
  <c r="O261" i="66"/>
  <c r="O2" i="66"/>
  <c r="N3" i="66"/>
  <c r="N4" i="66"/>
  <c r="N5" i="66"/>
  <c r="N6" i="66"/>
  <c r="N7" i="66"/>
  <c r="N8" i="66"/>
  <c r="N9" i="66"/>
  <c r="N10" i="66"/>
  <c r="N11" i="66"/>
  <c r="N12" i="66"/>
  <c r="N13" i="66"/>
  <c r="N14" i="66"/>
  <c r="N15" i="66"/>
  <c r="N16" i="66"/>
  <c r="N17" i="66"/>
  <c r="N18" i="66"/>
  <c r="N19" i="66"/>
  <c r="N20" i="66"/>
  <c r="N21" i="66"/>
  <c r="N22" i="66"/>
  <c r="N23" i="66"/>
  <c r="N24" i="66"/>
  <c r="N25" i="66"/>
  <c r="N26" i="66"/>
  <c r="N27" i="66"/>
  <c r="N28" i="66"/>
  <c r="N29" i="66"/>
  <c r="N30" i="66"/>
  <c r="N31" i="66"/>
  <c r="N32" i="66"/>
  <c r="N33" i="66"/>
  <c r="N34" i="66"/>
  <c r="N35" i="66"/>
  <c r="N36" i="66"/>
  <c r="N37" i="66"/>
  <c r="N38" i="66"/>
  <c r="N39" i="66"/>
  <c r="N40" i="66"/>
  <c r="N41" i="66"/>
  <c r="N42" i="66"/>
  <c r="N43" i="66"/>
  <c r="N44" i="66"/>
  <c r="N45" i="66"/>
  <c r="N46" i="66"/>
  <c r="N47" i="66"/>
  <c r="N48" i="66"/>
  <c r="N49" i="66"/>
  <c r="N50" i="66"/>
  <c r="N51" i="66"/>
  <c r="N52" i="66"/>
  <c r="N53" i="66"/>
  <c r="N54" i="66"/>
  <c r="N55" i="66"/>
  <c r="N56" i="66"/>
  <c r="N57" i="66"/>
  <c r="N58" i="66"/>
  <c r="N59" i="66"/>
  <c r="N60" i="66"/>
  <c r="N61" i="66"/>
  <c r="N62" i="66"/>
  <c r="N63" i="66"/>
  <c r="N64" i="66"/>
  <c r="N65" i="66"/>
  <c r="N66" i="66"/>
  <c r="N67" i="66"/>
  <c r="N68" i="66"/>
  <c r="N69" i="66"/>
  <c r="N70" i="66"/>
  <c r="N71" i="66"/>
  <c r="N72" i="66"/>
  <c r="N73" i="66"/>
  <c r="N74" i="66"/>
  <c r="N75" i="66"/>
  <c r="N76" i="66"/>
  <c r="N77" i="66"/>
  <c r="N78" i="66"/>
  <c r="N79" i="66"/>
  <c r="N80" i="66"/>
  <c r="N81" i="66"/>
  <c r="N82" i="66"/>
  <c r="N83" i="66"/>
  <c r="N84" i="66"/>
  <c r="N85" i="66"/>
  <c r="N86" i="66"/>
  <c r="N87" i="66"/>
  <c r="N88" i="66"/>
  <c r="N89" i="66"/>
  <c r="N90" i="66"/>
  <c r="N91" i="66"/>
  <c r="N92" i="66"/>
  <c r="N93" i="66"/>
  <c r="N94" i="66"/>
  <c r="N95" i="66"/>
  <c r="N96" i="66"/>
  <c r="N97" i="66"/>
  <c r="N98" i="66"/>
  <c r="N99" i="66"/>
  <c r="N100" i="66"/>
  <c r="N101" i="66"/>
  <c r="N102" i="66"/>
  <c r="N103" i="66"/>
  <c r="N104" i="66"/>
  <c r="N105" i="66"/>
  <c r="N106" i="66"/>
  <c r="N107" i="66"/>
  <c r="N108" i="66"/>
  <c r="N109" i="66"/>
  <c r="N110" i="66"/>
  <c r="N111" i="66"/>
  <c r="N112" i="66"/>
  <c r="N113" i="66"/>
  <c r="N114" i="66"/>
  <c r="N115" i="66"/>
  <c r="N116" i="66"/>
  <c r="N117" i="66"/>
  <c r="N118" i="66"/>
  <c r="N119" i="66"/>
  <c r="N120" i="66"/>
  <c r="N121" i="66"/>
  <c r="N122" i="66"/>
  <c r="N123" i="66"/>
  <c r="N124" i="66"/>
  <c r="N125" i="66"/>
  <c r="N126" i="66"/>
  <c r="N127" i="66"/>
  <c r="N128" i="66"/>
  <c r="N129" i="66"/>
  <c r="N130" i="66"/>
  <c r="N131" i="66"/>
  <c r="N132" i="66"/>
  <c r="N133" i="66"/>
  <c r="N134" i="66"/>
  <c r="N135" i="66"/>
  <c r="N136" i="66"/>
  <c r="N137" i="66"/>
  <c r="N138" i="66"/>
  <c r="N139" i="66"/>
  <c r="N140" i="66"/>
  <c r="N141" i="66"/>
  <c r="N142" i="66"/>
  <c r="N143" i="66"/>
  <c r="N144" i="66"/>
  <c r="N145" i="66"/>
  <c r="N146" i="66"/>
  <c r="N147" i="66"/>
  <c r="N148" i="66"/>
  <c r="N149" i="66"/>
  <c r="N150" i="66"/>
  <c r="N151" i="66"/>
  <c r="N152" i="66"/>
  <c r="N153" i="66"/>
  <c r="N154" i="66"/>
  <c r="N155" i="66"/>
  <c r="N156" i="66"/>
  <c r="N157" i="66"/>
  <c r="N158" i="66"/>
  <c r="N159" i="66"/>
  <c r="N160" i="66"/>
  <c r="N161" i="66"/>
  <c r="N163" i="66"/>
  <c r="N164" i="66"/>
  <c r="N165" i="66"/>
  <c r="N166" i="66"/>
  <c r="N167" i="66"/>
  <c r="N168" i="66"/>
  <c r="N169" i="66"/>
  <c r="N170" i="66"/>
  <c r="N171" i="66"/>
  <c r="N172" i="66"/>
  <c r="N173" i="66"/>
  <c r="N174" i="66"/>
  <c r="N175" i="66"/>
  <c r="N176" i="66"/>
  <c r="N177" i="66"/>
  <c r="N178" i="66"/>
  <c r="N179" i="66"/>
  <c r="N180" i="66"/>
  <c r="N181" i="66"/>
  <c r="N182" i="66"/>
  <c r="N183" i="66"/>
  <c r="N184" i="66"/>
  <c r="N185" i="66"/>
  <c r="N186" i="66"/>
  <c r="N187" i="66"/>
  <c r="N188" i="66"/>
  <c r="N189" i="66"/>
  <c r="N190" i="66"/>
  <c r="N191" i="66"/>
  <c r="N192" i="66"/>
  <c r="N193" i="66"/>
  <c r="N194" i="66"/>
  <c r="N195" i="66"/>
  <c r="N196" i="66"/>
  <c r="N197" i="66"/>
  <c r="N198" i="66"/>
  <c r="N199" i="66"/>
  <c r="N200" i="66"/>
  <c r="N201" i="66"/>
  <c r="N202" i="66"/>
  <c r="N203" i="66"/>
  <c r="N204" i="66"/>
  <c r="N205" i="66"/>
  <c r="N206" i="66"/>
  <c r="N207" i="66"/>
  <c r="N208" i="66"/>
  <c r="N209" i="66"/>
  <c r="N210" i="66"/>
  <c r="N211" i="66"/>
  <c r="N212" i="66"/>
  <c r="N213" i="66"/>
  <c r="N214" i="66"/>
  <c r="N215" i="66"/>
  <c r="N216" i="66"/>
  <c r="N217" i="66"/>
  <c r="N218" i="66"/>
  <c r="N219" i="66"/>
  <c r="N220" i="66"/>
  <c r="N221" i="66"/>
  <c r="N222" i="66"/>
  <c r="N223" i="66"/>
  <c r="N224" i="66"/>
  <c r="N225" i="66"/>
  <c r="N226" i="66"/>
  <c r="N227" i="66"/>
  <c r="N228" i="66"/>
  <c r="N229" i="66"/>
  <c r="N230" i="66"/>
  <c r="N231" i="66"/>
  <c r="N232" i="66"/>
  <c r="N233" i="66"/>
  <c r="N234" i="66"/>
  <c r="N235" i="66"/>
  <c r="N236" i="66"/>
  <c r="N237" i="66"/>
  <c r="N238" i="66"/>
  <c r="N239" i="66"/>
  <c r="N240" i="66"/>
  <c r="N241" i="66"/>
  <c r="N242" i="66"/>
  <c r="N243" i="66"/>
  <c r="N244" i="66"/>
  <c r="N245" i="66"/>
  <c r="N246" i="66"/>
  <c r="N247" i="66"/>
  <c r="N248" i="66"/>
  <c r="N249" i="66"/>
  <c r="N250" i="66"/>
  <c r="N251" i="66"/>
  <c r="N252" i="66"/>
  <c r="N253" i="66"/>
  <c r="N254" i="66"/>
  <c r="N255" i="66"/>
  <c r="N256" i="66"/>
  <c r="N257" i="66"/>
  <c r="N258" i="66"/>
  <c r="N259" i="66"/>
  <c r="N260" i="66"/>
  <c r="N261" i="66"/>
  <c r="N2" i="66"/>
  <c r="M3" i="66"/>
  <c r="M4" i="66"/>
  <c r="M5" i="66"/>
  <c r="M6" i="66"/>
  <c r="M7" i="66"/>
  <c r="M8" i="66"/>
  <c r="M9" i="66"/>
  <c r="M10" i="66"/>
  <c r="M11" i="66"/>
  <c r="M12" i="66"/>
  <c r="M13" i="66"/>
  <c r="M14" i="66"/>
  <c r="M15" i="66"/>
  <c r="M16" i="66"/>
  <c r="M17" i="66"/>
  <c r="M18" i="66"/>
  <c r="M19" i="66"/>
  <c r="M20" i="66"/>
  <c r="M21" i="66"/>
  <c r="M22" i="66"/>
  <c r="M23" i="66"/>
  <c r="M24" i="66"/>
  <c r="M25" i="66"/>
  <c r="M26" i="66"/>
  <c r="M27" i="66"/>
  <c r="M28" i="66"/>
  <c r="M29" i="66"/>
  <c r="M30" i="66"/>
  <c r="M31" i="66"/>
  <c r="M32" i="66"/>
  <c r="M33" i="66"/>
  <c r="M34" i="66"/>
  <c r="M35" i="66"/>
  <c r="M36" i="66"/>
  <c r="M37" i="66"/>
  <c r="M38" i="66"/>
  <c r="M39" i="66"/>
  <c r="M40" i="66"/>
  <c r="M41" i="66"/>
  <c r="M42" i="66"/>
  <c r="M43" i="66"/>
  <c r="M44" i="66"/>
  <c r="M45" i="66"/>
  <c r="M46" i="66"/>
  <c r="M47" i="66"/>
  <c r="M48" i="66"/>
  <c r="M49" i="66"/>
  <c r="M50" i="66"/>
  <c r="M51" i="66"/>
  <c r="M52" i="66"/>
  <c r="M53" i="66"/>
  <c r="M54" i="66"/>
  <c r="M55" i="66"/>
  <c r="M56" i="66"/>
  <c r="M57" i="66"/>
  <c r="M58" i="66"/>
  <c r="M59" i="66"/>
  <c r="M60" i="66"/>
  <c r="M61" i="66"/>
  <c r="M62" i="66"/>
  <c r="M63" i="66"/>
  <c r="M64" i="66"/>
  <c r="M65" i="66"/>
  <c r="M66" i="66"/>
  <c r="M67" i="66"/>
  <c r="M68" i="66"/>
  <c r="M69" i="66"/>
  <c r="M70" i="66"/>
  <c r="M71" i="66"/>
  <c r="M72" i="66"/>
  <c r="M73" i="66"/>
  <c r="M74" i="66"/>
  <c r="M75" i="66"/>
  <c r="M76" i="66"/>
  <c r="M77" i="66"/>
  <c r="M78" i="66"/>
  <c r="M79" i="66"/>
  <c r="M80" i="66"/>
  <c r="M81" i="66"/>
  <c r="M82" i="66"/>
  <c r="M83" i="66"/>
  <c r="M84" i="66"/>
  <c r="M85" i="66"/>
  <c r="M86" i="66"/>
  <c r="M87" i="66"/>
  <c r="M88" i="66"/>
  <c r="M89" i="66"/>
  <c r="M90" i="66"/>
  <c r="M91" i="66"/>
  <c r="M92" i="66"/>
  <c r="M93" i="66"/>
  <c r="M94" i="66"/>
  <c r="M95" i="66"/>
  <c r="M96" i="66"/>
  <c r="M97" i="66"/>
  <c r="M98" i="66"/>
  <c r="M99" i="66"/>
  <c r="M100" i="66"/>
  <c r="M101" i="66"/>
  <c r="M102" i="66"/>
  <c r="M103" i="66"/>
  <c r="M104" i="66"/>
  <c r="M105" i="66"/>
  <c r="M106" i="66"/>
  <c r="M107" i="66"/>
  <c r="M108" i="66"/>
  <c r="M109" i="66"/>
  <c r="M110" i="66"/>
  <c r="M111" i="66"/>
  <c r="M112" i="66"/>
  <c r="M113" i="66"/>
  <c r="M114" i="66"/>
  <c r="M115" i="66"/>
  <c r="M116" i="66"/>
  <c r="M117" i="66"/>
  <c r="M118" i="66"/>
  <c r="M119" i="66"/>
  <c r="M120" i="66"/>
  <c r="M121" i="66"/>
  <c r="M122" i="66"/>
  <c r="M123" i="66"/>
  <c r="M124" i="66"/>
  <c r="M125" i="66"/>
  <c r="M126" i="66"/>
  <c r="M127" i="66"/>
  <c r="M128" i="66"/>
  <c r="M129" i="66"/>
  <c r="M130" i="66"/>
  <c r="M131" i="66"/>
  <c r="M132" i="66"/>
  <c r="M133" i="66"/>
  <c r="M134" i="66"/>
  <c r="M135" i="66"/>
  <c r="M136" i="66"/>
  <c r="M137" i="66"/>
  <c r="M138" i="66"/>
  <c r="M139" i="66"/>
  <c r="M140" i="66"/>
  <c r="M141" i="66"/>
  <c r="M142" i="66"/>
  <c r="M143" i="66"/>
  <c r="M144" i="66"/>
  <c r="M145" i="66"/>
  <c r="M146" i="66"/>
  <c r="M147" i="66"/>
  <c r="M148" i="66"/>
  <c r="M149" i="66"/>
  <c r="M150" i="66"/>
  <c r="M151" i="66"/>
  <c r="M152" i="66"/>
  <c r="M153" i="66"/>
  <c r="M154" i="66"/>
  <c r="M155" i="66"/>
  <c r="M156" i="66"/>
  <c r="M157" i="66"/>
  <c r="M158" i="66"/>
  <c r="M159" i="66"/>
  <c r="M160" i="66"/>
  <c r="M161" i="66"/>
  <c r="M163" i="66"/>
  <c r="M164" i="66"/>
  <c r="M165" i="66"/>
  <c r="M166" i="66"/>
  <c r="M167" i="66"/>
  <c r="M168" i="66"/>
  <c r="M169" i="66"/>
  <c r="M170" i="66"/>
  <c r="M171" i="66"/>
  <c r="M172" i="66"/>
  <c r="M173" i="66"/>
  <c r="M174" i="66"/>
  <c r="M175" i="66"/>
  <c r="M176" i="66"/>
  <c r="M177" i="66"/>
  <c r="M178" i="66"/>
  <c r="M179" i="66"/>
  <c r="M180" i="66"/>
  <c r="M181" i="66"/>
  <c r="M182" i="66"/>
  <c r="M183" i="66"/>
  <c r="M184" i="66"/>
  <c r="M185" i="66"/>
  <c r="M186" i="66"/>
  <c r="M187" i="66"/>
  <c r="M188" i="66"/>
  <c r="M189" i="66"/>
  <c r="M190" i="66"/>
  <c r="M191" i="66"/>
  <c r="M192" i="66"/>
  <c r="M193" i="66"/>
  <c r="M194" i="66"/>
  <c r="M195" i="66"/>
  <c r="M196" i="66"/>
  <c r="M197" i="66"/>
  <c r="M198" i="66"/>
  <c r="M199" i="66"/>
  <c r="M200" i="66"/>
  <c r="M201" i="66"/>
  <c r="M202" i="66"/>
  <c r="M203" i="66"/>
  <c r="M204" i="66"/>
  <c r="M205" i="66"/>
  <c r="M206" i="66"/>
  <c r="M207" i="66"/>
  <c r="M208" i="66"/>
  <c r="M209" i="66"/>
  <c r="M210" i="66"/>
  <c r="M211" i="66"/>
  <c r="M212" i="66"/>
  <c r="M213" i="66"/>
  <c r="M214" i="66"/>
  <c r="M215" i="66"/>
  <c r="M216" i="66"/>
  <c r="M217" i="66"/>
  <c r="M218" i="66"/>
  <c r="M219" i="66"/>
  <c r="M220" i="66"/>
  <c r="M221" i="66"/>
  <c r="M222" i="66"/>
  <c r="M223" i="66"/>
  <c r="M224" i="66"/>
  <c r="M225" i="66"/>
  <c r="M226" i="66"/>
  <c r="M227" i="66"/>
  <c r="M228" i="66"/>
  <c r="M229" i="66"/>
  <c r="M230" i="66"/>
  <c r="M231" i="66"/>
  <c r="M232" i="66"/>
  <c r="M233" i="66"/>
  <c r="M234" i="66"/>
  <c r="M235" i="66"/>
  <c r="M236" i="66"/>
  <c r="M237" i="66"/>
  <c r="M238" i="66"/>
  <c r="M239" i="66"/>
  <c r="M240" i="66"/>
  <c r="M241" i="66"/>
  <c r="M242" i="66"/>
  <c r="M243" i="66"/>
  <c r="M244" i="66"/>
  <c r="M245" i="66"/>
  <c r="M246" i="66"/>
  <c r="M247" i="66"/>
  <c r="M248" i="66"/>
  <c r="M249" i="66"/>
  <c r="M250" i="66"/>
  <c r="M251" i="66"/>
  <c r="M252" i="66"/>
  <c r="M253" i="66"/>
  <c r="M254" i="66"/>
  <c r="M255" i="66"/>
  <c r="M256" i="66"/>
  <c r="M257" i="66"/>
  <c r="M258" i="66"/>
  <c r="M259" i="66"/>
  <c r="M260" i="66"/>
  <c r="M261" i="66"/>
  <c r="L3" i="66"/>
  <c r="L4" i="66"/>
  <c r="L5" i="66"/>
  <c r="L6" i="66"/>
  <c r="L7" i="66"/>
  <c r="L8" i="66"/>
  <c r="L9" i="66"/>
  <c r="L10" i="66"/>
  <c r="L11" i="66"/>
  <c r="L12" i="66"/>
  <c r="L13" i="66"/>
  <c r="L14" i="66"/>
  <c r="L15" i="66"/>
  <c r="L16" i="66"/>
  <c r="L17" i="66"/>
  <c r="L18" i="66"/>
  <c r="L19" i="66"/>
  <c r="L20" i="66"/>
  <c r="L21" i="66"/>
  <c r="L22" i="66"/>
  <c r="L23" i="66"/>
  <c r="L24" i="66"/>
  <c r="L25" i="66"/>
  <c r="L26" i="66"/>
  <c r="L27" i="66"/>
  <c r="L28" i="66"/>
  <c r="L29" i="66"/>
  <c r="L30" i="66"/>
  <c r="L31" i="66"/>
  <c r="L32" i="66"/>
  <c r="L33" i="66"/>
  <c r="L34" i="66"/>
  <c r="L35" i="66"/>
  <c r="L36" i="66"/>
  <c r="L37" i="66"/>
  <c r="L38" i="66"/>
  <c r="L39" i="66"/>
  <c r="L40" i="66"/>
  <c r="L41" i="66"/>
  <c r="L42" i="66"/>
  <c r="L43" i="66"/>
  <c r="L44" i="66"/>
  <c r="L45" i="66"/>
  <c r="L46" i="66"/>
  <c r="L47" i="66"/>
  <c r="L48" i="66"/>
  <c r="L49" i="66"/>
  <c r="L50" i="66"/>
  <c r="L51" i="66"/>
  <c r="L52" i="66"/>
  <c r="L53" i="66"/>
  <c r="L54" i="66"/>
  <c r="L55" i="66"/>
  <c r="L56" i="66"/>
  <c r="L57" i="66"/>
  <c r="L58" i="66"/>
  <c r="L59" i="66"/>
  <c r="L60" i="66"/>
  <c r="L61" i="66"/>
  <c r="L62" i="66"/>
  <c r="L63" i="66"/>
  <c r="L64" i="66"/>
  <c r="L65" i="66"/>
  <c r="L66" i="66"/>
  <c r="L67" i="66"/>
  <c r="L68" i="66"/>
  <c r="L69" i="66"/>
  <c r="L70" i="66"/>
  <c r="L71" i="66"/>
  <c r="L72" i="66"/>
  <c r="L73" i="66"/>
  <c r="L74" i="66"/>
  <c r="L75" i="66"/>
  <c r="L76" i="66"/>
  <c r="L77" i="66"/>
  <c r="L78" i="66"/>
  <c r="L79" i="66"/>
  <c r="L80" i="66"/>
  <c r="L81" i="66"/>
  <c r="L82" i="66"/>
  <c r="L83" i="66"/>
  <c r="L84" i="66"/>
  <c r="L85" i="66"/>
  <c r="L86" i="66"/>
  <c r="L87" i="66"/>
  <c r="L88" i="66"/>
  <c r="L89" i="66"/>
  <c r="L90" i="66"/>
  <c r="L91" i="66"/>
  <c r="L92" i="66"/>
  <c r="L93" i="66"/>
  <c r="L94" i="66"/>
  <c r="L95" i="66"/>
  <c r="L96" i="66"/>
  <c r="L97" i="66"/>
  <c r="L98" i="66"/>
  <c r="L99" i="66"/>
  <c r="L100" i="66"/>
  <c r="L101" i="66"/>
  <c r="L102" i="66"/>
  <c r="L103" i="66"/>
  <c r="L104" i="66"/>
  <c r="L105" i="66"/>
  <c r="L106" i="66"/>
  <c r="L107" i="66"/>
  <c r="L108" i="66"/>
  <c r="L109" i="66"/>
  <c r="L110" i="66"/>
  <c r="L111" i="66"/>
  <c r="L112" i="66"/>
  <c r="L113" i="66"/>
  <c r="L114" i="66"/>
  <c r="L115" i="66"/>
  <c r="L116" i="66"/>
  <c r="L117" i="66"/>
  <c r="L118" i="66"/>
  <c r="L119" i="66"/>
  <c r="L120" i="66"/>
  <c r="L121" i="66"/>
  <c r="L122" i="66"/>
  <c r="L123" i="66"/>
  <c r="L124" i="66"/>
  <c r="L125" i="66"/>
  <c r="L126" i="66"/>
  <c r="L127" i="66"/>
  <c r="L128" i="66"/>
  <c r="L129" i="66"/>
  <c r="L130" i="66"/>
  <c r="L131" i="66"/>
  <c r="L132" i="66"/>
  <c r="L133" i="66"/>
  <c r="L134" i="66"/>
  <c r="L135" i="66"/>
  <c r="L136" i="66"/>
  <c r="L137" i="66"/>
  <c r="L138" i="66"/>
  <c r="L139" i="66"/>
  <c r="L140" i="66"/>
  <c r="L141" i="66"/>
  <c r="L142" i="66"/>
  <c r="L143" i="66"/>
  <c r="L144" i="66"/>
  <c r="L145" i="66"/>
  <c r="L146" i="66"/>
  <c r="L147" i="66"/>
  <c r="L148" i="66"/>
  <c r="L149" i="66"/>
  <c r="L150" i="66"/>
  <c r="L151" i="66"/>
  <c r="L152" i="66"/>
  <c r="L153" i="66"/>
  <c r="L154" i="66"/>
  <c r="L155" i="66"/>
  <c r="L156" i="66"/>
  <c r="L157" i="66"/>
  <c r="L158" i="66"/>
  <c r="L159" i="66"/>
  <c r="L160" i="66"/>
  <c r="L161" i="66"/>
  <c r="L163" i="66"/>
  <c r="L164" i="66"/>
  <c r="L165" i="66"/>
  <c r="L166" i="66"/>
  <c r="L167" i="66"/>
  <c r="L168" i="66"/>
  <c r="L169" i="66"/>
  <c r="L170" i="66"/>
  <c r="L171" i="66"/>
  <c r="L172" i="66"/>
  <c r="L173" i="66"/>
  <c r="L174" i="66"/>
  <c r="L175" i="66"/>
  <c r="L176" i="66"/>
  <c r="L177" i="66"/>
  <c r="L178" i="66"/>
  <c r="L179" i="66"/>
  <c r="L180" i="66"/>
  <c r="L181" i="66"/>
  <c r="L182" i="66"/>
  <c r="L183" i="66"/>
  <c r="L184" i="66"/>
  <c r="L185" i="66"/>
  <c r="L186" i="66"/>
  <c r="L187" i="66"/>
  <c r="L188" i="66"/>
  <c r="L189" i="66"/>
  <c r="L190" i="66"/>
  <c r="L191" i="66"/>
  <c r="L192" i="66"/>
  <c r="L193" i="66"/>
  <c r="L194" i="66"/>
  <c r="L195" i="66"/>
  <c r="L196" i="66"/>
  <c r="L197" i="66"/>
  <c r="L198" i="66"/>
  <c r="L199" i="66"/>
  <c r="L200" i="66"/>
  <c r="L201" i="66"/>
  <c r="L202" i="66"/>
  <c r="L203" i="66"/>
  <c r="L204" i="66"/>
  <c r="L205" i="66"/>
  <c r="L206" i="66"/>
  <c r="L207" i="66"/>
  <c r="L208" i="66"/>
  <c r="L209" i="66"/>
  <c r="L210" i="66"/>
  <c r="L211" i="66"/>
  <c r="L212" i="66"/>
  <c r="L213" i="66"/>
  <c r="L214" i="66"/>
  <c r="L215" i="66"/>
  <c r="L216" i="66"/>
  <c r="L217" i="66"/>
  <c r="L218" i="66"/>
  <c r="L219" i="66"/>
  <c r="L220" i="66"/>
  <c r="L221" i="66"/>
  <c r="L222" i="66"/>
  <c r="L223" i="66"/>
  <c r="L224" i="66"/>
  <c r="L225" i="66"/>
  <c r="L226" i="66"/>
  <c r="L227" i="66"/>
  <c r="L228" i="66"/>
  <c r="L229" i="66"/>
  <c r="L230" i="66"/>
  <c r="L231" i="66"/>
  <c r="L232" i="66"/>
  <c r="L233" i="66"/>
  <c r="L234" i="66"/>
  <c r="L235" i="66"/>
  <c r="L236" i="66"/>
  <c r="L237" i="66"/>
  <c r="L238" i="66"/>
  <c r="L239" i="66"/>
  <c r="L240" i="66"/>
  <c r="L241" i="66"/>
  <c r="L242" i="66"/>
  <c r="L243" i="66"/>
  <c r="L244" i="66"/>
  <c r="L245" i="66"/>
  <c r="L246" i="66"/>
  <c r="L247" i="66"/>
  <c r="L248" i="66"/>
  <c r="L249" i="66"/>
  <c r="L250" i="66"/>
  <c r="L251" i="66"/>
  <c r="L252" i="66"/>
  <c r="L253" i="66"/>
  <c r="L254" i="66"/>
  <c r="L255" i="66"/>
  <c r="L256" i="66"/>
  <c r="L257" i="66"/>
  <c r="L258" i="66"/>
  <c r="L259" i="66"/>
  <c r="L260" i="66"/>
  <c r="L261" i="66"/>
  <c r="K3" i="66"/>
  <c r="K4" i="66"/>
  <c r="K5" i="66"/>
  <c r="K6" i="66"/>
  <c r="K7" i="66"/>
  <c r="K8" i="66"/>
  <c r="K9" i="66"/>
  <c r="K10" i="66"/>
  <c r="K11" i="66"/>
  <c r="K12" i="66"/>
  <c r="K13" i="66"/>
  <c r="K14" i="66"/>
  <c r="K15" i="66"/>
  <c r="K16" i="66"/>
  <c r="K17" i="66"/>
  <c r="K18" i="66"/>
  <c r="K19" i="66"/>
  <c r="K20" i="66"/>
  <c r="K21" i="66"/>
  <c r="K22" i="66"/>
  <c r="K23" i="66"/>
  <c r="K24" i="66"/>
  <c r="K25" i="66"/>
  <c r="K26" i="66"/>
  <c r="K27" i="66"/>
  <c r="K28" i="66"/>
  <c r="K29" i="66"/>
  <c r="K30" i="66"/>
  <c r="K31" i="66"/>
  <c r="K32" i="66"/>
  <c r="K33" i="66"/>
  <c r="K34" i="66"/>
  <c r="K35" i="66"/>
  <c r="K36" i="66"/>
  <c r="K37" i="66"/>
  <c r="K38" i="66"/>
  <c r="K39" i="66"/>
  <c r="K40" i="66"/>
  <c r="K41" i="66"/>
  <c r="K42" i="66"/>
  <c r="K43" i="66"/>
  <c r="K44" i="66"/>
  <c r="K45" i="66"/>
  <c r="K46" i="66"/>
  <c r="K47" i="66"/>
  <c r="K48" i="66"/>
  <c r="K49" i="66"/>
  <c r="K50" i="66"/>
  <c r="K51" i="66"/>
  <c r="K52" i="66"/>
  <c r="K53" i="66"/>
  <c r="K54" i="66"/>
  <c r="K55" i="66"/>
  <c r="K56" i="66"/>
  <c r="K57" i="66"/>
  <c r="K58" i="66"/>
  <c r="K59" i="66"/>
  <c r="K60" i="66"/>
  <c r="K61" i="66"/>
  <c r="K62" i="66"/>
  <c r="K63" i="66"/>
  <c r="K64" i="66"/>
  <c r="K65" i="66"/>
  <c r="K66" i="66"/>
  <c r="K67" i="66"/>
  <c r="K68" i="66"/>
  <c r="K69" i="66"/>
  <c r="K70" i="66"/>
  <c r="K71" i="66"/>
  <c r="K72" i="66"/>
  <c r="K73" i="66"/>
  <c r="K74" i="66"/>
  <c r="K75" i="66"/>
  <c r="K76" i="66"/>
  <c r="K77" i="66"/>
  <c r="K78" i="66"/>
  <c r="K79" i="66"/>
  <c r="K80" i="66"/>
  <c r="K81" i="66"/>
  <c r="K82" i="66"/>
  <c r="K83" i="66"/>
  <c r="K84" i="66"/>
  <c r="K85" i="66"/>
  <c r="K86" i="66"/>
  <c r="K87" i="66"/>
  <c r="K88" i="66"/>
  <c r="K89" i="66"/>
  <c r="K90" i="66"/>
  <c r="K91" i="66"/>
  <c r="K92" i="66"/>
  <c r="K93" i="66"/>
  <c r="K94" i="66"/>
  <c r="K95" i="66"/>
  <c r="K96" i="66"/>
  <c r="K97" i="66"/>
  <c r="K98" i="66"/>
  <c r="K99" i="66"/>
  <c r="K100" i="66"/>
  <c r="K101" i="66"/>
  <c r="K102" i="66"/>
  <c r="K103" i="66"/>
  <c r="K104" i="66"/>
  <c r="K105" i="66"/>
  <c r="K106" i="66"/>
  <c r="K107" i="66"/>
  <c r="K108" i="66"/>
  <c r="K109" i="66"/>
  <c r="K110" i="66"/>
  <c r="K111" i="66"/>
  <c r="K112" i="66"/>
  <c r="K113" i="66"/>
  <c r="K114" i="66"/>
  <c r="K115" i="66"/>
  <c r="K116" i="66"/>
  <c r="K117" i="66"/>
  <c r="K118" i="66"/>
  <c r="K119" i="66"/>
  <c r="K120" i="66"/>
  <c r="K121" i="66"/>
  <c r="K122" i="66"/>
  <c r="K123" i="66"/>
  <c r="K124" i="66"/>
  <c r="K125" i="66"/>
  <c r="K126" i="66"/>
  <c r="K127" i="66"/>
  <c r="K128" i="66"/>
  <c r="K129" i="66"/>
  <c r="K130" i="66"/>
  <c r="K131" i="66"/>
  <c r="K132" i="66"/>
  <c r="K133" i="66"/>
  <c r="K134" i="66"/>
  <c r="K135" i="66"/>
  <c r="K136" i="66"/>
  <c r="K137" i="66"/>
  <c r="K138" i="66"/>
  <c r="K139" i="66"/>
  <c r="K140" i="66"/>
  <c r="K141" i="66"/>
  <c r="K142" i="66"/>
  <c r="K143" i="66"/>
  <c r="K144" i="66"/>
  <c r="K145" i="66"/>
  <c r="K146" i="66"/>
  <c r="K147" i="66"/>
  <c r="K148" i="66"/>
  <c r="K149" i="66"/>
  <c r="K150" i="66"/>
  <c r="K151" i="66"/>
  <c r="K152" i="66"/>
  <c r="K153" i="66"/>
  <c r="K154" i="66"/>
  <c r="K155" i="66"/>
  <c r="K156" i="66"/>
  <c r="K157" i="66"/>
  <c r="K158" i="66"/>
  <c r="K159" i="66"/>
  <c r="K160" i="66"/>
  <c r="K161" i="66"/>
  <c r="K163" i="66"/>
  <c r="K164" i="66"/>
  <c r="K165" i="66"/>
  <c r="K166" i="66"/>
  <c r="K167" i="66"/>
  <c r="K168" i="66"/>
  <c r="K169" i="66"/>
  <c r="K170" i="66"/>
  <c r="K171" i="66"/>
  <c r="K172" i="66"/>
  <c r="K173" i="66"/>
  <c r="K174" i="66"/>
  <c r="K175" i="66"/>
  <c r="K176" i="66"/>
  <c r="K177" i="66"/>
  <c r="K178" i="66"/>
  <c r="K179" i="66"/>
  <c r="K180" i="66"/>
  <c r="K181" i="66"/>
  <c r="K182" i="66"/>
  <c r="K183" i="66"/>
  <c r="K184" i="66"/>
  <c r="K185" i="66"/>
  <c r="K186" i="66"/>
  <c r="K187" i="66"/>
  <c r="K188" i="66"/>
  <c r="K189" i="66"/>
  <c r="K190" i="66"/>
  <c r="K191" i="66"/>
  <c r="K192" i="66"/>
  <c r="K193" i="66"/>
  <c r="K194" i="66"/>
  <c r="K195" i="66"/>
  <c r="K196" i="66"/>
  <c r="K197" i="66"/>
  <c r="K198" i="66"/>
  <c r="K199" i="66"/>
  <c r="K200" i="66"/>
  <c r="K201" i="66"/>
  <c r="K202" i="66"/>
  <c r="K203" i="66"/>
  <c r="K204" i="66"/>
  <c r="K205" i="66"/>
  <c r="K206" i="66"/>
  <c r="K207" i="66"/>
  <c r="K208" i="66"/>
  <c r="K209" i="66"/>
  <c r="K210" i="66"/>
  <c r="K211" i="66"/>
  <c r="K212" i="66"/>
  <c r="K213" i="66"/>
  <c r="K214" i="66"/>
  <c r="K215" i="66"/>
  <c r="K216" i="66"/>
  <c r="K217" i="66"/>
  <c r="K218" i="66"/>
  <c r="K219" i="66"/>
  <c r="K220" i="66"/>
  <c r="K221" i="66"/>
  <c r="K222" i="66"/>
  <c r="K223" i="66"/>
  <c r="K224" i="66"/>
  <c r="K225" i="66"/>
  <c r="K226" i="66"/>
  <c r="K227" i="66"/>
  <c r="K228" i="66"/>
  <c r="K229" i="66"/>
  <c r="K230" i="66"/>
  <c r="K231" i="66"/>
  <c r="K232" i="66"/>
  <c r="K233" i="66"/>
  <c r="K234" i="66"/>
  <c r="K235" i="66"/>
  <c r="K236" i="66"/>
  <c r="K237" i="66"/>
  <c r="K238" i="66"/>
  <c r="K239" i="66"/>
  <c r="K240" i="66"/>
  <c r="K241" i="66"/>
  <c r="K242" i="66"/>
  <c r="K243" i="66"/>
  <c r="K244" i="66"/>
  <c r="K245" i="66"/>
  <c r="K246" i="66"/>
  <c r="K247" i="66"/>
  <c r="K248" i="66"/>
  <c r="K249" i="66"/>
  <c r="K250" i="66"/>
  <c r="K251" i="66"/>
  <c r="K252" i="66"/>
  <c r="K253" i="66"/>
  <c r="K254" i="66"/>
  <c r="K255" i="66"/>
  <c r="K256" i="66"/>
  <c r="K257" i="66"/>
  <c r="K258" i="66"/>
  <c r="K259" i="66"/>
  <c r="K260" i="66"/>
  <c r="K261" i="66"/>
  <c r="J3" i="66"/>
  <c r="J4" i="66"/>
  <c r="J5" i="66"/>
  <c r="J6" i="66"/>
  <c r="J7" i="66"/>
  <c r="J8" i="66"/>
  <c r="J9" i="66"/>
  <c r="J10" i="66"/>
  <c r="J11" i="66"/>
  <c r="J12" i="66"/>
  <c r="J13" i="66"/>
  <c r="J14" i="66"/>
  <c r="J15" i="66"/>
  <c r="J16" i="66"/>
  <c r="J17" i="66"/>
  <c r="J18" i="66"/>
  <c r="J19" i="66"/>
  <c r="J20" i="66"/>
  <c r="J21" i="66"/>
  <c r="J22" i="66"/>
  <c r="J23" i="66"/>
  <c r="J24" i="66"/>
  <c r="J25" i="66"/>
  <c r="J26" i="66"/>
  <c r="J27" i="66"/>
  <c r="J28" i="66"/>
  <c r="J29" i="66"/>
  <c r="J30" i="66"/>
  <c r="J31" i="66"/>
  <c r="J32" i="66"/>
  <c r="J33" i="66"/>
  <c r="J34" i="66"/>
  <c r="J35" i="66"/>
  <c r="J36" i="66"/>
  <c r="J37" i="66"/>
  <c r="J38" i="66"/>
  <c r="J39" i="66"/>
  <c r="J40" i="66"/>
  <c r="J41" i="66"/>
  <c r="J42" i="66"/>
  <c r="J43" i="66"/>
  <c r="J44" i="66"/>
  <c r="J45" i="66"/>
  <c r="J46" i="66"/>
  <c r="J47" i="66"/>
  <c r="J48" i="66"/>
  <c r="J49" i="66"/>
  <c r="J50" i="66"/>
  <c r="J51" i="66"/>
  <c r="J52" i="66"/>
  <c r="J53" i="66"/>
  <c r="J54" i="66"/>
  <c r="J55" i="66"/>
  <c r="J56" i="66"/>
  <c r="J57" i="66"/>
  <c r="J58" i="66"/>
  <c r="J59" i="66"/>
  <c r="J60" i="66"/>
  <c r="J61" i="66"/>
  <c r="J62" i="66"/>
  <c r="J63" i="66"/>
  <c r="J64" i="66"/>
  <c r="J65" i="66"/>
  <c r="J66" i="66"/>
  <c r="J67" i="66"/>
  <c r="J68" i="66"/>
  <c r="J69" i="66"/>
  <c r="J70" i="66"/>
  <c r="J71" i="66"/>
  <c r="J72" i="66"/>
  <c r="J73" i="66"/>
  <c r="J74" i="66"/>
  <c r="J75" i="66"/>
  <c r="J76" i="66"/>
  <c r="J77" i="66"/>
  <c r="J78" i="66"/>
  <c r="J79" i="66"/>
  <c r="J80" i="66"/>
  <c r="J81" i="66"/>
  <c r="J82" i="66"/>
  <c r="J83" i="66"/>
  <c r="J84" i="66"/>
  <c r="J85" i="66"/>
  <c r="J86" i="66"/>
  <c r="J87" i="66"/>
  <c r="J88" i="66"/>
  <c r="J89" i="66"/>
  <c r="J90" i="66"/>
  <c r="J91" i="66"/>
  <c r="J92" i="66"/>
  <c r="J93" i="66"/>
  <c r="J94" i="66"/>
  <c r="J95" i="66"/>
  <c r="J96" i="66"/>
  <c r="J97" i="66"/>
  <c r="J98" i="66"/>
  <c r="J99" i="66"/>
  <c r="J100" i="66"/>
  <c r="J101" i="66"/>
  <c r="J102" i="66"/>
  <c r="J103" i="66"/>
  <c r="J104" i="66"/>
  <c r="J105" i="66"/>
  <c r="J106" i="66"/>
  <c r="J107" i="66"/>
  <c r="J108" i="66"/>
  <c r="J109" i="66"/>
  <c r="J110" i="66"/>
  <c r="J111" i="66"/>
  <c r="J112" i="66"/>
  <c r="J113" i="66"/>
  <c r="J114" i="66"/>
  <c r="J115" i="66"/>
  <c r="J116" i="66"/>
  <c r="J117" i="66"/>
  <c r="J118" i="66"/>
  <c r="J119" i="66"/>
  <c r="J120" i="66"/>
  <c r="J121" i="66"/>
  <c r="J122" i="66"/>
  <c r="J123" i="66"/>
  <c r="J124" i="66"/>
  <c r="J125" i="66"/>
  <c r="J126" i="66"/>
  <c r="J127" i="66"/>
  <c r="J128" i="66"/>
  <c r="J129" i="66"/>
  <c r="J130" i="66"/>
  <c r="J131" i="66"/>
  <c r="J132" i="66"/>
  <c r="J133" i="66"/>
  <c r="J134" i="66"/>
  <c r="J135" i="66"/>
  <c r="J136" i="66"/>
  <c r="J137" i="66"/>
  <c r="J138" i="66"/>
  <c r="J139" i="66"/>
  <c r="J140" i="66"/>
  <c r="J141" i="66"/>
  <c r="J142" i="66"/>
  <c r="J143" i="66"/>
  <c r="J144" i="66"/>
  <c r="J145" i="66"/>
  <c r="J146" i="66"/>
  <c r="J147" i="66"/>
  <c r="J148" i="66"/>
  <c r="J149" i="66"/>
  <c r="J150" i="66"/>
  <c r="J151" i="66"/>
  <c r="J152" i="66"/>
  <c r="J153" i="66"/>
  <c r="J154" i="66"/>
  <c r="J155" i="66"/>
  <c r="J156" i="66"/>
  <c r="J157" i="66"/>
  <c r="J158" i="66"/>
  <c r="J159" i="66"/>
  <c r="J160" i="66"/>
  <c r="J161" i="66"/>
  <c r="J163" i="66"/>
  <c r="J164" i="66"/>
  <c r="J165" i="66"/>
  <c r="J166" i="66"/>
  <c r="J167" i="66"/>
  <c r="J168" i="66"/>
  <c r="J169" i="66"/>
  <c r="J170" i="66"/>
  <c r="J171" i="66"/>
  <c r="J172" i="66"/>
  <c r="J173" i="66"/>
  <c r="J174" i="66"/>
  <c r="J175" i="66"/>
  <c r="J176" i="66"/>
  <c r="J177" i="66"/>
  <c r="J178" i="66"/>
  <c r="J179" i="66"/>
  <c r="J180" i="66"/>
  <c r="J181" i="66"/>
  <c r="J182" i="66"/>
  <c r="J183" i="66"/>
  <c r="J184" i="66"/>
  <c r="J185" i="66"/>
  <c r="J186" i="66"/>
  <c r="J187" i="66"/>
  <c r="J188" i="66"/>
  <c r="J189" i="66"/>
  <c r="J190" i="66"/>
  <c r="J191" i="66"/>
  <c r="J192" i="66"/>
  <c r="J193" i="66"/>
  <c r="J194" i="66"/>
  <c r="J195" i="66"/>
  <c r="J196" i="66"/>
  <c r="J197" i="66"/>
  <c r="J198" i="66"/>
  <c r="J199" i="66"/>
  <c r="J200" i="66"/>
  <c r="J201" i="66"/>
  <c r="J202" i="66"/>
  <c r="J203" i="66"/>
  <c r="J204" i="66"/>
  <c r="J205" i="66"/>
  <c r="J206" i="66"/>
  <c r="J207" i="66"/>
  <c r="J208" i="66"/>
  <c r="J209" i="66"/>
  <c r="J210" i="66"/>
  <c r="J211" i="66"/>
  <c r="J212" i="66"/>
  <c r="J213" i="66"/>
  <c r="J214" i="66"/>
  <c r="J215" i="66"/>
  <c r="J216" i="66"/>
  <c r="J217" i="66"/>
  <c r="J218" i="66"/>
  <c r="J219" i="66"/>
  <c r="J220" i="66"/>
  <c r="J221" i="66"/>
  <c r="J222" i="66"/>
  <c r="J223" i="66"/>
  <c r="J224" i="66"/>
  <c r="J225" i="66"/>
  <c r="J226" i="66"/>
  <c r="J227" i="66"/>
  <c r="J228" i="66"/>
  <c r="J229" i="66"/>
  <c r="J230" i="66"/>
  <c r="J231" i="66"/>
  <c r="J232" i="66"/>
  <c r="J233" i="66"/>
  <c r="J234" i="66"/>
  <c r="J235" i="66"/>
  <c r="J236" i="66"/>
  <c r="J237" i="66"/>
  <c r="J238" i="66"/>
  <c r="J239" i="66"/>
  <c r="J240" i="66"/>
  <c r="J241" i="66"/>
  <c r="J242" i="66"/>
  <c r="J243" i="66"/>
  <c r="J244" i="66"/>
  <c r="J245" i="66"/>
  <c r="J246" i="66"/>
  <c r="J247" i="66"/>
  <c r="J248" i="66"/>
  <c r="J249" i="66"/>
  <c r="J250" i="66"/>
  <c r="J251" i="66"/>
  <c r="J252" i="66"/>
  <c r="J253" i="66"/>
  <c r="J254" i="66"/>
  <c r="J255" i="66"/>
  <c r="J256" i="66"/>
  <c r="J257" i="66"/>
  <c r="J258" i="66"/>
  <c r="J259" i="66"/>
  <c r="J260" i="66"/>
  <c r="J261" i="66"/>
  <c r="M2" i="66"/>
  <c r="L2" i="66"/>
  <c r="K2" i="66"/>
  <c r="J2" i="66"/>
  <c r="I3" i="66"/>
  <c r="I4" i="66"/>
  <c r="I5" i="66"/>
  <c r="I6" i="66"/>
  <c r="I7" i="66"/>
  <c r="I8" i="66"/>
  <c r="I9" i="66"/>
  <c r="I10" i="66"/>
  <c r="I11" i="66"/>
  <c r="I12" i="66"/>
  <c r="I13" i="66"/>
  <c r="I14" i="66"/>
  <c r="I15" i="66"/>
  <c r="I16" i="66"/>
  <c r="I17" i="66"/>
  <c r="I18" i="66"/>
  <c r="I19" i="66"/>
  <c r="I20" i="66"/>
  <c r="I21" i="66"/>
  <c r="I22" i="66"/>
  <c r="I23" i="66"/>
  <c r="I24" i="66"/>
  <c r="I25" i="66"/>
  <c r="I26" i="66"/>
  <c r="I27" i="66"/>
  <c r="I28" i="66"/>
  <c r="I29" i="66"/>
  <c r="I30" i="66"/>
  <c r="I31" i="66"/>
  <c r="I32" i="66"/>
  <c r="I33" i="66"/>
  <c r="I34" i="66"/>
  <c r="I35" i="66"/>
  <c r="I36" i="66"/>
  <c r="I37" i="66"/>
  <c r="I38" i="66"/>
  <c r="I39" i="66"/>
  <c r="I40" i="66"/>
  <c r="I41" i="66"/>
  <c r="I42" i="66"/>
  <c r="I43" i="66"/>
  <c r="I44" i="66"/>
  <c r="I45" i="66"/>
  <c r="I46" i="66"/>
  <c r="I47" i="66"/>
  <c r="I48" i="66"/>
  <c r="I49" i="66"/>
  <c r="I50" i="66"/>
  <c r="I51" i="66"/>
  <c r="I52" i="66"/>
  <c r="I53" i="66"/>
  <c r="I54" i="66"/>
  <c r="I55" i="66"/>
  <c r="I56" i="66"/>
  <c r="I57" i="66"/>
  <c r="I58" i="66"/>
  <c r="I59" i="66"/>
  <c r="I60" i="66"/>
  <c r="I61" i="66"/>
  <c r="I62" i="66"/>
  <c r="I63" i="66"/>
  <c r="I64" i="66"/>
  <c r="I65" i="66"/>
  <c r="I66" i="66"/>
  <c r="I67" i="66"/>
  <c r="I68" i="66"/>
  <c r="I69" i="66"/>
  <c r="I70" i="66"/>
  <c r="I71" i="66"/>
  <c r="I72" i="66"/>
  <c r="I73" i="66"/>
  <c r="I74" i="66"/>
  <c r="I75" i="66"/>
  <c r="I76" i="66"/>
  <c r="I77" i="66"/>
  <c r="I78" i="66"/>
  <c r="I79" i="66"/>
  <c r="I80" i="66"/>
  <c r="I81" i="66"/>
  <c r="I82" i="66"/>
  <c r="I83" i="66"/>
  <c r="I84" i="66"/>
  <c r="I85" i="66"/>
  <c r="I86" i="66"/>
  <c r="I87" i="66"/>
  <c r="I88" i="66"/>
  <c r="I89" i="66"/>
  <c r="I90" i="66"/>
  <c r="I91" i="66"/>
  <c r="I92" i="66"/>
  <c r="I93" i="66"/>
  <c r="I94" i="66"/>
  <c r="I95" i="66"/>
  <c r="I96" i="66"/>
  <c r="I97" i="66"/>
  <c r="I98" i="66"/>
  <c r="I99" i="66"/>
  <c r="I100" i="66"/>
  <c r="I101" i="66"/>
  <c r="I102" i="66"/>
  <c r="I103" i="66"/>
  <c r="I104" i="66"/>
  <c r="I105" i="66"/>
  <c r="I106" i="66"/>
  <c r="I107" i="66"/>
  <c r="I108" i="66"/>
  <c r="I109" i="66"/>
  <c r="I110" i="66"/>
  <c r="I111" i="66"/>
  <c r="I112" i="66"/>
  <c r="I113" i="66"/>
  <c r="I114" i="66"/>
  <c r="I115" i="66"/>
  <c r="I116" i="66"/>
  <c r="I117" i="66"/>
  <c r="I118" i="66"/>
  <c r="I119" i="66"/>
  <c r="I120" i="66"/>
  <c r="I121" i="66"/>
  <c r="I122" i="66"/>
  <c r="I123" i="66"/>
  <c r="I124" i="66"/>
  <c r="I125" i="66"/>
  <c r="I126" i="66"/>
  <c r="I127" i="66"/>
  <c r="I128" i="66"/>
  <c r="I129" i="66"/>
  <c r="I130" i="66"/>
  <c r="I131" i="66"/>
  <c r="I132" i="66"/>
  <c r="I133" i="66"/>
  <c r="I134" i="66"/>
  <c r="I135" i="66"/>
  <c r="I136" i="66"/>
  <c r="I137" i="66"/>
  <c r="I138" i="66"/>
  <c r="I139" i="66"/>
  <c r="I140" i="66"/>
  <c r="I141" i="66"/>
  <c r="I142" i="66"/>
  <c r="I143" i="66"/>
  <c r="I144" i="66"/>
  <c r="I145" i="66"/>
  <c r="I146" i="66"/>
  <c r="I147" i="66"/>
  <c r="I148" i="66"/>
  <c r="I149" i="66"/>
  <c r="I150" i="66"/>
  <c r="I151" i="66"/>
  <c r="I152" i="66"/>
  <c r="I153" i="66"/>
  <c r="I154" i="66"/>
  <c r="I155" i="66"/>
  <c r="I156" i="66"/>
  <c r="I157" i="66"/>
  <c r="I158" i="66"/>
  <c r="I159" i="66"/>
  <c r="I160" i="66"/>
  <c r="I161" i="66"/>
  <c r="I163" i="66"/>
  <c r="I164" i="66"/>
  <c r="I165" i="66"/>
  <c r="I166" i="66"/>
  <c r="I167" i="66"/>
  <c r="I168" i="66"/>
  <c r="I169" i="66"/>
  <c r="I170" i="66"/>
  <c r="I171" i="66"/>
  <c r="I172" i="66"/>
  <c r="I173" i="66"/>
  <c r="I174" i="66"/>
  <c r="I175" i="66"/>
  <c r="I176" i="66"/>
  <c r="I177" i="66"/>
  <c r="I178" i="66"/>
  <c r="I179" i="66"/>
  <c r="I180" i="66"/>
  <c r="I181" i="66"/>
  <c r="I182" i="66"/>
  <c r="I183" i="66"/>
  <c r="I184" i="66"/>
  <c r="I185" i="66"/>
  <c r="I186" i="66"/>
  <c r="I187" i="66"/>
  <c r="I188" i="66"/>
  <c r="I189" i="66"/>
  <c r="I190" i="66"/>
  <c r="I191" i="66"/>
  <c r="I192" i="66"/>
  <c r="I193" i="66"/>
  <c r="I194" i="66"/>
  <c r="I195" i="66"/>
  <c r="I196" i="66"/>
  <c r="I197" i="66"/>
  <c r="I198" i="66"/>
  <c r="I199" i="66"/>
  <c r="I200" i="66"/>
  <c r="I201" i="66"/>
  <c r="I202" i="66"/>
  <c r="I203" i="66"/>
  <c r="I204" i="66"/>
  <c r="I205" i="66"/>
  <c r="I206" i="66"/>
  <c r="I207" i="66"/>
  <c r="I208" i="66"/>
  <c r="I209" i="66"/>
  <c r="I210" i="66"/>
  <c r="I211" i="66"/>
  <c r="I212" i="66"/>
  <c r="I213" i="66"/>
  <c r="I214" i="66"/>
  <c r="I215" i="66"/>
  <c r="I216" i="66"/>
  <c r="I217" i="66"/>
  <c r="I218" i="66"/>
  <c r="I219" i="66"/>
  <c r="I220" i="66"/>
  <c r="I221" i="66"/>
  <c r="I222" i="66"/>
  <c r="I223" i="66"/>
  <c r="I224" i="66"/>
  <c r="I225" i="66"/>
  <c r="I226" i="66"/>
  <c r="I227" i="66"/>
  <c r="I228" i="66"/>
  <c r="I229" i="66"/>
  <c r="I230" i="66"/>
  <c r="I231" i="66"/>
  <c r="I232" i="66"/>
  <c r="I233" i="66"/>
  <c r="I234" i="66"/>
  <c r="I235" i="66"/>
  <c r="I236" i="66"/>
  <c r="I237" i="66"/>
  <c r="I238" i="66"/>
  <c r="I239" i="66"/>
  <c r="I240" i="66"/>
  <c r="I241" i="66"/>
  <c r="I242" i="66"/>
  <c r="I243" i="66"/>
  <c r="I244" i="66"/>
  <c r="I245" i="66"/>
  <c r="I246" i="66"/>
  <c r="I247" i="66"/>
  <c r="I248" i="66"/>
  <c r="I249" i="66"/>
  <c r="I250" i="66"/>
  <c r="I251" i="66"/>
  <c r="I252" i="66"/>
  <c r="I253" i="66"/>
  <c r="I254" i="66"/>
  <c r="I255" i="66"/>
  <c r="I256" i="66"/>
  <c r="I257" i="66"/>
  <c r="I258" i="66"/>
  <c r="I259" i="66"/>
  <c r="I260" i="66"/>
  <c r="I261" i="66"/>
  <c r="I2" i="66"/>
  <c r="H3" i="66"/>
  <c r="H4" i="66"/>
  <c r="H5" i="66"/>
  <c r="H6" i="66"/>
  <c r="H7" i="66"/>
  <c r="H8" i="66"/>
  <c r="H9" i="66"/>
  <c r="H10" i="66"/>
  <c r="H11" i="66"/>
  <c r="H12" i="66"/>
  <c r="H13" i="66"/>
  <c r="H14" i="66"/>
  <c r="H15" i="66"/>
  <c r="H16" i="66"/>
  <c r="H17" i="66"/>
  <c r="H18" i="66"/>
  <c r="H19" i="66"/>
  <c r="H20" i="66"/>
  <c r="H21" i="66"/>
  <c r="H22" i="66"/>
  <c r="H23" i="66"/>
  <c r="H24" i="66"/>
  <c r="H25" i="66"/>
  <c r="H26" i="66"/>
  <c r="H27" i="66"/>
  <c r="H28" i="66"/>
  <c r="H29" i="66"/>
  <c r="H30" i="66"/>
  <c r="H31" i="66"/>
  <c r="H32" i="66"/>
  <c r="H33" i="66"/>
  <c r="H34" i="66"/>
  <c r="H35" i="66"/>
  <c r="H36" i="66"/>
  <c r="H37" i="66"/>
  <c r="H38" i="66"/>
  <c r="H39" i="66"/>
  <c r="H40" i="66"/>
  <c r="H41" i="66"/>
  <c r="H42" i="66"/>
  <c r="H43" i="66"/>
  <c r="H44" i="66"/>
  <c r="H45" i="66"/>
  <c r="H46" i="66"/>
  <c r="H47" i="66"/>
  <c r="H48" i="66"/>
  <c r="H49" i="66"/>
  <c r="H50" i="66"/>
  <c r="H51" i="66"/>
  <c r="H52" i="66"/>
  <c r="H53" i="66"/>
  <c r="H54" i="66"/>
  <c r="H55" i="66"/>
  <c r="H56" i="66"/>
  <c r="H57" i="66"/>
  <c r="H58" i="66"/>
  <c r="H59" i="66"/>
  <c r="H60" i="66"/>
  <c r="H61" i="66"/>
  <c r="H62" i="66"/>
  <c r="H63" i="66"/>
  <c r="H64" i="66"/>
  <c r="H65" i="66"/>
  <c r="H66" i="66"/>
  <c r="H67" i="66"/>
  <c r="H68" i="66"/>
  <c r="H69" i="66"/>
  <c r="H70" i="66"/>
  <c r="H71" i="66"/>
  <c r="H72" i="66"/>
  <c r="H73" i="66"/>
  <c r="H74" i="66"/>
  <c r="H75" i="66"/>
  <c r="H76" i="66"/>
  <c r="H77" i="66"/>
  <c r="H78" i="66"/>
  <c r="H79" i="66"/>
  <c r="H80" i="66"/>
  <c r="H81" i="66"/>
  <c r="H82" i="66"/>
  <c r="H83" i="66"/>
  <c r="H84" i="66"/>
  <c r="H85" i="66"/>
  <c r="H86" i="66"/>
  <c r="H87" i="66"/>
  <c r="H88" i="66"/>
  <c r="H89" i="66"/>
  <c r="H90" i="66"/>
  <c r="H91" i="66"/>
  <c r="H92" i="66"/>
  <c r="H93" i="66"/>
  <c r="H94" i="66"/>
  <c r="H95" i="66"/>
  <c r="H96" i="66"/>
  <c r="H97" i="66"/>
  <c r="H98" i="66"/>
  <c r="H99" i="66"/>
  <c r="H100" i="66"/>
  <c r="H101" i="66"/>
  <c r="H102" i="66"/>
  <c r="H103" i="66"/>
  <c r="H104" i="66"/>
  <c r="H105" i="66"/>
  <c r="H106" i="66"/>
  <c r="H107" i="66"/>
  <c r="H108" i="66"/>
  <c r="H109" i="66"/>
  <c r="H110" i="66"/>
  <c r="H111" i="66"/>
  <c r="H112" i="66"/>
  <c r="H113" i="66"/>
  <c r="H114" i="66"/>
  <c r="H115" i="66"/>
  <c r="H116" i="66"/>
  <c r="H117" i="66"/>
  <c r="H118" i="66"/>
  <c r="H119" i="66"/>
  <c r="H120" i="66"/>
  <c r="H121" i="66"/>
  <c r="H122" i="66"/>
  <c r="H123" i="66"/>
  <c r="H124" i="66"/>
  <c r="H125" i="66"/>
  <c r="H126" i="66"/>
  <c r="H127" i="66"/>
  <c r="H128" i="66"/>
  <c r="H129" i="66"/>
  <c r="H130" i="66"/>
  <c r="H131" i="66"/>
  <c r="H132" i="66"/>
  <c r="H133" i="66"/>
  <c r="H134" i="66"/>
  <c r="H135" i="66"/>
  <c r="H136" i="66"/>
  <c r="H137" i="66"/>
  <c r="H138" i="66"/>
  <c r="H139" i="66"/>
  <c r="H140" i="66"/>
  <c r="H141" i="66"/>
  <c r="H142" i="66"/>
  <c r="H143" i="66"/>
  <c r="H144" i="66"/>
  <c r="H145" i="66"/>
  <c r="H146" i="66"/>
  <c r="H147" i="66"/>
  <c r="H148" i="66"/>
  <c r="H149" i="66"/>
  <c r="H150" i="66"/>
  <c r="H151" i="66"/>
  <c r="H152" i="66"/>
  <c r="H153" i="66"/>
  <c r="H154" i="66"/>
  <c r="H155" i="66"/>
  <c r="H156" i="66"/>
  <c r="H157" i="66"/>
  <c r="H158" i="66"/>
  <c r="H159" i="66"/>
  <c r="H160" i="66"/>
  <c r="H161" i="66"/>
  <c r="H163" i="66"/>
  <c r="H164" i="66"/>
  <c r="H165" i="66"/>
  <c r="H166" i="66"/>
  <c r="H167" i="66"/>
  <c r="H168" i="66"/>
  <c r="H169" i="66"/>
  <c r="H170" i="66"/>
  <c r="H171" i="66"/>
  <c r="H172" i="66"/>
  <c r="H173" i="66"/>
  <c r="H174" i="66"/>
  <c r="H175" i="66"/>
  <c r="H176" i="66"/>
  <c r="H177" i="66"/>
  <c r="H178" i="66"/>
  <c r="H179" i="66"/>
  <c r="H180" i="66"/>
  <c r="H181" i="66"/>
  <c r="H182" i="66"/>
  <c r="H183" i="66"/>
  <c r="H184" i="66"/>
  <c r="H185" i="66"/>
  <c r="H186" i="66"/>
  <c r="H187" i="66"/>
  <c r="H188" i="66"/>
  <c r="H189" i="66"/>
  <c r="H190" i="66"/>
  <c r="H191" i="66"/>
  <c r="H192" i="66"/>
  <c r="H193" i="66"/>
  <c r="H194" i="66"/>
  <c r="H195" i="66"/>
  <c r="H196" i="66"/>
  <c r="H197" i="66"/>
  <c r="H198" i="66"/>
  <c r="H199" i="66"/>
  <c r="H200" i="66"/>
  <c r="H201" i="66"/>
  <c r="H202" i="66"/>
  <c r="H203" i="66"/>
  <c r="H204" i="66"/>
  <c r="H205" i="66"/>
  <c r="H206" i="66"/>
  <c r="H207" i="66"/>
  <c r="H208" i="66"/>
  <c r="H209" i="66"/>
  <c r="H210" i="66"/>
  <c r="H211" i="66"/>
  <c r="H212" i="66"/>
  <c r="H213" i="66"/>
  <c r="H214" i="66"/>
  <c r="H215" i="66"/>
  <c r="H216" i="66"/>
  <c r="H217" i="66"/>
  <c r="H218" i="66"/>
  <c r="H219" i="66"/>
  <c r="H220" i="66"/>
  <c r="H221" i="66"/>
  <c r="H222" i="66"/>
  <c r="H223" i="66"/>
  <c r="H224" i="66"/>
  <c r="H225" i="66"/>
  <c r="H226" i="66"/>
  <c r="H227" i="66"/>
  <c r="H228" i="66"/>
  <c r="H229" i="66"/>
  <c r="H230" i="66"/>
  <c r="H231" i="66"/>
  <c r="H232" i="66"/>
  <c r="H233" i="66"/>
  <c r="H234" i="66"/>
  <c r="H235" i="66"/>
  <c r="H236" i="66"/>
  <c r="H237" i="66"/>
  <c r="H238" i="66"/>
  <c r="H239" i="66"/>
  <c r="H240" i="66"/>
  <c r="H241" i="66"/>
  <c r="H242" i="66"/>
  <c r="H243" i="66"/>
  <c r="H244" i="66"/>
  <c r="H245" i="66"/>
  <c r="H246" i="66"/>
  <c r="H247" i="66"/>
  <c r="H248" i="66"/>
  <c r="H249" i="66"/>
  <c r="H250" i="66"/>
  <c r="H251" i="66"/>
  <c r="H252" i="66"/>
  <c r="H253" i="66"/>
  <c r="H254" i="66"/>
  <c r="H255" i="66"/>
  <c r="H256" i="66"/>
  <c r="H257" i="66"/>
  <c r="H258" i="66"/>
  <c r="H259" i="66"/>
  <c r="H260" i="66"/>
  <c r="H261" i="66"/>
  <c r="H2" i="66"/>
  <c r="G32" i="66"/>
  <c r="G54" i="66"/>
  <c r="G63" i="66"/>
  <c r="G65" i="66"/>
  <c r="G89" i="66"/>
  <c r="G114" i="66"/>
  <c r="G115" i="66"/>
  <c r="G116" i="66"/>
  <c r="G117" i="66"/>
  <c r="G119" i="66"/>
  <c r="G120" i="66"/>
  <c r="G121" i="66"/>
  <c r="G122" i="66"/>
  <c r="G124" i="66"/>
  <c r="G126" i="66"/>
  <c r="G130" i="66"/>
  <c r="G131" i="66"/>
  <c r="G132" i="66"/>
  <c r="G134" i="66"/>
  <c r="G135" i="66"/>
  <c r="G136" i="66"/>
  <c r="G153" i="66"/>
  <c r="G154" i="66"/>
  <c r="G166" i="66"/>
  <c r="G167" i="66"/>
  <c r="G169" i="66"/>
  <c r="G170" i="66"/>
  <c r="G171" i="66"/>
  <c r="G172" i="66"/>
  <c r="G173" i="66"/>
  <c r="G175" i="66"/>
  <c r="G187" i="66"/>
  <c r="G188" i="66"/>
  <c r="G190" i="66"/>
  <c r="G191" i="66"/>
  <c r="G192" i="66"/>
  <c r="G193" i="66"/>
  <c r="G194" i="66"/>
  <c r="G195" i="66"/>
  <c r="G198" i="66"/>
  <c r="G199" i="66"/>
  <c r="G201" i="66"/>
  <c r="G203" i="66"/>
  <c r="G204" i="66"/>
  <c r="G205" i="66"/>
  <c r="G206" i="66"/>
  <c r="G207" i="66"/>
  <c r="G208" i="66"/>
  <c r="G209" i="66"/>
  <c r="G210" i="66"/>
  <c r="G211" i="66"/>
  <c r="G212" i="66"/>
  <c r="G213" i="66"/>
  <c r="G214" i="66"/>
  <c r="G215" i="66"/>
  <c r="G216" i="66"/>
  <c r="G217" i="66"/>
  <c r="G218" i="66"/>
  <c r="G219" i="66"/>
  <c r="G221" i="66"/>
  <c r="G222" i="66"/>
  <c r="G223" i="66"/>
  <c r="G224" i="66"/>
  <c r="G225" i="66"/>
  <c r="G226" i="66"/>
  <c r="G227" i="66"/>
  <c r="G228" i="66"/>
  <c r="F3" i="66"/>
  <c r="F4" i="66"/>
  <c r="F5" i="66"/>
  <c r="F6" i="66"/>
  <c r="F7" i="66"/>
  <c r="F8" i="66"/>
  <c r="F9" i="66"/>
  <c r="F10" i="66"/>
  <c r="F11" i="66"/>
  <c r="F12" i="66"/>
  <c r="F13" i="66"/>
  <c r="F14" i="66"/>
  <c r="F15" i="66"/>
  <c r="F16" i="66"/>
  <c r="F17" i="66"/>
  <c r="F18" i="66"/>
  <c r="F19" i="66"/>
  <c r="F20" i="66"/>
  <c r="F21" i="66"/>
  <c r="F22" i="66"/>
  <c r="F23" i="66"/>
  <c r="F24" i="66"/>
  <c r="F25" i="66"/>
  <c r="F26" i="66"/>
  <c r="F27" i="66"/>
  <c r="F28" i="66"/>
  <c r="F29" i="66"/>
  <c r="F30" i="66"/>
  <c r="F31" i="66"/>
  <c r="F32" i="66"/>
  <c r="F33" i="66"/>
  <c r="F34" i="66"/>
  <c r="F35" i="66"/>
  <c r="F36" i="66"/>
  <c r="F37" i="66"/>
  <c r="F38" i="66"/>
  <c r="F39" i="66"/>
  <c r="F40" i="66"/>
  <c r="F41" i="66"/>
  <c r="F42" i="66"/>
  <c r="F43" i="66"/>
  <c r="F44" i="66"/>
  <c r="F45" i="66"/>
  <c r="F46" i="66"/>
  <c r="F47" i="66"/>
  <c r="F48" i="66"/>
  <c r="F49" i="66"/>
  <c r="F50" i="66"/>
  <c r="F51" i="66"/>
  <c r="F52" i="66"/>
  <c r="F53" i="66"/>
  <c r="F54" i="66"/>
  <c r="F55" i="66"/>
  <c r="F56" i="66"/>
  <c r="F57" i="66"/>
  <c r="F58" i="66"/>
  <c r="F59" i="66"/>
  <c r="F60" i="66"/>
  <c r="F61" i="66"/>
  <c r="F62" i="66"/>
  <c r="F63" i="66"/>
  <c r="F64" i="66"/>
  <c r="F65" i="66"/>
  <c r="F66" i="66"/>
  <c r="F67" i="66"/>
  <c r="F68" i="66"/>
  <c r="F69" i="66"/>
  <c r="F70" i="66"/>
  <c r="F71" i="66"/>
  <c r="F72" i="66"/>
  <c r="F73" i="66"/>
  <c r="F74" i="66"/>
  <c r="F75" i="66"/>
  <c r="F76" i="66"/>
  <c r="F77" i="66"/>
  <c r="F78" i="66"/>
  <c r="F79" i="66"/>
  <c r="F80" i="66"/>
  <c r="F81" i="66"/>
  <c r="F82" i="66"/>
  <c r="F83" i="66"/>
  <c r="F84" i="66"/>
  <c r="F85" i="66"/>
  <c r="F86" i="66"/>
  <c r="F87" i="66"/>
  <c r="F88" i="66"/>
  <c r="F89" i="66"/>
  <c r="F90" i="66"/>
  <c r="F91" i="66"/>
  <c r="F92" i="66"/>
  <c r="F93" i="66"/>
  <c r="F94" i="66"/>
  <c r="F95" i="66"/>
  <c r="F96" i="66"/>
  <c r="F97" i="66"/>
  <c r="F98" i="66"/>
  <c r="F99" i="66"/>
  <c r="F100" i="66"/>
  <c r="F101" i="66"/>
  <c r="F102" i="66"/>
  <c r="F103" i="66"/>
  <c r="F104" i="66"/>
  <c r="F105" i="66"/>
  <c r="F106" i="66"/>
  <c r="F107" i="66"/>
  <c r="F108" i="66"/>
  <c r="F109" i="66"/>
  <c r="F110" i="66"/>
  <c r="F111" i="66"/>
  <c r="F112" i="66"/>
  <c r="F113" i="66"/>
  <c r="F114" i="66"/>
  <c r="F115" i="66"/>
  <c r="F116" i="66"/>
  <c r="F117" i="66"/>
  <c r="F118" i="66"/>
  <c r="F119" i="66"/>
  <c r="F120" i="66"/>
  <c r="F121" i="66"/>
  <c r="F122" i="66"/>
  <c r="F123" i="66"/>
  <c r="F124" i="66"/>
  <c r="F125" i="66"/>
  <c r="F126" i="66"/>
  <c r="F127" i="66"/>
  <c r="F128" i="66"/>
  <c r="F129" i="66"/>
  <c r="F130" i="66"/>
  <c r="F131" i="66"/>
  <c r="F132" i="66"/>
  <c r="F133" i="66"/>
  <c r="F134" i="66"/>
  <c r="F135" i="66"/>
  <c r="F136" i="66"/>
  <c r="F137" i="66"/>
  <c r="F138" i="66"/>
  <c r="F139" i="66"/>
  <c r="F140" i="66"/>
  <c r="F141" i="66"/>
  <c r="F142" i="66"/>
  <c r="F143" i="66"/>
  <c r="F144" i="66"/>
  <c r="F145" i="66"/>
  <c r="F146" i="66"/>
  <c r="F147" i="66"/>
  <c r="F148" i="66"/>
  <c r="F149" i="66"/>
  <c r="F150" i="66"/>
  <c r="F151" i="66"/>
  <c r="F152" i="66"/>
  <c r="F153" i="66"/>
  <c r="F154" i="66"/>
  <c r="F155" i="66"/>
  <c r="F156" i="66"/>
  <c r="F157" i="66"/>
  <c r="F158" i="66"/>
  <c r="F159" i="66"/>
  <c r="F160" i="66"/>
  <c r="F161" i="66"/>
  <c r="F163" i="66"/>
  <c r="F164" i="66"/>
  <c r="F165" i="66"/>
  <c r="F166" i="66"/>
  <c r="F167" i="66"/>
  <c r="F168" i="66"/>
  <c r="F169" i="66"/>
  <c r="F171" i="66"/>
  <c r="F172" i="66"/>
  <c r="F173" i="66"/>
  <c r="F174" i="66"/>
  <c r="F175" i="66"/>
  <c r="F176" i="66"/>
  <c r="F177" i="66"/>
  <c r="F178" i="66"/>
  <c r="F179" i="66"/>
  <c r="F180" i="66"/>
  <c r="F181" i="66"/>
  <c r="F182" i="66"/>
  <c r="F183" i="66"/>
  <c r="F184" i="66"/>
  <c r="F185" i="66"/>
  <c r="F186" i="66"/>
  <c r="F187" i="66"/>
  <c r="F188" i="66"/>
  <c r="F189" i="66"/>
  <c r="F190" i="66"/>
  <c r="F191" i="66"/>
  <c r="F193" i="66"/>
  <c r="F194" i="66"/>
  <c r="F195" i="66"/>
  <c r="F196" i="66"/>
  <c r="F197" i="66"/>
  <c r="F198" i="66"/>
  <c r="F199" i="66"/>
  <c r="F200" i="66"/>
  <c r="F201" i="66"/>
  <c r="F202" i="66"/>
  <c r="F203" i="66"/>
  <c r="F204" i="66"/>
  <c r="F205" i="66"/>
  <c r="F206" i="66"/>
  <c r="F207" i="66"/>
  <c r="F208" i="66"/>
  <c r="F209" i="66"/>
  <c r="F210" i="66"/>
  <c r="F211" i="66"/>
  <c r="F212" i="66"/>
  <c r="F213" i="66"/>
  <c r="F214" i="66"/>
  <c r="F215" i="66"/>
  <c r="F216" i="66"/>
  <c r="F217" i="66"/>
  <c r="F218" i="66"/>
  <c r="F219" i="66"/>
  <c r="F220" i="66"/>
  <c r="F221" i="66"/>
  <c r="F222" i="66"/>
  <c r="F223" i="66"/>
  <c r="F224" i="66"/>
  <c r="F225" i="66"/>
  <c r="F226" i="66"/>
  <c r="F227" i="66"/>
  <c r="F228" i="66"/>
  <c r="F229" i="66"/>
  <c r="F230" i="66"/>
  <c r="F232" i="66"/>
  <c r="F233" i="66"/>
  <c r="F234" i="66"/>
  <c r="F235" i="66"/>
  <c r="F236" i="66"/>
  <c r="F237" i="66"/>
  <c r="F238" i="66"/>
  <c r="F239" i="66"/>
  <c r="F240" i="66"/>
  <c r="F241" i="66"/>
  <c r="F242" i="66"/>
  <c r="F243" i="66"/>
  <c r="F244" i="66"/>
  <c r="F245" i="66"/>
  <c r="F246" i="66"/>
  <c r="F247" i="66"/>
  <c r="F248" i="66"/>
  <c r="F249" i="66"/>
  <c r="F250" i="66"/>
  <c r="F251" i="66"/>
  <c r="F252" i="66"/>
  <c r="F253" i="66"/>
  <c r="F254" i="66"/>
  <c r="F255" i="66"/>
  <c r="F256" i="66"/>
  <c r="F257" i="66"/>
  <c r="F258" i="66"/>
  <c r="F259" i="66"/>
  <c r="F260" i="66"/>
  <c r="F261" i="66"/>
  <c r="F2" i="66"/>
  <c r="C3" i="66"/>
  <c r="C4" i="66"/>
  <c r="C5" i="66"/>
  <c r="C6" i="66"/>
  <c r="C7" i="66"/>
  <c r="C8" i="66"/>
  <c r="C9" i="66"/>
  <c r="C10" i="66"/>
  <c r="C11" i="66"/>
  <c r="C12" i="66"/>
  <c r="C13" i="66"/>
  <c r="C14" i="66"/>
  <c r="C15" i="66"/>
  <c r="C16" i="66"/>
  <c r="C17" i="66"/>
  <c r="C18" i="66"/>
  <c r="C19" i="66"/>
  <c r="C20" i="66"/>
  <c r="C21" i="66"/>
  <c r="C22" i="66"/>
  <c r="C23" i="66"/>
  <c r="C24" i="66"/>
  <c r="C25" i="66"/>
  <c r="C26" i="66"/>
  <c r="C27" i="66"/>
  <c r="C28" i="66"/>
  <c r="C29" i="66"/>
  <c r="C30" i="66"/>
  <c r="C31" i="66"/>
  <c r="C32" i="66"/>
  <c r="C33" i="66"/>
  <c r="C34" i="66"/>
  <c r="C35" i="66"/>
  <c r="C36" i="66"/>
  <c r="C37" i="66"/>
  <c r="C38" i="66"/>
  <c r="C39" i="66"/>
  <c r="C40" i="66"/>
  <c r="C41" i="66"/>
  <c r="C42" i="66"/>
  <c r="C43" i="66"/>
  <c r="C44" i="66"/>
  <c r="C45" i="66"/>
  <c r="C46" i="66"/>
  <c r="C47" i="66"/>
  <c r="C48" i="66"/>
  <c r="C49" i="66"/>
  <c r="C50" i="66"/>
  <c r="C51" i="66"/>
  <c r="C52" i="66"/>
  <c r="C53" i="66"/>
  <c r="C54" i="66"/>
  <c r="C55" i="66"/>
  <c r="C56" i="66"/>
  <c r="C57" i="66"/>
  <c r="C58" i="66"/>
  <c r="C59" i="66"/>
  <c r="C60" i="66"/>
  <c r="C61" i="66"/>
  <c r="C62" i="66"/>
  <c r="C63" i="66"/>
  <c r="C64" i="66"/>
  <c r="C65" i="66"/>
  <c r="C66" i="66"/>
  <c r="C67" i="66"/>
  <c r="C68" i="66"/>
  <c r="C69" i="66"/>
  <c r="C70" i="66"/>
  <c r="C71" i="66"/>
  <c r="C72" i="66"/>
  <c r="C73" i="66"/>
  <c r="C74" i="66"/>
  <c r="C75" i="66"/>
  <c r="C76" i="66"/>
  <c r="C77" i="66"/>
  <c r="C78" i="66"/>
  <c r="C79" i="66"/>
  <c r="C80" i="66"/>
  <c r="C81" i="66"/>
  <c r="C82" i="66"/>
  <c r="C83" i="66"/>
  <c r="C84" i="66"/>
  <c r="C85" i="66"/>
  <c r="C86" i="66"/>
  <c r="C87" i="66"/>
  <c r="C88" i="66"/>
  <c r="C89" i="66"/>
  <c r="C90" i="66"/>
  <c r="C91" i="66"/>
  <c r="C92" i="66"/>
  <c r="C93" i="66"/>
  <c r="C94" i="66"/>
  <c r="C95" i="66"/>
  <c r="C96" i="66"/>
  <c r="C97" i="66"/>
  <c r="C98" i="66"/>
  <c r="C99" i="66"/>
  <c r="C100" i="66"/>
  <c r="C101" i="66"/>
  <c r="C102" i="66"/>
  <c r="C103" i="66"/>
  <c r="C104" i="66"/>
  <c r="C105" i="66"/>
  <c r="C106" i="66"/>
  <c r="C107" i="66"/>
  <c r="C108" i="66"/>
  <c r="C109" i="66"/>
  <c r="C110" i="66"/>
  <c r="C111" i="66"/>
  <c r="C112" i="66"/>
  <c r="C113" i="66"/>
  <c r="C114" i="66"/>
  <c r="C115" i="66"/>
  <c r="C116" i="66"/>
  <c r="C117" i="66"/>
  <c r="C118" i="66"/>
  <c r="C119" i="66"/>
  <c r="C120" i="66"/>
  <c r="C121" i="66"/>
  <c r="C122" i="66"/>
  <c r="C123" i="66"/>
  <c r="C124" i="66"/>
  <c r="C125" i="66"/>
  <c r="C126" i="66"/>
  <c r="C127" i="66"/>
  <c r="C128" i="66"/>
  <c r="C129" i="66"/>
  <c r="C130" i="66"/>
  <c r="C131" i="66"/>
  <c r="C132" i="66"/>
  <c r="C133" i="66"/>
  <c r="C134" i="66"/>
  <c r="C135" i="66"/>
  <c r="C136" i="66"/>
  <c r="C137" i="66"/>
  <c r="C138" i="66"/>
  <c r="C139" i="66"/>
  <c r="C140" i="66"/>
  <c r="C141" i="66"/>
  <c r="C142" i="66"/>
  <c r="C143" i="66"/>
  <c r="C144" i="66"/>
  <c r="C145" i="66"/>
  <c r="C146" i="66"/>
  <c r="C147" i="66"/>
  <c r="C148" i="66"/>
  <c r="C149" i="66"/>
  <c r="C150" i="66"/>
  <c r="C151" i="66"/>
  <c r="C152" i="66"/>
  <c r="C153" i="66"/>
  <c r="C154" i="66"/>
  <c r="C155" i="66"/>
  <c r="C156" i="66"/>
  <c r="C157" i="66"/>
  <c r="C158" i="66"/>
  <c r="C159" i="66"/>
  <c r="C160" i="66"/>
  <c r="C161" i="66"/>
  <c r="C163" i="66"/>
  <c r="C164" i="66"/>
  <c r="C165" i="66"/>
  <c r="C166" i="66"/>
  <c r="C167" i="66"/>
  <c r="C168" i="66"/>
  <c r="C169" i="66"/>
  <c r="C170" i="66"/>
  <c r="C171" i="66"/>
  <c r="C172" i="66"/>
  <c r="C173" i="66"/>
  <c r="C174" i="66"/>
  <c r="C175" i="66"/>
  <c r="C176" i="66"/>
  <c r="C177" i="66"/>
  <c r="C178" i="66"/>
  <c r="C179" i="66"/>
  <c r="C180" i="66"/>
  <c r="C181" i="66"/>
  <c r="C182" i="66"/>
  <c r="C183" i="66"/>
  <c r="C184" i="66"/>
  <c r="C185" i="66"/>
  <c r="C186" i="66"/>
  <c r="C187" i="66"/>
  <c r="C188" i="66"/>
  <c r="C189" i="66"/>
  <c r="C190" i="66"/>
  <c r="C191" i="66"/>
  <c r="C192" i="66"/>
  <c r="C193" i="66"/>
  <c r="C194" i="66"/>
  <c r="C195" i="66"/>
  <c r="C196" i="66"/>
  <c r="C197" i="66"/>
  <c r="C198" i="66"/>
  <c r="C199" i="66"/>
  <c r="C200" i="66"/>
  <c r="C201" i="66"/>
  <c r="C202" i="66"/>
  <c r="C203" i="66"/>
  <c r="C204" i="66"/>
  <c r="C205" i="66"/>
  <c r="C206" i="66"/>
  <c r="C207" i="66"/>
  <c r="C208" i="66"/>
  <c r="C209" i="66"/>
  <c r="C210" i="66"/>
  <c r="C211" i="66"/>
  <c r="C212" i="66"/>
  <c r="C213" i="66"/>
  <c r="C214" i="66"/>
  <c r="C215" i="66"/>
  <c r="C216" i="66"/>
  <c r="C217" i="66"/>
  <c r="C218" i="66"/>
  <c r="C219" i="66"/>
  <c r="C220" i="66"/>
  <c r="C221" i="66"/>
  <c r="C222" i="66"/>
  <c r="C223" i="66"/>
  <c r="C224" i="66"/>
  <c r="C225" i="66"/>
  <c r="C226" i="66"/>
  <c r="C227" i="66"/>
  <c r="C228" i="66"/>
  <c r="C229" i="66"/>
  <c r="C230" i="66"/>
  <c r="C231" i="66"/>
  <c r="C232" i="66"/>
  <c r="C233" i="66"/>
  <c r="C234" i="66"/>
  <c r="C235" i="66"/>
  <c r="C236" i="66"/>
  <c r="C237" i="66"/>
  <c r="C238" i="66"/>
  <c r="C239" i="66"/>
  <c r="C240" i="66"/>
  <c r="C241" i="66"/>
  <c r="C242" i="66"/>
  <c r="C243" i="66"/>
  <c r="C244" i="66"/>
  <c r="C245" i="66"/>
  <c r="C246" i="66"/>
  <c r="C247" i="66"/>
  <c r="C248" i="66"/>
  <c r="C249" i="66"/>
  <c r="C250" i="66"/>
  <c r="C251" i="66"/>
  <c r="C252" i="66"/>
  <c r="C253" i="66"/>
  <c r="C254" i="66"/>
  <c r="C255" i="66"/>
  <c r="C256" i="66"/>
  <c r="C257" i="66"/>
  <c r="C258" i="66"/>
  <c r="C259" i="66"/>
  <c r="C260" i="66"/>
  <c r="C261" i="66"/>
  <c r="E3" i="66"/>
  <c r="E4" i="66"/>
  <c r="E5" i="66"/>
  <c r="E6" i="66"/>
  <c r="E7" i="66"/>
  <c r="E8" i="66"/>
  <c r="E9" i="66"/>
  <c r="E10" i="66"/>
  <c r="E11" i="66"/>
  <c r="E12" i="66"/>
  <c r="E13" i="66"/>
  <c r="E14" i="66"/>
  <c r="E15" i="66"/>
  <c r="E16" i="66"/>
  <c r="E17" i="66"/>
  <c r="E18" i="66"/>
  <c r="E19" i="66"/>
  <c r="E20" i="66"/>
  <c r="E21" i="66"/>
  <c r="E22" i="66"/>
  <c r="E23" i="66"/>
  <c r="E24" i="66"/>
  <c r="E25" i="66"/>
  <c r="E26" i="66"/>
  <c r="E27" i="66"/>
  <c r="E28" i="66"/>
  <c r="E29" i="66"/>
  <c r="E30" i="66"/>
  <c r="E31" i="66"/>
  <c r="E32" i="66"/>
  <c r="E33" i="66"/>
  <c r="E34" i="66"/>
  <c r="E35" i="66"/>
  <c r="E36" i="66"/>
  <c r="E37" i="66"/>
  <c r="E38" i="66"/>
  <c r="E39" i="66"/>
  <c r="E40" i="66"/>
  <c r="E41" i="66"/>
  <c r="E42" i="66"/>
  <c r="E43" i="66"/>
  <c r="E44" i="66"/>
  <c r="E45" i="66"/>
  <c r="E46" i="66"/>
  <c r="E47" i="66"/>
  <c r="E48" i="66"/>
  <c r="E49" i="66"/>
  <c r="E50" i="66"/>
  <c r="E52" i="66"/>
  <c r="E53" i="66"/>
  <c r="E54" i="66"/>
  <c r="E55" i="66"/>
  <c r="E56" i="66"/>
  <c r="E57" i="66"/>
  <c r="E58" i="66"/>
  <c r="E59" i="66"/>
  <c r="E60" i="66"/>
  <c r="E61" i="66"/>
  <c r="E62" i="66"/>
  <c r="E63" i="66"/>
  <c r="E64" i="66"/>
  <c r="E65" i="66"/>
  <c r="E66" i="66"/>
  <c r="E67" i="66"/>
  <c r="E68" i="66"/>
  <c r="E69" i="66"/>
  <c r="E70" i="66"/>
  <c r="E71" i="66"/>
  <c r="E72" i="66"/>
  <c r="E73" i="66"/>
  <c r="E74" i="66"/>
  <c r="E75" i="66"/>
  <c r="E76" i="66"/>
  <c r="E77" i="66"/>
  <c r="E78" i="66"/>
  <c r="E79" i="66"/>
  <c r="E80" i="66"/>
  <c r="E81" i="66"/>
  <c r="E82" i="66"/>
  <c r="E83" i="66"/>
  <c r="E84" i="66"/>
  <c r="E85" i="66"/>
  <c r="E86" i="66"/>
  <c r="E87" i="66"/>
  <c r="E88" i="66"/>
  <c r="E89" i="66"/>
  <c r="E90" i="66"/>
  <c r="E91" i="66"/>
  <c r="E92" i="66"/>
  <c r="E93" i="66"/>
  <c r="E94" i="66"/>
  <c r="E95" i="66"/>
  <c r="E96" i="66"/>
  <c r="E97" i="66"/>
  <c r="E98" i="66"/>
  <c r="E99" i="66"/>
  <c r="E100" i="66"/>
  <c r="E101" i="66"/>
  <c r="E102" i="66"/>
  <c r="E103" i="66"/>
  <c r="E104" i="66"/>
  <c r="E105" i="66"/>
  <c r="E106" i="66"/>
  <c r="E107" i="66"/>
  <c r="E108" i="66"/>
  <c r="E109" i="66"/>
  <c r="E110" i="66"/>
  <c r="E111" i="66"/>
  <c r="E112" i="66"/>
  <c r="E113" i="66"/>
  <c r="E114" i="66"/>
  <c r="E115" i="66"/>
  <c r="E116" i="66"/>
  <c r="E117" i="66"/>
  <c r="E118" i="66"/>
  <c r="E119" i="66"/>
  <c r="E120" i="66"/>
  <c r="E121" i="66"/>
  <c r="E122" i="66"/>
  <c r="E123" i="66"/>
  <c r="E124" i="66"/>
  <c r="E125" i="66"/>
  <c r="E126" i="66"/>
  <c r="E127" i="66"/>
  <c r="E128" i="66"/>
  <c r="E129" i="66"/>
  <c r="E130" i="66"/>
  <c r="E131" i="66"/>
  <c r="E132" i="66"/>
  <c r="E133" i="66"/>
  <c r="E134" i="66"/>
  <c r="E135" i="66"/>
  <c r="E136" i="66"/>
  <c r="E137" i="66"/>
  <c r="E138" i="66"/>
  <c r="E139" i="66"/>
  <c r="E140" i="66"/>
  <c r="E141" i="66"/>
  <c r="E142" i="66"/>
  <c r="E143" i="66"/>
  <c r="E144" i="66"/>
  <c r="E145" i="66"/>
  <c r="E146" i="66"/>
  <c r="E147" i="66"/>
  <c r="E148" i="66"/>
  <c r="E149" i="66"/>
  <c r="E150" i="66"/>
  <c r="E151" i="66"/>
  <c r="E152" i="66"/>
  <c r="E153" i="66"/>
  <c r="E154" i="66"/>
  <c r="E155" i="66"/>
  <c r="E156" i="66"/>
  <c r="E157" i="66"/>
  <c r="E158" i="66"/>
  <c r="E159" i="66"/>
  <c r="E160" i="66"/>
  <c r="E161" i="66"/>
  <c r="E163" i="66"/>
  <c r="E164" i="66"/>
  <c r="E165" i="66"/>
  <c r="E166" i="66"/>
  <c r="E167" i="66"/>
  <c r="E168" i="66"/>
  <c r="E169" i="66"/>
  <c r="E170" i="66"/>
  <c r="E171" i="66"/>
  <c r="E172" i="66"/>
  <c r="E173" i="66"/>
  <c r="E174" i="66"/>
  <c r="E175" i="66"/>
  <c r="E176" i="66"/>
  <c r="E177" i="66"/>
  <c r="E178" i="66"/>
  <c r="E179" i="66"/>
  <c r="E180" i="66"/>
  <c r="E181" i="66"/>
  <c r="E182" i="66"/>
  <c r="E183" i="66"/>
  <c r="E184" i="66"/>
  <c r="E185" i="66"/>
  <c r="E186" i="66"/>
  <c r="E187" i="66"/>
  <c r="E188" i="66"/>
  <c r="E189" i="66"/>
  <c r="E190" i="66"/>
  <c r="E191" i="66"/>
  <c r="E192" i="66"/>
  <c r="E193" i="66"/>
  <c r="E194" i="66"/>
  <c r="E195" i="66"/>
  <c r="E196" i="66"/>
  <c r="E197" i="66"/>
  <c r="E198" i="66"/>
  <c r="E199" i="66"/>
  <c r="E200" i="66"/>
  <c r="E201" i="66"/>
  <c r="E202" i="66"/>
  <c r="E203" i="66"/>
  <c r="E204" i="66"/>
  <c r="E205" i="66"/>
  <c r="E206" i="66"/>
  <c r="E207" i="66"/>
  <c r="E208" i="66"/>
  <c r="E209" i="66"/>
  <c r="E210" i="66"/>
  <c r="E211" i="66"/>
  <c r="E212" i="66"/>
  <c r="E213" i="66"/>
  <c r="E214" i="66"/>
  <c r="E215" i="66"/>
  <c r="E216" i="66"/>
  <c r="E217" i="66"/>
  <c r="E218" i="66"/>
  <c r="E219" i="66"/>
  <c r="E220" i="66"/>
  <c r="E221" i="66"/>
  <c r="E222" i="66"/>
  <c r="E223" i="66"/>
  <c r="E224" i="66"/>
  <c r="E225" i="66"/>
  <c r="E226" i="66"/>
  <c r="E227" i="66"/>
  <c r="E228" i="66"/>
  <c r="E229" i="66"/>
  <c r="E230" i="66"/>
  <c r="E231" i="66"/>
  <c r="E232" i="66"/>
  <c r="E233" i="66"/>
  <c r="E234" i="66"/>
  <c r="E235" i="66"/>
  <c r="E236" i="66"/>
  <c r="E237" i="66"/>
  <c r="E238" i="66"/>
  <c r="E239" i="66"/>
  <c r="E240" i="66"/>
  <c r="E241" i="66"/>
  <c r="E242" i="66"/>
  <c r="E243" i="66"/>
  <c r="E244" i="66"/>
  <c r="E245" i="66"/>
  <c r="E246" i="66"/>
  <c r="E247" i="66"/>
  <c r="E248" i="66"/>
  <c r="E249" i="66"/>
  <c r="E252" i="66"/>
  <c r="E253" i="66"/>
  <c r="E254" i="66"/>
  <c r="E255" i="66"/>
  <c r="E256" i="66"/>
  <c r="E257" i="66"/>
  <c r="E258" i="66"/>
  <c r="E259" i="66"/>
  <c r="E260" i="66"/>
  <c r="E261" i="66"/>
  <c r="E2" i="66"/>
  <c r="C2" i="66"/>
  <c r="A3" i="66"/>
  <c r="A4" i="66"/>
  <c r="A5" i="66"/>
  <c r="A6" i="66"/>
  <c r="A7" i="66"/>
  <c r="A8" i="66"/>
  <c r="A9" i="66"/>
  <c r="A10" i="66"/>
  <c r="A11" i="66"/>
  <c r="A12" i="66"/>
  <c r="A13" i="66"/>
  <c r="A14" i="66"/>
  <c r="A15" i="66"/>
  <c r="A16" i="66"/>
  <c r="A17" i="66"/>
  <c r="A18" i="66"/>
  <c r="A19" i="66"/>
  <c r="A20" i="66"/>
  <c r="A21" i="66"/>
  <c r="A22" i="66"/>
  <c r="A23" i="66"/>
  <c r="A24" i="66"/>
  <c r="A25" i="66"/>
  <c r="A26" i="66"/>
  <c r="A27" i="66"/>
  <c r="A28" i="66"/>
  <c r="A29" i="66"/>
  <c r="A30" i="66"/>
  <c r="A31" i="66"/>
  <c r="A32" i="66"/>
  <c r="A33" i="66"/>
  <c r="A34" i="66"/>
  <c r="A35" i="66"/>
  <c r="A36" i="66"/>
  <c r="A37" i="66"/>
  <c r="A38" i="66"/>
  <c r="A39" i="66"/>
  <c r="A40" i="66"/>
  <c r="A41" i="66"/>
  <c r="A42" i="66"/>
  <c r="A43" i="66"/>
  <c r="A44" i="66"/>
  <c r="A45" i="66"/>
  <c r="A46" i="66"/>
  <c r="A47" i="66"/>
  <c r="A48" i="66"/>
  <c r="A49" i="66"/>
  <c r="A50" i="66"/>
  <c r="A51" i="66"/>
  <c r="A52" i="66"/>
  <c r="A53" i="66"/>
  <c r="A54" i="66"/>
  <c r="A55" i="66"/>
  <c r="A56" i="66"/>
  <c r="A57" i="66"/>
  <c r="A58" i="66"/>
  <c r="A59" i="66"/>
  <c r="A60" i="66"/>
  <c r="A61" i="66"/>
  <c r="A62" i="66"/>
  <c r="A63" i="66"/>
  <c r="A64" i="66"/>
  <c r="A65" i="66"/>
  <c r="A66" i="66"/>
  <c r="A67" i="66"/>
  <c r="A68" i="66"/>
  <c r="A69" i="66"/>
  <c r="A70" i="66"/>
  <c r="A71" i="66"/>
  <c r="A72" i="66"/>
  <c r="A73" i="66"/>
  <c r="A74" i="66"/>
  <c r="A75" i="66"/>
  <c r="A76" i="66"/>
  <c r="A77" i="66"/>
  <c r="A78" i="66"/>
  <c r="A79" i="66"/>
  <c r="A80" i="66"/>
  <c r="A81" i="66"/>
  <c r="A82" i="66"/>
  <c r="A83" i="66"/>
  <c r="A84" i="66"/>
  <c r="A85" i="66"/>
  <c r="A86" i="66"/>
  <c r="A87" i="66"/>
  <c r="A88" i="66"/>
  <c r="A89" i="66"/>
  <c r="A90" i="66"/>
  <c r="A91" i="66"/>
  <c r="A92" i="66"/>
  <c r="A93" i="66"/>
  <c r="A94" i="66"/>
  <c r="A95" i="66"/>
  <c r="A96" i="66"/>
  <c r="A97" i="66"/>
  <c r="A98" i="66"/>
  <c r="A99" i="66"/>
  <c r="A100" i="66"/>
  <c r="A101" i="66"/>
  <c r="A102" i="66"/>
  <c r="A103" i="66"/>
  <c r="A104" i="66"/>
  <c r="A105" i="66"/>
  <c r="A106" i="66"/>
  <c r="A107" i="66"/>
  <c r="A108" i="66"/>
  <c r="A109" i="66"/>
  <c r="A110" i="66"/>
  <c r="A111" i="66"/>
  <c r="A112" i="66"/>
  <c r="A113" i="66"/>
  <c r="A114" i="66"/>
  <c r="A115" i="66"/>
  <c r="A116" i="66"/>
  <c r="A117" i="66"/>
  <c r="A118" i="66"/>
  <c r="A119" i="66"/>
  <c r="A120" i="66"/>
  <c r="A121" i="66"/>
  <c r="A122" i="66"/>
  <c r="A123" i="66"/>
  <c r="A124" i="66"/>
  <c r="A125" i="66"/>
  <c r="A126" i="66"/>
  <c r="A127" i="66"/>
  <c r="A128" i="66"/>
  <c r="A129" i="66"/>
  <c r="A130" i="66"/>
  <c r="A131" i="66"/>
  <c r="A132" i="66"/>
  <c r="A133" i="66"/>
  <c r="A134" i="66"/>
  <c r="A135" i="66"/>
  <c r="A136" i="66"/>
  <c r="A137" i="66"/>
  <c r="A138" i="66"/>
  <c r="A139" i="66"/>
  <c r="A140" i="66"/>
  <c r="A141" i="66"/>
  <c r="A142" i="66"/>
  <c r="A143" i="66"/>
  <c r="A144" i="66"/>
  <c r="A145" i="66"/>
  <c r="A146" i="66"/>
  <c r="A147" i="66"/>
  <c r="A148" i="66"/>
  <c r="A149" i="66"/>
  <c r="A150" i="66"/>
  <c r="A151" i="66"/>
  <c r="A152" i="66"/>
  <c r="A153" i="66"/>
  <c r="A154" i="66"/>
  <c r="A155" i="66"/>
  <c r="A156" i="66"/>
  <c r="A157" i="66"/>
  <c r="A158" i="66"/>
  <c r="A159" i="66"/>
  <c r="A160" i="66"/>
  <c r="A161" i="66"/>
  <c r="A163" i="66"/>
  <c r="A164" i="66"/>
  <c r="A165" i="66"/>
  <c r="A166" i="66"/>
  <c r="A167" i="66"/>
  <c r="A168" i="66"/>
  <c r="A169" i="66"/>
  <c r="A170" i="66"/>
  <c r="A171" i="66"/>
  <c r="A172" i="66"/>
  <c r="A173" i="66"/>
  <c r="A174" i="66"/>
  <c r="A175" i="66"/>
  <c r="A176" i="66"/>
  <c r="A177" i="66"/>
  <c r="A178" i="66"/>
  <c r="A179" i="66"/>
  <c r="A180" i="66"/>
  <c r="A181" i="66"/>
  <c r="A182" i="66"/>
  <c r="A183" i="66"/>
  <c r="A184" i="66"/>
  <c r="A185" i="66"/>
  <c r="A186" i="66"/>
  <c r="A187" i="66"/>
  <c r="A188" i="66"/>
  <c r="A189" i="66"/>
  <c r="A190" i="66"/>
  <c r="A191" i="66"/>
  <c r="A192" i="66"/>
  <c r="A193" i="66"/>
  <c r="A194" i="66"/>
  <c r="A195" i="66"/>
  <c r="A196" i="66"/>
  <c r="A197" i="66"/>
  <c r="A198" i="66"/>
  <c r="A199" i="66"/>
  <c r="A200" i="66"/>
  <c r="A201" i="66"/>
  <c r="A202" i="66"/>
  <c r="A203" i="66"/>
  <c r="A204" i="66"/>
  <c r="A205" i="66"/>
  <c r="A206" i="66"/>
  <c r="A207" i="66"/>
  <c r="A208" i="66"/>
  <c r="A209" i="66"/>
  <c r="A210" i="66"/>
  <c r="A211" i="66"/>
  <c r="A212" i="66"/>
  <c r="A213" i="66"/>
  <c r="A214" i="66"/>
  <c r="A215" i="66"/>
  <c r="A216" i="66"/>
  <c r="A217" i="66"/>
  <c r="A218" i="66"/>
  <c r="A219" i="66"/>
  <c r="A220" i="66"/>
  <c r="A221" i="66"/>
  <c r="A222" i="66"/>
  <c r="A223" i="66"/>
  <c r="A224" i="66"/>
  <c r="A225" i="66"/>
  <c r="A226" i="66"/>
  <c r="A227" i="66"/>
  <c r="A228" i="66"/>
  <c r="A229" i="66"/>
  <c r="A230" i="66"/>
  <c r="A231" i="66"/>
  <c r="A232" i="66"/>
  <c r="A233" i="66"/>
  <c r="A234" i="66"/>
  <c r="A235" i="66"/>
  <c r="A236" i="66"/>
  <c r="A237" i="66"/>
  <c r="A238" i="66"/>
  <c r="A239" i="66"/>
  <c r="A240" i="66"/>
  <c r="A241" i="66"/>
  <c r="A242" i="66"/>
  <c r="A243" i="66"/>
  <c r="A244" i="66"/>
  <c r="A245" i="66"/>
  <c r="A246" i="66"/>
  <c r="A247" i="66"/>
  <c r="A248" i="66"/>
  <c r="A249" i="66"/>
  <c r="A250" i="66"/>
  <c r="A251" i="66"/>
  <c r="A252" i="66"/>
  <c r="A253" i="66"/>
  <c r="A254" i="66"/>
  <c r="A255" i="66"/>
  <c r="A256" i="66"/>
  <c r="A257" i="66"/>
  <c r="A258" i="66"/>
  <c r="A259" i="66"/>
  <c r="A260" i="66"/>
  <c r="A261" i="66"/>
  <c r="A2" i="66"/>
  <c r="K24" i="71" l="1"/>
  <c r="Q23" i="71"/>
  <c r="J27" i="71"/>
  <c r="J9" i="71"/>
  <c r="J10" i="71" s="1"/>
  <c r="J11" i="71" s="1"/>
  <c r="J12" i="71" s="1"/>
  <c r="J13" i="71" s="1"/>
  <c r="J14" i="71" s="1"/>
  <c r="J15" i="71" s="1"/>
  <c r="P24" i="71"/>
  <c r="K6" i="71"/>
  <c r="Q6" i="71" s="1"/>
  <c r="Q5" i="71"/>
  <c r="G148" i="66"/>
  <c r="G202" i="66"/>
  <c r="G220" i="66"/>
  <c r="E250" i="66"/>
  <c r="G200" i="66"/>
  <c r="E251" i="66"/>
  <c r="G85" i="66"/>
  <c r="L7" i="71"/>
  <c r="L8" i="71" s="1"/>
  <c r="O6" i="73"/>
  <c r="K26" i="73"/>
  <c r="I24" i="73"/>
  <c r="M23" i="73"/>
  <c r="L25" i="73"/>
  <c r="P24" i="73"/>
  <c r="L9" i="73"/>
  <c r="P8" i="73"/>
  <c r="K8" i="73"/>
  <c r="O7" i="73"/>
  <c r="L25" i="71"/>
  <c r="B261" i="66"/>
  <c r="Q261" i="66" s="1"/>
  <c r="B260" i="66"/>
  <c r="Q260" i="66" s="1"/>
  <c r="B259" i="66"/>
  <c r="Q259" i="66" s="1"/>
  <c r="B258" i="66"/>
  <c r="Q258" i="66" s="1"/>
  <c r="B257" i="66"/>
  <c r="Q257" i="66" s="1"/>
  <c r="B256" i="66"/>
  <c r="Q256" i="66" s="1"/>
  <c r="B255" i="66"/>
  <c r="Q255" i="66" s="1"/>
  <c r="B254" i="66"/>
  <c r="Q254" i="66" s="1"/>
  <c r="B253" i="66"/>
  <c r="Q253" i="66" s="1"/>
  <c r="B252" i="66"/>
  <c r="Q252" i="66" s="1"/>
  <c r="B251" i="66"/>
  <c r="Q251" i="66" s="1"/>
  <c r="B250" i="66"/>
  <c r="Q250" i="66" s="1"/>
  <c r="B249" i="66"/>
  <c r="Q249" i="66" s="1"/>
  <c r="B248" i="66"/>
  <c r="Q248" i="66" s="1"/>
  <c r="B247" i="66"/>
  <c r="Q247" i="66" s="1"/>
  <c r="B246" i="66"/>
  <c r="Q246" i="66" s="1"/>
  <c r="B245" i="66"/>
  <c r="Q245" i="66" s="1"/>
  <c r="B244" i="66"/>
  <c r="Q244" i="66" s="1"/>
  <c r="B243" i="66"/>
  <c r="Q243" i="66" s="1"/>
  <c r="B242" i="66"/>
  <c r="Q242" i="66" s="1"/>
  <c r="B241" i="66"/>
  <c r="Q241" i="66" s="1"/>
  <c r="B240" i="66"/>
  <c r="Q240" i="66" s="1"/>
  <c r="B239" i="66"/>
  <c r="Q239" i="66" s="1"/>
  <c r="B238" i="66"/>
  <c r="Q238" i="66" s="1"/>
  <c r="B237" i="66"/>
  <c r="Q237" i="66" s="1"/>
  <c r="B236" i="66"/>
  <c r="Q236" i="66" s="1"/>
  <c r="B235" i="66"/>
  <c r="Q235" i="66" s="1"/>
  <c r="B234" i="66"/>
  <c r="Q234" i="66" s="1"/>
  <c r="B233" i="66"/>
  <c r="Q233" i="66" s="1"/>
  <c r="B232" i="66"/>
  <c r="Q232" i="66" s="1"/>
  <c r="B231" i="66"/>
  <c r="Q231" i="66" s="1"/>
  <c r="B230" i="66"/>
  <c r="Q230" i="66" s="1"/>
  <c r="B229" i="66"/>
  <c r="Q229" i="66" s="1"/>
  <c r="B228" i="66"/>
  <c r="Q228" i="66" s="1"/>
  <c r="B227" i="66"/>
  <c r="Q227" i="66" s="1"/>
  <c r="B226" i="66"/>
  <c r="Q226" i="66" s="1"/>
  <c r="B225" i="66"/>
  <c r="Q225" i="66" s="1"/>
  <c r="B224" i="66"/>
  <c r="Q224" i="66" s="1"/>
  <c r="B223" i="66"/>
  <c r="Q223" i="66" s="1"/>
  <c r="B222" i="66"/>
  <c r="Q222" i="66" s="1"/>
  <c r="B221" i="66"/>
  <c r="Q221" i="66" s="1"/>
  <c r="B220" i="66"/>
  <c r="Q220" i="66" s="1"/>
  <c r="B219" i="66"/>
  <c r="Q219" i="66" s="1"/>
  <c r="B218" i="66"/>
  <c r="Q218" i="66" s="1"/>
  <c r="B217" i="66"/>
  <c r="Q217" i="66" s="1"/>
  <c r="B216" i="66"/>
  <c r="Q216" i="66" s="1"/>
  <c r="B215" i="66"/>
  <c r="Q215" i="66" s="1"/>
  <c r="B214" i="66"/>
  <c r="Q214" i="66" s="1"/>
  <c r="B213" i="66"/>
  <c r="Q213" i="66" s="1"/>
  <c r="B212" i="66"/>
  <c r="Q212" i="66" s="1"/>
  <c r="B211" i="66"/>
  <c r="Q211" i="66" s="1"/>
  <c r="B210" i="66"/>
  <c r="Q210" i="66" s="1"/>
  <c r="B209" i="66"/>
  <c r="Q209" i="66" s="1"/>
  <c r="B208" i="66"/>
  <c r="Q208" i="66" s="1"/>
  <c r="B207" i="66"/>
  <c r="Q207" i="66" s="1"/>
  <c r="B206" i="66"/>
  <c r="Q206" i="66" s="1"/>
  <c r="B205" i="66"/>
  <c r="Q205" i="66" s="1"/>
  <c r="B204" i="66"/>
  <c r="Q204" i="66" s="1"/>
  <c r="B203" i="66"/>
  <c r="Q203" i="66" s="1"/>
  <c r="B202" i="66"/>
  <c r="Q202" i="66" s="1"/>
  <c r="B201" i="66"/>
  <c r="Q201" i="66" s="1"/>
  <c r="B200" i="66"/>
  <c r="Q200" i="66" s="1"/>
  <c r="B199" i="66"/>
  <c r="Q199" i="66" s="1"/>
  <c r="B198" i="66"/>
  <c r="Q198" i="66" s="1"/>
  <c r="B197" i="66"/>
  <c r="Q197" i="66" s="1"/>
  <c r="B196" i="66"/>
  <c r="Q196" i="66" s="1"/>
  <c r="B195" i="66"/>
  <c r="Q195" i="66" s="1"/>
  <c r="B194" i="66"/>
  <c r="Q194" i="66" s="1"/>
  <c r="B193" i="66"/>
  <c r="Q193" i="66" s="1"/>
  <c r="B192" i="66"/>
  <c r="Q192" i="66" s="1"/>
  <c r="B191" i="66"/>
  <c r="Q191" i="66" s="1"/>
  <c r="B190" i="66"/>
  <c r="Q190" i="66" s="1"/>
  <c r="B189" i="66"/>
  <c r="Q189" i="66" s="1"/>
  <c r="B188" i="66"/>
  <c r="Q188" i="66" s="1"/>
  <c r="B187" i="66"/>
  <c r="Q187" i="66" s="1"/>
  <c r="B186" i="66"/>
  <c r="Q186" i="66" s="1"/>
  <c r="B185" i="66"/>
  <c r="Q185" i="66" s="1"/>
  <c r="B184" i="66"/>
  <c r="Q184" i="66" s="1"/>
  <c r="B183" i="66"/>
  <c r="Q183" i="66" s="1"/>
  <c r="B182" i="66"/>
  <c r="Q182" i="66" s="1"/>
  <c r="B181" i="66"/>
  <c r="Q181" i="66" s="1"/>
  <c r="B180" i="66"/>
  <c r="Q180" i="66" s="1"/>
  <c r="B179" i="66"/>
  <c r="Q179" i="66" s="1"/>
  <c r="B178" i="66"/>
  <c r="Q178" i="66" s="1"/>
  <c r="B177" i="66"/>
  <c r="Q177" i="66" s="1"/>
  <c r="B176" i="66"/>
  <c r="Q176" i="66" s="1"/>
  <c r="B175" i="66"/>
  <c r="Q175" i="66" s="1"/>
  <c r="B174" i="66"/>
  <c r="Q174" i="66" s="1"/>
  <c r="B173" i="66"/>
  <c r="Q173" i="66" s="1"/>
  <c r="B172" i="66"/>
  <c r="Q172" i="66" s="1"/>
  <c r="B171" i="66"/>
  <c r="Q171" i="66" s="1"/>
  <c r="B170" i="66"/>
  <c r="Q170" i="66" s="1"/>
  <c r="B169" i="66"/>
  <c r="Q169" i="66" s="1"/>
  <c r="B168" i="66"/>
  <c r="Q168" i="66" s="1"/>
  <c r="B167" i="66"/>
  <c r="Q167" i="66" s="1"/>
  <c r="B166" i="66"/>
  <c r="Q166" i="66" s="1"/>
  <c r="B165" i="66"/>
  <c r="Q165" i="66" s="1"/>
  <c r="B164" i="66"/>
  <c r="Q164" i="66" s="1"/>
  <c r="B163" i="66"/>
  <c r="Q163" i="66" s="1"/>
  <c r="B161" i="66"/>
  <c r="Q161" i="66" s="1"/>
  <c r="B160" i="66"/>
  <c r="Q160" i="66" s="1"/>
  <c r="B159" i="66"/>
  <c r="Q159" i="66" s="1"/>
  <c r="B158" i="66"/>
  <c r="Q158" i="66" s="1"/>
  <c r="B157" i="66"/>
  <c r="Q157" i="66" s="1"/>
  <c r="B156" i="66"/>
  <c r="Q156" i="66" s="1"/>
  <c r="B155" i="66"/>
  <c r="Q155" i="66" s="1"/>
  <c r="B154" i="66"/>
  <c r="Q154" i="66" s="1"/>
  <c r="B153" i="66"/>
  <c r="Q153" i="66" s="1"/>
  <c r="B152" i="66"/>
  <c r="Q152" i="66" s="1"/>
  <c r="B151" i="66"/>
  <c r="Q151" i="66" s="1"/>
  <c r="B150" i="66"/>
  <c r="Q150" i="66" s="1"/>
  <c r="B149" i="66"/>
  <c r="Q149" i="66" s="1"/>
  <c r="B148" i="66"/>
  <c r="Q148" i="66" s="1"/>
  <c r="B147" i="66"/>
  <c r="Q147" i="66" s="1"/>
  <c r="B146" i="66"/>
  <c r="Q146" i="66" s="1"/>
  <c r="B145" i="66"/>
  <c r="Q145" i="66" s="1"/>
  <c r="B144" i="66"/>
  <c r="Q144" i="66" s="1"/>
  <c r="B143" i="66"/>
  <c r="Q143" i="66" s="1"/>
  <c r="B142" i="66"/>
  <c r="Q142" i="66" s="1"/>
  <c r="B141" i="66"/>
  <c r="Q141" i="66" s="1"/>
  <c r="B140" i="66"/>
  <c r="Q140" i="66" s="1"/>
  <c r="B139" i="66"/>
  <c r="Q139" i="66" s="1"/>
  <c r="B138" i="66"/>
  <c r="Q138" i="66" s="1"/>
  <c r="B137" i="66"/>
  <c r="Q137" i="66" s="1"/>
  <c r="B136" i="66"/>
  <c r="Q136" i="66" s="1"/>
  <c r="B135" i="66"/>
  <c r="Q135" i="66" s="1"/>
  <c r="B134" i="66"/>
  <c r="Q134" i="66" s="1"/>
  <c r="B133" i="66"/>
  <c r="Q133" i="66" s="1"/>
  <c r="B132" i="66"/>
  <c r="Q132" i="66" s="1"/>
  <c r="B131" i="66"/>
  <c r="Q131" i="66" s="1"/>
  <c r="B130" i="66"/>
  <c r="Q130" i="66" s="1"/>
  <c r="B129" i="66"/>
  <c r="Q129" i="66" s="1"/>
  <c r="B128" i="66"/>
  <c r="Q128" i="66" s="1"/>
  <c r="B127" i="66"/>
  <c r="Q127" i="66" s="1"/>
  <c r="B126" i="66"/>
  <c r="Q126" i="66" s="1"/>
  <c r="B125" i="66"/>
  <c r="Q125" i="66" s="1"/>
  <c r="B124" i="66"/>
  <c r="Q124" i="66" s="1"/>
  <c r="B123" i="66"/>
  <c r="Q123" i="66" s="1"/>
  <c r="B122" i="66"/>
  <c r="Q122" i="66" s="1"/>
  <c r="B121" i="66"/>
  <c r="Q121" i="66" s="1"/>
  <c r="B120" i="66"/>
  <c r="Q120" i="66" s="1"/>
  <c r="B119" i="66"/>
  <c r="Q119" i="66" s="1"/>
  <c r="B118" i="66"/>
  <c r="Q118" i="66" s="1"/>
  <c r="B117" i="66"/>
  <c r="Q117" i="66" s="1"/>
  <c r="B116" i="66"/>
  <c r="Q116" i="66" s="1"/>
  <c r="B115" i="66"/>
  <c r="Q115" i="66" s="1"/>
  <c r="B114" i="66"/>
  <c r="Q114" i="66" s="1"/>
  <c r="B113" i="66"/>
  <c r="Q113" i="66" s="1"/>
  <c r="B112" i="66"/>
  <c r="Q112" i="66" s="1"/>
  <c r="B111" i="66"/>
  <c r="Q111" i="66" s="1"/>
  <c r="B110" i="66"/>
  <c r="Q110" i="66" s="1"/>
  <c r="B109" i="66"/>
  <c r="Q109" i="66" s="1"/>
  <c r="B108" i="66"/>
  <c r="Q108" i="66" s="1"/>
  <c r="B107" i="66"/>
  <c r="Q107" i="66" s="1"/>
  <c r="B106" i="66"/>
  <c r="Q106" i="66" s="1"/>
  <c r="B105" i="66"/>
  <c r="Q105" i="66" s="1"/>
  <c r="B104" i="66"/>
  <c r="Q104" i="66" s="1"/>
  <c r="B103" i="66"/>
  <c r="Q103" i="66" s="1"/>
  <c r="B102" i="66"/>
  <c r="Q102" i="66" s="1"/>
  <c r="B101" i="66"/>
  <c r="Q101" i="66" s="1"/>
  <c r="B100" i="66"/>
  <c r="Q100" i="66" s="1"/>
  <c r="B99" i="66"/>
  <c r="Q99" i="66" s="1"/>
  <c r="B98" i="66"/>
  <c r="Q98" i="66" s="1"/>
  <c r="B97" i="66"/>
  <c r="Q97" i="66" s="1"/>
  <c r="B96" i="66"/>
  <c r="Q96" i="66" s="1"/>
  <c r="B95" i="66"/>
  <c r="Q95" i="66" s="1"/>
  <c r="B94" i="66"/>
  <c r="Q94" i="66" s="1"/>
  <c r="B93" i="66"/>
  <c r="Q93" i="66" s="1"/>
  <c r="B92" i="66"/>
  <c r="Q92" i="66" s="1"/>
  <c r="B91" i="66"/>
  <c r="Q91" i="66" s="1"/>
  <c r="B90" i="66"/>
  <c r="Q90" i="66" s="1"/>
  <c r="B89" i="66"/>
  <c r="Q89" i="66" s="1"/>
  <c r="B88" i="66"/>
  <c r="Q88" i="66" s="1"/>
  <c r="B87" i="66"/>
  <c r="Q87" i="66" s="1"/>
  <c r="B86" i="66"/>
  <c r="Q86" i="66" s="1"/>
  <c r="B85" i="66"/>
  <c r="Q85" i="66" s="1"/>
  <c r="B84" i="66"/>
  <c r="Q84" i="66" s="1"/>
  <c r="B83" i="66"/>
  <c r="Q83" i="66" s="1"/>
  <c r="B82" i="66"/>
  <c r="Q82" i="66" s="1"/>
  <c r="B81" i="66"/>
  <c r="Q81" i="66" s="1"/>
  <c r="B80" i="66"/>
  <c r="Q80" i="66" s="1"/>
  <c r="B79" i="66"/>
  <c r="Q79" i="66" s="1"/>
  <c r="B78" i="66"/>
  <c r="Q78" i="66" s="1"/>
  <c r="B77" i="66"/>
  <c r="Q77" i="66" s="1"/>
  <c r="B76" i="66"/>
  <c r="Q76" i="66" s="1"/>
  <c r="B75" i="66"/>
  <c r="Q75" i="66" s="1"/>
  <c r="B74" i="66"/>
  <c r="Q74" i="66" s="1"/>
  <c r="B73" i="66"/>
  <c r="Q73" i="66" s="1"/>
  <c r="B72" i="66"/>
  <c r="Q72" i="66" s="1"/>
  <c r="B71" i="66"/>
  <c r="Q71" i="66" s="1"/>
  <c r="B70" i="66"/>
  <c r="Q70" i="66" s="1"/>
  <c r="B69" i="66"/>
  <c r="Q69" i="66" s="1"/>
  <c r="B68" i="66"/>
  <c r="Q68" i="66" s="1"/>
  <c r="B67" i="66"/>
  <c r="Q67" i="66" s="1"/>
  <c r="B66" i="66"/>
  <c r="Q66" i="66" s="1"/>
  <c r="B65" i="66"/>
  <c r="Q65" i="66" s="1"/>
  <c r="B64" i="66"/>
  <c r="Q64" i="66" s="1"/>
  <c r="B63" i="66"/>
  <c r="Q63" i="66" s="1"/>
  <c r="B62" i="66"/>
  <c r="Q62" i="66" s="1"/>
  <c r="B61" i="66"/>
  <c r="Q61" i="66" s="1"/>
  <c r="B60" i="66"/>
  <c r="Q60" i="66" s="1"/>
  <c r="B59" i="66"/>
  <c r="Q59" i="66" s="1"/>
  <c r="B58" i="66"/>
  <c r="Q58" i="66" s="1"/>
  <c r="B57" i="66"/>
  <c r="Q57" i="66" s="1"/>
  <c r="B56" i="66"/>
  <c r="Q56" i="66" s="1"/>
  <c r="B55" i="66"/>
  <c r="Q55" i="66" s="1"/>
  <c r="B54" i="66"/>
  <c r="Q54" i="66" s="1"/>
  <c r="B53" i="66"/>
  <c r="Q53" i="66" s="1"/>
  <c r="B52" i="66"/>
  <c r="Q52" i="66" s="1"/>
  <c r="B51" i="66"/>
  <c r="Q51" i="66" s="1"/>
  <c r="B50" i="66"/>
  <c r="Q50" i="66" s="1"/>
  <c r="B49" i="66"/>
  <c r="Q49" i="66" s="1"/>
  <c r="B48" i="66"/>
  <c r="Q48" i="66" s="1"/>
  <c r="B47" i="66"/>
  <c r="Q47" i="66" s="1"/>
  <c r="B46" i="66"/>
  <c r="Q46" i="66" s="1"/>
  <c r="B45" i="66"/>
  <c r="Q45" i="66" s="1"/>
  <c r="B44" i="66"/>
  <c r="Q44" i="66" s="1"/>
  <c r="B43" i="66"/>
  <c r="Q43" i="66" s="1"/>
  <c r="B42" i="66"/>
  <c r="Q42" i="66" s="1"/>
  <c r="B41" i="66"/>
  <c r="Q41" i="66" s="1"/>
  <c r="B40" i="66"/>
  <c r="Q40" i="66" s="1"/>
  <c r="B39" i="66"/>
  <c r="Q39" i="66" s="1"/>
  <c r="B38" i="66"/>
  <c r="Q38" i="66" s="1"/>
  <c r="B37" i="66"/>
  <c r="Q37" i="66" s="1"/>
  <c r="B36" i="66"/>
  <c r="Q36" i="66" s="1"/>
  <c r="B35" i="66"/>
  <c r="Q35" i="66" s="1"/>
  <c r="B34" i="66"/>
  <c r="Q34" i="66" s="1"/>
  <c r="B33" i="66"/>
  <c r="Q33" i="66" s="1"/>
  <c r="B32" i="66"/>
  <c r="Q32" i="66" s="1"/>
  <c r="B31" i="66"/>
  <c r="Q31" i="66" s="1"/>
  <c r="B30" i="66"/>
  <c r="Q30" i="66" s="1"/>
  <c r="B29" i="66"/>
  <c r="Q29" i="66" s="1"/>
  <c r="B28" i="66"/>
  <c r="Q28" i="66" s="1"/>
  <c r="B27" i="66"/>
  <c r="Q27" i="66" s="1"/>
  <c r="B26" i="66"/>
  <c r="Q26" i="66" s="1"/>
  <c r="B25" i="66"/>
  <c r="Q25" i="66" s="1"/>
  <c r="B24" i="66"/>
  <c r="Q24" i="66" s="1"/>
  <c r="B23" i="66"/>
  <c r="Q23" i="66" s="1"/>
  <c r="B22" i="66"/>
  <c r="Q22" i="66" s="1"/>
  <c r="B21" i="66"/>
  <c r="Q21" i="66" s="1"/>
  <c r="B20" i="66"/>
  <c r="Q20" i="66" s="1"/>
  <c r="B19" i="66"/>
  <c r="Q19" i="66" s="1"/>
  <c r="B18" i="66"/>
  <c r="Q18" i="66" s="1"/>
  <c r="B17" i="66"/>
  <c r="Q17" i="66" s="1"/>
  <c r="B16" i="66"/>
  <c r="Q16" i="66" s="1"/>
  <c r="B15" i="66"/>
  <c r="Q15" i="66" s="1"/>
  <c r="B14" i="66"/>
  <c r="Q14" i="66" s="1"/>
  <c r="B13" i="66"/>
  <c r="Q13" i="66" s="1"/>
  <c r="B12" i="66"/>
  <c r="Q12" i="66" s="1"/>
  <c r="B11" i="66"/>
  <c r="Q11" i="66" s="1"/>
  <c r="B10" i="66"/>
  <c r="Q10" i="66" s="1"/>
  <c r="B9" i="66"/>
  <c r="Q9" i="66" s="1"/>
  <c r="B8" i="66"/>
  <c r="Q8" i="66" s="1"/>
  <c r="B7" i="66"/>
  <c r="Q7" i="66" s="1"/>
  <c r="B6" i="66"/>
  <c r="Q6" i="66" s="1"/>
  <c r="B5" i="66"/>
  <c r="Q5" i="66" s="1"/>
  <c r="B4" i="66"/>
  <c r="Q4" i="66" s="1"/>
  <c r="B3" i="66"/>
  <c r="Q3" i="66" s="1"/>
  <c r="B2" i="66"/>
  <c r="Q2" i="66" s="1"/>
  <c r="Q24" i="71" l="1"/>
  <c r="K25" i="71"/>
  <c r="J28" i="71"/>
  <c r="J29" i="71" s="1"/>
  <c r="J30" i="71" s="1"/>
  <c r="J31" i="71" s="1"/>
  <c r="J32" i="71" s="1"/>
  <c r="J33" i="71" s="1"/>
  <c r="J34" i="71" s="1"/>
  <c r="K7" i="71"/>
  <c r="P6" i="71"/>
  <c r="J16" i="71"/>
  <c r="K9" i="73"/>
  <c r="O8" i="73"/>
  <c r="L10" i="73"/>
  <c r="P9" i="73"/>
  <c r="L26" i="73"/>
  <c r="P25" i="73"/>
  <c r="I25" i="73"/>
  <c r="M24" i="73"/>
  <c r="O24" i="73"/>
  <c r="K27" i="73"/>
  <c r="L9" i="71"/>
  <c r="L26" i="71"/>
  <c r="G3" i="66"/>
  <c r="G4" i="66"/>
  <c r="G5" i="66"/>
  <c r="G6" i="66"/>
  <c r="G7" i="66"/>
  <c r="G8" i="66"/>
  <c r="G9" i="66"/>
  <c r="G10" i="66"/>
  <c r="G11" i="66"/>
  <c r="G12" i="66"/>
  <c r="G13" i="66"/>
  <c r="G26" i="66"/>
  <c r="G27" i="66"/>
  <c r="G28" i="66"/>
  <c r="Q7" i="71" l="1"/>
  <c r="K8" i="71"/>
  <c r="Q25" i="71"/>
  <c r="K26" i="71"/>
  <c r="P25" i="71"/>
  <c r="P7" i="71"/>
  <c r="K28" i="73"/>
  <c r="I26" i="73"/>
  <c r="M25" i="73"/>
  <c r="O25" i="73"/>
  <c r="L27" i="73"/>
  <c r="P26" i="73"/>
  <c r="L11" i="73"/>
  <c r="P10" i="73"/>
  <c r="K10" i="73"/>
  <c r="O9" i="73"/>
  <c r="L27" i="71"/>
  <c r="L10" i="71"/>
  <c r="G31" i="66"/>
  <c r="G247" i="66"/>
  <c r="G260" i="66"/>
  <c r="G30" i="66"/>
  <c r="G246" i="66"/>
  <c r="G259" i="66"/>
  <c r="G29" i="66"/>
  <c r="G258" i="66"/>
  <c r="Q26" i="71" l="1"/>
  <c r="K27" i="71"/>
  <c r="P26" i="71"/>
  <c r="K9" i="71"/>
  <c r="Q9" i="71" s="1"/>
  <c r="P8" i="71"/>
  <c r="Q8" i="71"/>
  <c r="K11" i="73"/>
  <c r="O10" i="73"/>
  <c r="L12" i="73"/>
  <c r="P11" i="73"/>
  <c r="L28" i="73"/>
  <c r="P27" i="73"/>
  <c r="I27" i="73"/>
  <c r="M26" i="73"/>
  <c r="O26" i="73"/>
  <c r="K29" i="73"/>
  <c r="L11" i="71"/>
  <c r="L28" i="71"/>
  <c r="G83" i="66"/>
  <c r="Q27" i="71" l="1"/>
  <c r="K28" i="71"/>
  <c r="P27" i="71"/>
  <c r="K10" i="71"/>
  <c r="Q10" i="71" s="1"/>
  <c r="P9" i="71"/>
  <c r="K30" i="73"/>
  <c r="I28" i="73"/>
  <c r="O27" i="73"/>
  <c r="L29" i="73"/>
  <c r="P28" i="73"/>
  <c r="L13" i="73"/>
  <c r="P12" i="73"/>
  <c r="K12" i="73"/>
  <c r="O11" i="73"/>
  <c r="L29" i="71"/>
  <c r="L12" i="71"/>
  <c r="G101" i="66"/>
  <c r="G245" i="66"/>
  <c r="Q28" i="71" l="1"/>
  <c r="K29" i="71"/>
  <c r="P28" i="71"/>
  <c r="K11" i="71"/>
  <c r="P10" i="71"/>
  <c r="K13" i="73"/>
  <c r="O12" i="73"/>
  <c r="L14" i="73"/>
  <c r="P13" i="73"/>
  <c r="L30" i="73"/>
  <c r="P29" i="73"/>
  <c r="I29" i="73"/>
  <c r="O28" i="73"/>
  <c r="K31" i="73"/>
  <c r="L13" i="71"/>
  <c r="L30" i="71"/>
  <c r="G56" i="66"/>
  <c r="G244" i="66"/>
  <c r="G55" i="66"/>
  <c r="G25" i="66"/>
  <c r="K30" i="71" l="1"/>
  <c r="P29" i="71"/>
  <c r="K12" i="71"/>
  <c r="P11" i="71"/>
  <c r="K32" i="73"/>
  <c r="I30" i="73"/>
  <c r="O29" i="73"/>
  <c r="L31" i="73"/>
  <c r="P30" i="73"/>
  <c r="L15" i="73"/>
  <c r="P15" i="73" s="1"/>
  <c r="P14" i="73"/>
  <c r="K14" i="73"/>
  <c r="O13" i="73"/>
  <c r="L31" i="71"/>
  <c r="L14" i="71"/>
  <c r="G43" i="66"/>
  <c r="G95" i="66"/>
  <c r="G123" i="66"/>
  <c r="G24" i="66"/>
  <c r="G52" i="66"/>
  <c r="G48" i="66"/>
  <c r="G67" i="66"/>
  <c r="G257" i="66"/>
  <c r="G81" i="66"/>
  <c r="G165" i="66"/>
  <c r="G86" i="66"/>
  <c r="G2" i="66"/>
  <c r="G157" i="66"/>
  <c r="G261" i="66"/>
  <c r="G159" i="66"/>
  <c r="G248" i="66"/>
  <c r="G75" i="66"/>
  <c r="G80" i="66"/>
  <c r="K31" i="71" l="1"/>
  <c r="P30" i="71"/>
  <c r="K13" i="71"/>
  <c r="P12" i="71"/>
  <c r="K15" i="73"/>
  <c r="O15" i="73" s="1"/>
  <c r="O14" i="73"/>
  <c r="L32" i="73"/>
  <c r="P31" i="73"/>
  <c r="I31" i="73"/>
  <c r="O30" i="73"/>
  <c r="K33" i="73"/>
  <c r="L15" i="71"/>
  <c r="L32" i="71"/>
  <c r="G231" i="66"/>
  <c r="G236" i="66"/>
  <c r="G128" i="66"/>
  <c r="G151" i="66"/>
  <c r="G152" i="66"/>
  <c r="G97" i="66"/>
  <c r="G112" i="66"/>
  <c r="G240" i="66"/>
  <c r="G242" i="66"/>
  <c r="G243" i="66"/>
  <c r="G163" i="66"/>
  <c r="G164" i="66"/>
  <c r="G94" i="66"/>
  <c r="G100" i="66"/>
  <c r="G99" i="66"/>
  <c r="G93" i="66"/>
  <c r="G74" i="66"/>
  <c r="G78" i="66"/>
  <c r="G98" i="66"/>
  <c r="G58" i="66"/>
  <c r="G177" i="66"/>
  <c r="G239" i="66"/>
  <c r="G36" i="66"/>
  <c r="G252" i="66"/>
  <c r="G103" i="66"/>
  <c r="G15" i="66"/>
  <c r="G60" i="66"/>
  <c r="G102" i="66"/>
  <c r="G14" i="66"/>
  <c r="G47" i="66"/>
  <c r="G235" i="66"/>
  <c r="G35" i="66"/>
  <c r="G251" i="66"/>
  <c r="G34" i="66"/>
  <c r="G250" i="66"/>
  <c r="G41" i="66"/>
  <c r="G229" i="66"/>
  <c r="G59" i="66"/>
  <c r="G70" i="66"/>
  <c r="G90" i="66"/>
  <c r="G71" i="66"/>
  <c r="G44" i="66"/>
  <c r="G232" i="66"/>
  <c r="G109" i="66"/>
  <c r="G21" i="66"/>
  <c r="G57" i="66"/>
  <c r="G176" i="66"/>
  <c r="G105" i="66"/>
  <c r="G17" i="66"/>
  <c r="G50" i="66"/>
  <c r="G238" i="66"/>
  <c r="G39" i="66"/>
  <c r="G255" i="66"/>
  <c r="G49" i="66"/>
  <c r="G237" i="66"/>
  <c r="G33" i="66"/>
  <c r="G249" i="66"/>
  <c r="G107" i="66"/>
  <c r="G19" i="66"/>
  <c r="G87" i="66"/>
  <c r="G88" i="66"/>
  <c r="G110" i="66"/>
  <c r="G22" i="66"/>
  <c r="G79" i="66"/>
  <c r="G64" i="66"/>
  <c r="G156" i="66"/>
  <c r="G46" i="66"/>
  <c r="G234" i="66"/>
  <c r="G96" i="66"/>
  <c r="G76" i="66"/>
  <c r="G68" i="66"/>
  <c r="G160" i="66"/>
  <c r="G106" i="66"/>
  <c r="G18" i="66"/>
  <c r="G37" i="66"/>
  <c r="G253" i="66"/>
  <c r="G23" i="66"/>
  <c r="G92" i="66"/>
  <c r="G150" i="66"/>
  <c r="G42" i="66"/>
  <c r="G230" i="66"/>
  <c r="G38" i="66"/>
  <c r="G254" i="66"/>
  <c r="G53" i="66"/>
  <c r="G241" i="66"/>
  <c r="G77" i="66"/>
  <c r="G69" i="66"/>
  <c r="G161" i="66"/>
  <c r="G108" i="66"/>
  <c r="G20" i="66"/>
  <c r="G66" i="66"/>
  <c r="G158" i="66"/>
  <c r="G62" i="66"/>
  <c r="G40" i="66"/>
  <c r="G256" i="66"/>
  <c r="G73" i="66"/>
  <c r="G91" i="66"/>
  <c r="G45" i="66"/>
  <c r="G233" i="66"/>
  <c r="G72" i="66"/>
  <c r="G127" i="66"/>
  <c r="G104" i="66"/>
  <c r="G16" i="66"/>
  <c r="G61" i="66"/>
  <c r="P31" i="71" l="1"/>
  <c r="K32" i="71"/>
  <c r="K14" i="71"/>
  <c r="P13" i="71"/>
  <c r="K34" i="73"/>
  <c r="I32" i="73"/>
  <c r="O31" i="73"/>
  <c r="L33" i="73"/>
  <c r="P32" i="73"/>
  <c r="L33" i="71"/>
  <c r="L16" i="71"/>
  <c r="K8" i="40"/>
  <c r="F8" i="40"/>
  <c r="K7" i="40"/>
  <c r="F7" i="40"/>
  <c r="K6" i="40"/>
  <c r="F6" i="40"/>
  <c r="K5" i="40"/>
  <c r="F5" i="40"/>
  <c r="K4" i="40"/>
  <c r="F4" i="40"/>
  <c r="K3" i="40"/>
  <c r="F3" i="40"/>
  <c r="P32" i="71" l="1"/>
  <c r="K33" i="71"/>
  <c r="K15" i="71"/>
  <c r="P14" i="71"/>
  <c r="L34" i="73"/>
  <c r="P34" i="73" s="1"/>
  <c r="P33" i="73"/>
  <c r="I33" i="73"/>
  <c r="O32" i="73"/>
  <c r="L34" i="71"/>
  <c r="P33" i="71" l="1"/>
  <c r="K34" i="71"/>
  <c r="P34" i="71" s="1"/>
  <c r="K16" i="71"/>
  <c r="P16" i="71" s="1"/>
  <c r="P15" i="71"/>
  <c r="I34" i="73"/>
  <c r="O34" i="73" s="1"/>
  <c r="O33" i="73"/>
  <c r="E51" i="66"/>
  <c r="G113" i="66" l="1"/>
  <c r="G111" i="66"/>
  <c r="G125" i="66"/>
  <c r="G118" i="66"/>
  <c r="G133" i="66"/>
  <c r="G129" i="66"/>
  <c r="G138" i="66"/>
  <c r="G137" i="66"/>
  <c r="G140" i="66"/>
  <c r="G139" i="66"/>
  <c r="G143" i="66"/>
  <c r="G141" i="66"/>
  <c r="G145" i="66"/>
  <c r="G144" i="66"/>
  <c r="G147" i="66"/>
  <c r="G146" i="66"/>
  <c r="G149" i="66"/>
  <c r="G142" i="66"/>
  <c r="G155" i="66"/>
  <c r="G174" i="66"/>
  <c r="G168" i="66"/>
  <c r="G179" i="66"/>
  <c r="G178" i="66"/>
  <c r="G181" i="66"/>
  <c r="G180" i="66"/>
  <c r="G183" i="66"/>
  <c r="G182" i="66"/>
  <c r="G185" i="66"/>
  <c r="G184" i="66"/>
  <c r="G186" i="66"/>
  <c r="G84" i="66"/>
  <c r="G51" i="66"/>
  <c r="G82" i="66"/>
  <c r="A162" i="66"/>
  <c r="B162" i="66" s="1"/>
  <c r="Q162" i="66" s="1"/>
  <c r="G162" i="66"/>
  <c r="I162" i="66"/>
  <c r="P162" i="66"/>
  <c r="N162" i="66"/>
  <c r="D2" i="63" a="1"/>
  <c r="D2" i="63" s="1"/>
  <c r="H162" i="66"/>
  <c r="E162" i="66"/>
  <c r="L162" i="66"/>
  <c r="C2" i="63" a="1"/>
  <c r="C2" i="63" s="1"/>
  <c r="M162" i="66"/>
  <c r="F162" i="66"/>
  <c r="O162" i="66"/>
  <c r="K162" i="66"/>
  <c r="J162" i="66"/>
  <c r="B2" i="63" a="1"/>
  <c r="B2" i="63" s="1"/>
  <c r="C162" i="66"/>
  <c r="A2" i="63" a="1"/>
  <c r="A2" i="6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Nileema Pailwan</author>
  </authors>
  <commentList>
    <comment ref="AO200" authorId="0" shapeId="0" xr:uid="{E1BD962A-B6E7-45CE-A700-5E60A0CD8657}">
      <text>
        <r>
          <rPr>
            <b/>
            <sz val="9"/>
            <color indexed="81"/>
            <rFont val="Tahoma"/>
            <family val="2"/>
          </rPr>
          <t>Nileema Pailwan:</t>
        </r>
        <r>
          <rPr>
            <sz val="9"/>
            <color indexed="81"/>
            <rFont val="Tahoma"/>
            <family val="2"/>
          </rPr>
          <t xml:space="preserve">
29-09-2025</t>
        </r>
      </text>
    </comment>
    <comment ref="AO201" authorId="0" shapeId="0" xr:uid="{83E70D05-AA49-4582-9BF8-79134DAE7E22}">
      <text>
        <r>
          <rPr>
            <b/>
            <sz val="9"/>
            <color indexed="81"/>
            <rFont val="Tahoma"/>
            <family val="2"/>
          </rPr>
          <t>Nileema Pailwan:</t>
        </r>
        <r>
          <rPr>
            <sz val="9"/>
            <color indexed="81"/>
            <rFont val="Tahoma"/>
            <family val="2"/>
          </rPr>
          <t xml:space="preserve">
29-09-2025</t>
        </r>
      </text>
    </comment>
    <comment ref="AO208" authorId="0" shapeId="0" xr:uid="{4BDB067A-56F3-4318-A632-02C0429FFF8C}">
      <text>
        <r>
          <rPr>
            <b/>
            <sz val="9"/>
            <color indexed="81"/>
            <rFont val="Tahoma"/>
            <family val="2"/>
          </rPr>
          <t>Nileema Pailwan:</t>
        </r>
        <r>
          <rPr>
            <sz val="9"/>
            <color indexed="81"/>
            <rFont val="Tahoma"/>
            <family val="2"/>
          </rPr>
          <t xml:space="preserve">
30-09-2025</t>
        </r>
      </text>
    </comment>
    <comment ref="AO231" authorId="0" shapeId="0" xr:uid="{9D9638D4-3F48-4AFC-9C9C-8461011A103A}">
      <text>
        <r>
          <rPr>
            <b/>
            <sz val="9"/>
            <color indexed="81"/>
            <rFont val="Tahoma"/>
            <family val="2"/>
          </rPr>
          <t>Nileema Pailwan:</t>
        </r>
        <r>
          <rPr>
            <sz val="9"/>
            <color indexed="81"/>
            <rFont val="Tahoma"/>
            <family val="2"/>
          </rPr>
          <t xml:space="preserve">
09-09-2025</t>
        </r>
      </text>
    </comment>
    <comment ref="AS231" authorId="0" shapeId="0" xr:uid="{624E064F-B84A-471D-A8AE-6B7FA55382E2}">
      <text>
        <r>
          <rPr>
            <b/>
            <sz val="9"/>
            <color indexed="81"/>
            <rFont val="Tahoma"/>
            <family val="2"/>
          </rPr>
          <t>Nileema Pailwan:</t>
        </r>
        <r>
          <rPr>
            <sz val="9"/>
            <color indexed="81"/>
            <rFont val="Tahoma"/>
            <family val="2"/>
          </rPr>
          <t xml:space="preserve">
09-09-2025</t>
        </r>
      </text>
    </comment>
    <comment ref="AT231" authorId="0" shapeId="0" xr:uid="{C3029C3D-434A-4BC5-8C7C-7359EB93C5B4}">
      <text>
        <r>
          <rPr>
            <b/>
            <sz val="9"/>
            <color indexed="81"/>
            <rFont val="Tahoma"/>
            <family val="2"/>
          </rPr>
          <t>Nileema Pailwan:</t>
        </r>
        <r>
          <rPr>
            <sz val="9"/>
            <color indexed="81"/>
            <rFont val="Tahoma"/>
            <family val="2"/>
          </rPr>
          <t xml:space="preserve">
09-09-2025</t>
        </r>
      </text>
    </comment>
    <comment ref="AU231" authorId="0" shapeId="0" xr:uid="{2C67E08C-0510-4362-A820-53978EE18897}">
      <text>
        <r>
          <rPr>
            <b/>
            <sz val="9"/>
            <color indexed="81"/>
            <rFont val="Tahoma"/>
            <family val="2"/>
          </rPr>
          <t>Nileema Pailwan:</t>
        </r>
        <r>
          <rPr>
            <sz val="9"/>
            <color indexed="81"/>
            <rFont val="Tahoma"/>
            <family val="2"/>
          </rPr>
          <t xml:space="preserve">
09-09-2025</t>
        </r>
      </text>
    </comment>
    <comment ref="AO232" authorId="0" shapeId="0" xr:uid="{94BD68DE-282C-4D25-A3C5-4179A14018A0}">
      <text>
        <r>
          <rPr>
            <b/>
            <sz val="9"/>
            <color indexed="81"/>
            <rFont val="Tahoma"/>
            <family val="2"/>
          </rPr>
          <t>Nileema Pailwan:</t>
        </r>
        <r>
          <rPr>
            <sz val="9"/>
            <color indexed="81"/>
            <rFont val="Tahoma"/>
            <family val="2"/>
          </rPr>
          <t xml:space="preserve">
10-10-2025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kf586</author>
  </authors>
  <commentList>
    <comment ref="D12" authorId="0" shapeId="0" xr:uid="{00000000-0006-0000-0000-000001000000}">
      <text>
        <r>
          <rPr>
            <sz val="9"/>
            <color indexed="81"/>
            <rFont val="Tahoma"/>
            <family val="2"/>
          </rPr>
          <t xml:space="preserve">This template has been demostrated to Quality Manager - Ashwin Upadhyaya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Nileema Pailwan</author>
  </authors>
  <commentList>
    <comment ref="X21" authorId="0" shapeId="0" xr:uid="{289FEA4D-9792-4826-AFA3-6CBA2E88792A}">
      <text>
        <r>
          <rPr>
            <b/>
            <sz val="9"/>
            <color indexed="81"/>
            <rFont val="Tahoma"/>
            <family val="2"/>
          </rPr>
          <t>Nileema Pailwan:</t>
        </r>
        <r>
          <rPr>
            <sz val="9"/>
            <color indexed="81"/>
            <rFont val="Tahoma"/>
            <family val="2"/>
          </rPr>
          <t xml:space="preserve">
No updates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Nileema Pailwan</author>
  </authors>
  <commentList>
    <comment ref="AO5" authorId="0" shapeId="0" xr:uid="{74C8394B-B703-4B26-A02C-4BCB06799499}">
      <text>
        <r>
          <rPr>
            <b/>
            <sz val="9"/>
            <color indexed="81"/>
            <rFont val="Tahoma"/>
            <family val="2"/>
          </rPr>
          <t>Nileema Pailwan:</t>
        </r>
        <r>
          <rPr>
            <sz val="9"/>
            <color indexed="81"/>
            <rFont val="Tahoma"/>
            <family val="2"/>
          </rPr>
          <t xml:space="preserve">
29-09-2025</t>
        </r>
      </text>
    </comment>
    <comment ref="CF16" authorId="0" shapeId="0" xr:uid="{490DC419-91F9-4F8B-98C5-27BBB72E6B51}">
      <text>
        <r>
          <rPr>
            <b/>
            <sz val="9"/>
            <color indexed="81"/>
            <rFont val="Tahoma"/>
            <family val="2"/>
          </rPr>
          <t>Nileema Pailwan:</t>
        </r>
        <r>
          <rPr>
            <sz val="9"/>
            <color indexed="81"/>
            <rFont val="Tahoma"/>
            <family val="2"/>
          </rPr>
          <t xml:space="preserve">
DRB review</t>
        </r>
      </text>
    </comment>
    <comment ref="N49" authorId="0" shapeId="0" xr:uid="{49E31233-2855-4ED7-BB03-F3BD25EA25CA}">
      <text>
        <r>
          <rPr>
            <b/>
            <sz val="9"/>
            <color indexed="81"/>
            <rFont val="Tahoma"/>
            <family val="2"/>
          </rPr>
          <t>Nileema Pailwan:</t>
        </r>
        <r>
          <rPr>
            <sz val="9"/>
            <color indexed="81"/>
            <rFont val="Tahoma"/>
            <family val="2"/>
          </rPr>
          <t xml:space="preserve">
29-09-2025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tc={92B69696-580D-4965-82F3-19B886C03B2E}</author>
    <author>tc={5C952A20-E7AE-4306-AA3B-E04A12653712}</author>
    <author>Chitharenjan Nair</author>
    <author>tc={5CB6B45B-D4F4-4C4B-8A05-E0471AF4FF9A}</author>
    <author>tc={A20C4E11-E8DB-40D1-B17B-4CF7CE049D6B}</author>
    <author>tc={215534DF-21AA-4C8B-B0EF-D0BA299B2BCF}</author>
    <author>tc={79001B7C-DF50-4621-B485-F40D1D1D33EE}</author>
    <author>tc={5F49120B-8E72-4098-B3D6-F1198D0ACA0D}</author>
    <author>tc={44ED33F0-1B4D-49C4-A66E-DA66CD183DAD}</author>
    <author>Nileema Pailwan</author>
    <author>tc={425D6E42-821E-46CD-BD41-6142F8A0B5DA}</author>
    <author>tc={0C92502C-A71A-416D-B530-03D0570989E5}</author>
    <author>tc={FEA40463-9CB0-498B-BCA5-7B72FC72AF25}</author>
    <author>tc={0BA04B67-B5D8-4325-B528-F73EE9B3519A}</author>
    <author>tc={CA8F486D-34F2-4B47-BA20-A67EADA38D1A}</author>
    <author>tc={645A8F4F-E0D4-4F4E-88DE-23FC5BFADECA}</author>
    <author>tc={574B09A3-E1CE-4F6D-88ED-F3AA72BF01B5}</author>
    <author>tc={63A6B571-3CCB-4AA6-9FE7-B9E2C92217F8}</author>
    <author>tc={64B4F490-CD24-4651-A8B3-859ACE088F3D}</author>
    <author>tc={4C416033-58DE-4B17-AFF1-D307CD895F51}</author>
    <author>tc={DE47E97C-0297-4C75-9A62-ECC1A089904B}</author>
    <author>tc={E7F0CD95-361E-4750-ABF0-2A92E7D36523}</author>
  </authors>
  <commentList>
    <comment ref="C3" authorId="0" shapeId="0" xr:uid="{92B69696-580D-4965-82F3-19B886C03B2E}">
      <text>
        <t>[Threaded comment]
Your version of Excel allows you to read this threaded comment; however, any edits to it will get removed if the file is opened in a newer version of Excel. Learn more: https://go.microsoft.com/fwlink/?linkid=870924
Comment:
    Urgent delivery needed for May 22</t>
      </text>
    </comment>
    <comment ref="R19" authorId="1" shapeId="0" xr:uid="{5C952A20-E7AE-4306-AA3B-E04A12653712}">
      <text>
        <t>[Threaded comment]
Your version of Excel allows you to read this threaded comment; however, any edits to it will get removed if the file is opened in a newer version of Excel. Learn more: https://go.microsoft.com/fwlink/?linkid=870924
Comment:
    This is tentative, estimation can be changed based on analysis &amp; feature sim</t>
      </text>
    </comment>
    <comment ref="R22" authorId="2" shapeId="0" xr:uid="{08140AFD-4482-4211-BF7C-467640D22729}">
      <text>
        <r>
          <rPr>
            <sz val="11"/>
            <color theme="1"/>
            <rFont val="Calibri"/>
            <family val="2"/>
          </rPr>
          <t>Chitharenjan Nair:
estimated efforts=40hrs</t>
        </r>
      </text>
    </comment>
    <comment ref="R25" authorId="3" shapeId="0" xr:uid="{5CB6B45B-D4F4-4C4B-8A05-E0471AF4FF9A}">
      <text>
        <t>[Threaded comment]
Your version of Excel allows you to read this threaded comment; however, any edits to it will get removed if the file is opened in a newer version of Excel. Learn more: https://go.microsoft.com/fwlink/?linkid=870924
Comment:
    10</t>
      </text>
    </comment>
    <comment ref="T25" authorId="4" shapeId="0" xr:uid="{A20C4E11-E8DB-40D1-B17B-4CF7CE049D6B}">
      <text>
        <t>[Threaded comment]
Your version of Excel allows you to read this threaded comment; however, any edits to it will get removed if the file is opened in a newer version of Excel. Learn more: https://go.microsoft.com/fwlink/?linkid=870924
Comment:
    20</t>
      </text>
    </comment>
    <comment ref="R30" authorId="5" shapeId="0" xr:uid="{215534DF-21AA-4C8B-B0EF-D0BA299B2BCF}">
      <text>
        <t>[Threaded comment]
Your version of Excel allows you to read this threaded comment; however, any edits to it will get removed if the file is opened in a newer version of Excel. Learn more: https://go.microsoft.com/fwlink/?linkid=870924
Comment:
    20</t>
      </text>
    </comment>
    <comment ref="T30" authorId="6" shapeId="0" xr:uid="{79001B7C-DF50-4621-B485-F40D1D1D33EE}">
      <text>
        <t>[Threaded comment]
Your version of Excel allows you to read this threaded comment; however, any edits to it will get removed if the file is opened in a newer version of Excel. Learn more: https://go.microsoft.com/fwlink/?linkid=870924
Comment:
    90</t>
      </text>
    </comment>
    <comment ref="C32" authorId="7" shapeId="0" xr:uid="{5F49120B-8E72-4098-B3D6-F1198D0ACA0D}">
      <text>
        <t>[Threaded comment]
Your version of Excel allows you to read this threaded comment; however, any edits to it will get removed if the file is opened in a newer version of Excel. Learn more: https://go.microsoft.com/fwlink/?linkid=870924
Comment:
    Urgent delivery needed for May 22</t>
      </text>
    </comment>
    <comment ref="R35" authorId="8" shapeId="0" xr:uid="{44ED33F0-1B4D-49C4-A66E-DA66CD183DAD}">
      <text>
        <t xml:space="preserve">[Threaded comment]
Your version of Excel allows you to read this threaded comment; however, any edits to it will get removed if the file is opened in a newer version of Excel. Learn more: https://go.microsoft.com/fwlink/?linkid=870924
Comment:
    Out of 2 req, 1 is straight forward. For 2nd requirement need discussions </t>
      </text>
    </comment>
    <comment ref="T38" authorId="9" shapeId="0" xr:uid="{B2F10514-557B-4341-B34C-A32662171832}">
      <text>
        <r>
          <rPr>
            <b/>
            <sz val="9"/>
            <color indexed="81"/>
            <rFont val="Tahoma"/>
            <family val="2"/>
          </rPr>
          <t>Nileema Pailwan:</t>
        </r>
        <r>
          <rPr>
            <sz val="9"/>
            <color indexed="81"/>
            <rFont val="Tahoma"/>
            <family val="2"/>
          </rPr>
          <t xml:space="preserve">
18234776 - impl efforts taken care</t>
        </r>
      </text>
    </comment>
    <comment ref="T41" authorId="9" shapeId="0" xr:uid="{BB7045DE-5277-4A6C-A73F-F8EE721EECCC}">
      <text>
        <r>
          <rPr>
            <b/>
            <sz val="9"/>
            <color indexed="81"/>
            <rFont val="Tahoma"/>
            <family val="2"/>
          </rPr>
          <t>Nileema Pailwan:</t>
        </r>
        <r>
          <rPr>
            <sz val="9"/>
            <color indexed="81"/>
            <rFont val="Tahoma"/>
            <family val="2"/>
          </rPr>
          <t xml:space="preserve">
2 more components are impacting - efforts needs to be added</t>
        </r>
      </text>
    </comment>
    <comment ref="R42" authorId="10" shapeId="0" xr:uid="{425D6E42-821E-46CD-BD41-6142F8A0B5DA}">
      <text>
        <t>[Threaded comment]
Your version of Excel allows you to read this threaded comment; however, any edits to it will get removed if the file is opened in a newer version of Excel. Learn more: https://go.microsoft.com/fwlink/?linkid=870924
Comment:
    20</t>
      </text>
    </comment>
    <comment ref="T42" authorId="11" shapeId="0" xr:uid="{0C92502C-A71A-416D-B530-03D0570989E5}">
      <text>
        <t>[Threaded comment]
Your version of Excel allows you to read this threaded comment; however, any edits to it will get removed if the file is opened in a newer version of Excel. Learn more: https://go.microsoft.com/fwlink/?linkid=870924
Comment:
    50</t>
      </text>
    </comment>
    <comment ref="R43" authorId="12" shapeId="0" xr:uid="{FEA40463-9CB0-498B-BCA5-7B72FC72AF25}">
      <text>
        <t>[Threaded comment]
Your version of Excel allows you to read this threaded comment; however, any edits to it will get removed if the file is opened in a newer version of Excel. Learn more: https://go.microsoft.com/fwlink/?linkid=870924
Comment:
    30 Eval, 30 iDFMEA</t>
      </text>
    </comment>
    <comment ref="T43" authorId="13" shapeId="0" xr:uid="{0BA04B67-B5D8-4325-B528-F73EE9B3519A}">
      <text>
        <t>[Threaded comment]
Your version of Excel allows you to read this threaded comment; however, any edits to it will get removed if the file is opened in a newer version of Excel. Learn more: https://go.microsoft.com/fwlink/?linkid=870924
Comment:
    100</t>
      </text>
    </comment>
    <comment ref="T44" authorId="2" shapeId="0" xr:uid="{F3B98473-8F6A-404F-A10D-8D97F72E13A1}">
      <text>
        <r>
          <rPr>
            <sz val="11"/>
            <color theme="1"/>
            <rFont val="Calibri"/>
            <family val="2"/>
          </rPr>
          <t>Chitharenjan Nair:
Estimated efforts= 10hrs</t>
        </r>
      </text>
    </comment>
    <comment ref="T45" authorId="2" shapeId="0" xr:uid="{C74BE8FB-8EB2-4381-B583-F7B41B122C8B}">
      <text>
        <r>
          <rPr>
            <sz val="11"/>
            <color theme="1"/>
            <rFont val="Calibri"/>
            <family val="2"/>
          </rPr>
          <t>Chitharenjan Nair:
estimated efforts=25hrs</t>
        </r>
      </text>
    </comment>
    <comment ref="R67" authorId="14" shapeId="0" xr:uid="{CA8F486D-34F2-4B47-BA20-A67EADA38D1A}">
      <text>
        <t xml:space="preserve">[Threaded comment]
Your version of Excel allows you to read this threaded comment; however, any edits to it will get removed if the file is opened in a newer version of Excel. Learn more: https://go.microsoft.com/fwlink/?linkid=870924
Comment:
    10
</t>
      </text>
    </comment>
    <comment ref="T67" authorId="15" shapeId="0" xr:uid="{645A8F4F-E0D4-4F4E-88DE-23FC5BFADECA}">
      <text>
        <t>[Threaded comment]
Your version of Excel allows you to read this threaded comment; however, any edits to it will get removed if the file is opened in a newer version of Excel. Learn more: https://go.microsoft.com/fwlink/?linkid=870924
Comment:
    20</t>
      </text>
    </comment>
    <comment ref="R68" authorId="16" shapeId="0" xr:uid="{574B09A3-E1CE-4F6D-88ED-F3AA72BF01B5}">
      <text>
        <t>[Threaded comment]
Your version of Excel allows you to read this threaded comment; however, any edits to it will get removed if the file is opened in a newer version of Excel. Learn more: https://go.microsoft.com/fwlink/?linkid=870924
Comment:
    10</t>
      </text>
    </comment>
    <comment ref="T68" authorId="17" shapeId="0" xr:uid="{63A6B571-3CCB-4AA6-9FE7-B9E2C92217F8}">
      <text>
        <t>[Threaded comment]
Your version of Excel allows you to read this threaded comment; however, any edits to it will get removed if the file is opened in a newer version of Excel. Learn more: https://go.microsoft.com/fwlink/?linkid=870924
Comment:
    20</t>
      </text>
    </comment>
    <comment ref="R70" authorId="18" shapeId="0" xr:uid="{64B4F490-CD24-4651-A8B3-859ACE088F3D}">
      <text>
        <t>[Threaded comment]
Your version of Excel allows you to read this threaded comment; however, any edits to it will get removed if the file is opened in a newer version of Excel. Learn more: https://go.microsoft.com/fwlink/?linkid=870924
Comment:
    40
Reply:
    Revised to 45 after Snehal's feedback</t>
      </text>
    </comment>
    <comment ref="S70" authorId="19" shapeId="0" xr:uid="{4C416033-58DE-4B17-AFF1-D307CD895F51}">
      <text>
        <t>[Threaded comment]
Your version of Excel allows you to read this threaded comment; however, any edits to it will get removed if the file is opened in a newer version of Excel. Learn more: https://go.microsoft.com/fwlink/?linkid=870924
Comment:
    10</t>
      </text>
    </comment>
    <comment ref="T70" authorId="20" shapeId="0" xr:uid="{DE47E97C-0297-4C75-9A62-ECC1A089904B}">
      <text>
        <t>[Threaded comment]
Your version of Excel allows you to read this threaded comment; however, any edits to it will get removed if the file is opened in a newer version of Excel. Learn more: https://go.microsoft.com/fwlink/?linkid=870924
Comment:
    50</t>
      </text>
    </comment>
    <comment ref="T88" authorId="21" shapeId="0" xr:uid="{E7F0CD95-361E-4750-ABF0-2A92E7D36523}">
      <text>
        <t>[Threaded comment]
Your version of Excel allows you to read this threaded comment; however, any edits to it will get removed if the file is opened in a newer version of Excel. Learn more: https://go.microsoft.com/fwlink/?linkid=870924
Comment:
    30</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Nileema Pailwan</author>
  </authors>
  <commentList>
    <comment ref="AO11" authorId="0" shapeId="0" xr:uid="{E3A11A3C-A7BA-47A2-867A-D6FC3004D8EE}">
      <text>
        <r>
          <rPr>
            <b/>
            <sz val="9"/>
            <color indexed="81"/>
            <rFont val="Tahoma"/>
            <family val="2"/>
          </rPr>
          <t>Nileema Pailwan:</t>
        </r>
        <r>
          <rPr>
            <sz val="9"/>
            <color indexed="81"/>
            <rFont val="Tahoma"/>
            <family val="2"/>
          </rPr>
          <t xml:space="preserve">
29-09-2025</t>
        </r>
      </text>
    </comment>
    <comment ref="AO18" authorId="0" shapeId="0" xr:uid="{61A46223-E1E1-4369-A8A0-A1A1310616CC}">
      <text>
        <r>
          <rPr>
            <b/>
            <sz val="9"/>
            <color indexed="81"/>
            <rFont val="Tahoma"/>
            <family val="2"/>
          </rPr>
          <t>Nileema Pailwan:</t>
        </r>
        <r>
          <rPr>
            <sz val="9"/>
            <color indexed="81"/>
            <rFont val="Tahoma"/>
            <family val="2"/>
          </rPr>
          <t xml:space="preserve">
09-09-2025</t>
        </r>
      </text>
    </comment>
    <comment ref="AT18" authorId="0" shapeId="0" xr:uid="{DFDACDFF-9AAB-432E-9AB2-25B2A64E9A45}">
      <text>
        <r>
          <rPr>
            <b/>
            <sz val="9"/>
            <color indexed="81"/>
            <rFont val="Tahoma"/>
            <family val="2"/>
          </rPr>
          <t>Nileema Pailwan:</t>
        </r>
        <r>
          <rPr>
            <sz val="9"/>
            <color indexed="81"/>
            <rFont val="Tahoma"/>
            <family val="2"/>
          </rPr>
          <t xml:space="preserve">
09-09-2025</t>
        </r>
      </text>
    </comment>
    <comment ref="AU18" authorId="0" shapeId="0" xr:uid="{5EF6C36A-AB0C-4897-957A-DBD91B60147C}">
      <text>
        <r>
          <rPr>
            <b/>
            <sz val="9"/>
            <color indexed="81"/>
            <rFont val="Tahoma"/>
            <family val="2"/>
          </rPr>
          <t>Nileema Pailwan:</t>
        </r>
        <r>
          <rPr>
            <sz val="9"/>
            <color indexed="81"/>
            <rFont val="Tahoma"/>
            <family val="2"/>
          </rPr>
          <t xml:space="preserve">
09-09-2025</t>
        </r>
      </text>
    </comment>
    <comment ref="AO19" authorId="0" shapeId="0" xr:uid="{C3BBC5CC-E8A0-4629-A3F8-F6C4BFF02830}">
      <text>
        <r>
          <rPr>
            <b/>
            <sz val="9"/>
            <color indexed="81"/>
            <rFont val="Tahoma"/>
            <family val="2"/>
          </rPr>
          <t>Nileema Pailwan:</t>
        </r>
        <r>
          <rPr>
            <sz val="9"/>
            <color indexed="81"/>
            <rFont val="Tahoma"/>
            <family val="2"/>
          </rPr>
          <t xml:space="preserve">
10-10-2025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Nileema Pailwan</author>
  </authors>
  <commentList>
    <comment ref="C3" authorId="0" shapeId="0" xr:uid="{8430FB4F-A9F0-4D70-9882-9FEFD656E65E}">
      <text>
        <r>
          <rPr>
            <b/>
            <sz val="9"/>
            <color indexed="81"/>
            <rFont val="Tahoma"/>
            <family val="2"/>
          </rPr>
          <t>Nileema Pailwan:</t>
        </r>
        <r>
          <rPr>
            <sz val="9"/>
            <color indexed="81"/>
            <rFont val="Tahoma"/>
            <family val="2"/>
          </rPr>
          <t xml:space="preserve">
250</t>
        </r>
      </text>
    </comment>
    <comment ref="C4" authorId="0" shapeId="0" xr:uid="{CB33A571-6DF1-484A-B166-2E354552099F}">
      <text>
        <r>
          <rPr>
            <b/>
            <sz val="9"/>
            <color indexed="81"/>
            <rFont val="Tahoma"/>
            <family val="2"/>
          </rPr>
          <t>Nileema Pailwan:</t>
        </r>
        <r>
          <rPr>
            <sz val="9"/>
            <color indexed="81"/>
            <rFont val="Tahoma"/>
            <family val="2"/>
          </rPr>
          <t xml:space="preserve">
250</t>
        </r>
      </text>
    </comment>
    <comment ref="C6" authorId="0" shapeId="0" xr:uid="{695F6CFB-5BCB-442F-9C75-85BAD26A16FF}">
      <text>
        <r>
          <rPr>
            <b/>
            <sz val="9"/>
            <color indexed="81"/>
            <rFont val="Tahoma"/>
            <family val="2"/>
          </rPr>
          <t>Nileema Pailwan:</t>
        </r>
        <r>
          <rPr>
            <sz val="9"/>
            <color indexed="81"/>
            <rFont val="Tahoma"/>
            <family val="2"/>
          </rPr>
          <t xml:space="preserve">
250</t>
        </r>
      </text>
    </comment>
    <comment ref="B28" authorId="0" shapeId="0" xr:uid="{E97080B0-C747-4159-BA2A-20CE1802A660}">
      <text>
        <r>
          <rPr>
            <b/>
            <sz val="9"/>
            <color indexed="81"/>
            <rFont val="Tahoma"/>
            <family val="2"/>
          </rPr>
          <t>Nileema Pailwan:</t>
        </r>
        <r>
          <rPr>
            <sz val="9"/>
            <color indexed="81"/>
            <rFont val="Tahoma"/>
            <family val="2"/>
          </rPr>
          <t xml:space="preserve">
19</t>
        </r>
      </text>
    </comment>
    <comment ref="C31" authorId="0" shapeId="0" xr:uid="{0D7D4CC1-977E-4078-831A-7948F16996ED}">
      <text>
        <r>
          <rPr>
            <b/>
            <sz val="9"/>
            <color indexed="81"/>
            <rFont val="Tahoma"/>
            <family val="2"/>
          </rPr>
          <t>Nileema Pailwan:</t>
        </r>
        <r>
          <rPr>
            <sz val="9"/>
            <color indexed="81"/>
            <rFont val="Tahoma"/>
            <family val="2"/>
          </rPr>
          <t xml:space="preserve">
250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Ninad Chintamani</author>
  </authors>
  <commentList>
    <comment ref="E21" authorId="0" shapeId="0" xr:uid="{7DFF1D72-5799-4BC3-890F-982754BF1EBA}">
      <text>
        <r>
          <rPr>
            <b/>
            <sz val="9"/>
            <color indexed="81"/>
            <rFont val="Tahoma"/>
            <family val="2"/>
          </rPr>
          <t>Ninad Chintamani:</t>
        </r>
        <r>
          <rPr>
            <sz val="9"/>
            <color indexed="81"/>
            <rFont val="Tahoma"/>
            <family val="2"/>
          </rPr>
          <t xml:space="preserve">
+ 1 CE7 considered tentatively
</t>
        </r>
      </text>
    </comment>
    <comment ref="E46" authorId="0" shapeId="0" xr:uid="{1ED2CA80-F717-498D-AC0B-A129E91DD051}">
      <text>
        <r>
          <rPr>
            <b/>
            <sz val="9"/>
            <color indexed="81"/>
            <rFont val="Tahoma"/>
            <family val="2"/>
          </rPr>
          <t>Ninad Chintamani:</t>
        </r>
        <r>
          <rPr>
            <sz val="9"/>
            <color indexed="81"/>
            <rFont val="Tahoma"/>
            <family val="2"/>
          </rPr>
          <t xml:space="preserve">
+ 1 CE7 considered tentatively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<sst xmlns="http://schemas.openxmlformats.org/spreadsheetml/2006/main" count="11712" uniqueCount="1982">
  <si>
    <t>DCR Owner</t>
  </si>
  <si>
    <t>Actual Efforts (Hrs)</t>
  </si>
  <si>
    <t>Estimated Hrs</t>
  </si>
  <si>
    <t>Remaining Hrs</t>
  </si>
  <si>
    <t>Type of Content</t>
  </si>
  <si>
    <t>DCR Phase</t>
  </si>
  <si>
    <t>Required by Phase</t>
  </si>
  <si>
    <t>DCR ID - PTC</t>
  </si>
  <si>
    <t>PRCRID</t>
  </si>
  <si>
    <t>Summary</t>
  </si>
  <si>
    <t>PRCRState</t>
  </si>
  <si>
    <t>DCR State</t>
  </si>
  <si>
    <t>Internal Owner</t>
  </si>
  <si>
    <t>Comments (Daily)</t>
  </si>
  <si>
    <t>At Risk</t>
  </si>
  <si>
    <t>BT Start</t>
  </si>
  <si>
    <t>BT end</t>
  </si>
  <si>
    <t>DDP Completion</t>
  </si>
  <si>
    <t>Pre OBD Planned</t>
  </si>
  <si>
    <t xml:space="preserve">OBD Planned </t>
  </si>
  <si>
    <t>Feedback Awaited</t>
  </si>
  <si>
    <t>Responsible</t>
  </si>
  <si>
    <t>Last communication sent on</t>
  </si>
  <si>
    <t>Sub-Task</t>
  </si>
  <si>
    <t>Sub-Activity</t>
  </si>
  <si>
    <t>Used Hours</t>
  </si>
  <si>
    <t>Sprint</t>
  </si>
  <si>
    <t>Deadline Date as per tagged phase/ Commit Date</t>
  </si>
  <si>
    <t>Tag</t>
  </si>
  <si>
    <t>CQ Priority</t>
  </si>
  <si>
    <t>Internal Priority</t>
  </si>
  <si>
    <t>Actual Assigned Date</t>
  </si>
  <si>
    <t>Assigned Date
&lt;dd-mm-yyyy&gt;</t>
  </si>
  <si>
    <t>PRCR Stage</t>
  </si>
  <si>
    <t>DCRType</t>
  </si>
  <si>
    <t>Need Date</t>
  </si>
  <si>
    <t>DCR Project</t>
  </si>
  <si>
    <t>PRCR Submission date</t>
  </si>
  <si>
    <t>Actual Start Date
&lt;dd-mm-yyyy&gt;</t>
  </si>
  <si>
    <t>Planned Start Date
&lt;dd-mm-yyyy&gt;</t>
  </si>
  <si>
    <t>Planned Completion Date
&lt;dd-mm-yyyy&gt;</t>
  </si>
  <si>
    <t>Comments for OTD missed
OR
for date change</t>
  </si>
  <si>
    <t>Initial estimated efforts</t>
  </si>
  <si>
    <t>Actual Hrs</t>
  </si>
  <si>
    <t>Actual Cmpln Date
&lt;dd-mm-yyyy&gt;</t>
  </si>
  <si>
    <t>Actual L2 Sent Date</t>
  </si>
  <si>
    <t>L2 received Date</t>
  </si>
  <si>
    <t>L2 sent to</t>
  </si>
  <si>
    <t>CR/Qr Updated 
(Y/N)</t>
  </si>
  <si>
    <t xml:space="preserve">
Biz Type</t>
  </si>
  <si>
    <t>SubSystem</t>
  </si>
  <si>
    <t>Reason for delay(Red Diamond)
Applicable if release date is over</t>
  </si>
  <si>
    <t>Reason for PRCR Assignment after freeze date/ Submission deadline</t>
  </si>
  <si>
    <t>Work Packet ID</t>
  </si>
  <si>
    <t>WP Status</t>
  </si>
  <si>
    <t>Actual CCB Date</t>
  </si>
  <si>
    <t>Actual DRB date</t>
  </si>
  <si>
    <t>Planned CCB date</t>
  </si>
  <si>
    <t>Planned DRB Date</t>
  </si>
  <si>
    <t>Planned L2 Date</t>
  </si>
  <si>
    <t>Current Activity</t>
  </si>
  <si>
    <t>Reminder1 Date</t>
  </si>
  <si>
    <t>Reminder2 Date</t>
  </si>
  <si>
    <t>Reminder3 Date</t>
  </si>
  <si>
    <t>Impacted components</t>
  </si>
  <si>
    <t>Actual Estimated efforts</t>
  </si>
  <si>
    <t>Sub Activity</t>
  </si>
  <si>
    <t>DCR Type</t>
  </si>
  <si>
    <t>Complexity</t>
  </si>
  <si>
    <t>Scope</t>
  </si>
  <si>
    <t>VnV completion date</t>
  </si>
  <si>
    <t>Support Required from team</t>
  </si>
  <si>
    <t>Support Required by date</t>
  </si>
  <si>
    <t>Agreement with LOB for pushing to next release. (Yes/ No/NA)</t>
  </si>
  <si>
    <t>Expected completion Dt? (if Delayed)</t>
  </si>
  <si>
    <t>Test bench Booked (Yes/No/NA)</t>
  </si>
  <si>
    <t>Planned Quarter (Q# YYYY)</t>
  </si>
  <si>
    <t>Reasons for delay</t>
  </si>
  <si>
    <t>Mitigation Plan</t>
  </si>
  <si>
    <t>% completed till today2</t>
  </si>
  <si>
    <t>Confidence level</t>
  </si>
  <si>
    <t>PEER 
Planned date</t>
  </si>
  <si>
    <t>CCB
Planned date2</t>
  </si>
  <si>
    <t>DRB/L2
Planned date3</t>
  </si>
  <si>
    <t>OBD FORUM
PLANNED DATE</t>
  </si>
  <si>
    <t>Component Owner</t>
  </si>
  <si>
    <t>Authoring required</t>
  </si>
  <si>
    <t>Current status</t>
  </si>
  <si>
    <t>zameer shaik (au51w)</t>
  </si>
  <si>
    <t>CES CSAR 01.25.12.00</t>
  </si>
  <si>
    <t xml:space="preserve">OECS  and CSERS Diagnostics creation for IPD Heater </t>
  </si>
  <si>
    <t xml:space="preserve">Waiting for TRB_ECM testing.
Please include DOC heater CSERS </t>
  </si>
  <si>
    <t>2025 Oct - CES PFS : 17226111</t>
  </si>
  <si>
    <t>High</t>
  </si>
  <si>
    <t>Verify</t>
  </si>
  <si>
    <t>Change Request</t>
  </si>
  <si>
    <t>/CSARPL/Aftertreatment/Br001</t>
  </si>
  <si>
    <t>PFS</t>
  </si>
  <si>
    <t>CES_PFS (Owned by /C2PL/Aftertreatment)</t>
  </si>
  <si>
    <t>dmAftElecIPwrDDOCHtrPwrDgrdCSERSErr: Complete CSAR OBD MS 4-5 review for LG and Barracuda</t>
  </si>
  <si>
    <t>In Progress</t>
  </si>
  <si>
    <t>Task</t>
  </si>
  <si>
    <t>dmAftElecIPwrDSCRHtrPwrDgrdCSERSErr: Complete CSAR OBD MS 4-5 review for LG and Barracuda</t>
  </si>
  <si>
    <t>Incorrect Default value for calibration CaAftElecHtrProcChnl1FinalPwrRqstGain , CaAftElecHtrDOCHtrDsblTime, CaAftElecHtrProcChnl2FinalPwrRqstGain , CaAftElecHtrSCRHtrDsblTime- AftElecHtrProc Component</t>
  </si>
  <si>
    <t>Evaluate</t>
  </si>
  <si>
    <t>17-03 : Eval submitted
16-03 : DCR to be submitted for eval closure
13-03 : L2 review completed and sent for authoring
12-03 : DCR_18306361_L2 Review comments fixed
11-03 : Fixed peer comments, CCB completed and sent for L2 review.
09-03 : Peer review continuation and comments fixing
05-03 : reviews is in progress
04-03 : Evaluation PPT, and interface sheet updation. peer review is plan today
18-02 : Plotting is completed, working on ppt updates
17-02, 16-02 : Presnetation is ready, 
13-02 : artefacts is in progress. Plan for Peer review on Tuesday 17th Feb
12-02 : working on evalaution, PPT to be updated
11-02 : reecived confirmation from stake holders
10-02 : Awaiting confirmaiton from stake holders
09-02 : to becheck with Snehal for final conclusion</t>
  </si>
  <si>
    <t>Closed</t>
  </si>
  <si>
    <t>2026 Feb - CES PFS : 18644504</t>
  </si>
  <si>
    <t>Low</t>
  </si>
  <si>
    <t>Assess</t>
  </si>
  <si>
    <t>Defect</t>
  </si>
  <si>
    <t>AftElecHtrProc</t>
  </si>
  <si>
    <t>Snehal</t>
  </si>
  <si>
    <t>Need to removing Upshift Mode from Enum constant and analysis of multiport switch - AftElecHtrProc Component</t>
  </si>
  <si>
    <t>03-04 : call to be setup on monday with all required stake holders
02-04 : Logic addition confirmation discussion with Snehal.
01-04 : update the logoc and simulation
25-03 : Awaiitng inputs from Snehal
17-03 : Logic addition discussion with Snehal, Sheetal, swayang and updated ppt sent for Chad for review.
16-03  : call to be plan with erquired stake holders
13-03 : Discussion with snehal and chad regarding equal power distribution logic update for channel1 and channel2.
10-03 : DISCUSISON IS IN progress
09-03 : Discussed on logic deletion confirmation
06-03 : Simulation PPT completed for deletion logic
05-03 : Worked on simulation for logic deletion
04-03 : Discussion is in progress
03-03 : Working on analysis
25-02 : working on deletation logic ppt presnetation
20-02 : reecived cal tuning and analysis to be done. To be check Iram and take a call with Snehal today
19-02 :  We had a call with alex, chad, and todd. Alex has proposed for some deletion of logic
17-02, 16-02 : featuresim is in progress
13-02 : featuresim to be work and then test results to be discuss with Todd
12-02 : working on evalaution, PPT to be updated
11-02 : Received confirmaiton from Alex. Need to compare the core2 model
10-02. 09-02 : Analsysis is in progress</t>
  </si>
  <si>
    <t>On Track</t>
  </si>
  <si>
    <t>Very High</t>
  </si>
  <si>
    <t>Submit</t>
  </si>
  <si>
    <t>Implement</t>
  </si>
  <si>
    <t>06-04 : MCDC Coverage analysis
03-04  : CCB review comments to be fixed
02-04 : Fixed the CCB comments to be send for L2 review
01-04,31-03 : L2 review to be send till 4 pm
30-03  :CCB review planned today
27-03, 26-03 : MCDC Coverage increased to 62
25-03  : MCDC Coverage increased to 58.
23-03 :  Peer revew to be plan tomorrow
18-03  :Migration is in progress for code gen. Plan for Pee rreview on 24th Mar</t>
  </si>
  <si>
    <t>]</t>
  </si>
  <si>
    <t>Combined efforts are tracked on DCR 18306361</t>
  </si>
  <si>
    <t>Yet to start</t>
  </si>
  <si>
    <t>Test vectors update is needed for AftElecHtrProc component to improve coverage</t>
  </si>
  <si>
    <t>23-03 : efforts tracked under DCR_18306361</t>
  </si>
  <si>
    <t>NA</t>
  </si>
  <si>
    <t>Yashwanth Polisetti (ac06u)/Sheetal</t>
  </si>
  <si>
    <t>CES CSAR 01.26.03.00</t>
  </si>
  <si>
    <t>SCR OECS counter reset logic change for equal pass/fail criteria</t>
  </si>
  <si>
    <t>20-02 : Effrots will be tracking uncer DCR_16816828</t>
  </si>
  <si>
    <t>2025 Dec - CES PFS : 17807891</t>
  </si>
  <si>
    <t>Waiting for TRB_ECM testing.</t>
  </si>
  <si>
    <t>AftElecHtrDiag</t>
  </si>
  <si>
    <t>Yashwanth Polisetti (ac06u)/sheetal</t>
  </si>
  <si>
    <t>Addition of SysIO3Btmp in enable condition of all heater diagnostics</t>
  </si>
  <si>
    <t>Instead of using Fuel System Failure Flag directly use ppAftPartMatFiltSysInSenFailStBtmp for DOC OECS Intrusive - Ti</t>
  </si>
  <si>
    <t>CES CSAR 01.26.06.00</t>
  </si>
  <si>
    <t>Electric Heater Diagnositc For ECM</t>
  </si>
  <si>
    <t>06-04 : 40/59 diagnostics (circuit continuity) mcdc completed.
03-04 : MCDC is in progress, 10 digs are completed out 59.
02-04 : aseline covered for all diagnostic apart from resistance diag and started with MCDC (1/59) completed
01-04 : Out of 23, analysis is compeleted for 19 SC. need to work on MCDC part
30-03 : MIL test vector creation is completed for all 5 DCRs.
27-03 : calibration sheet updation completed for sys io3
26-03 : Verified DOC Intrusive Bench testing for all created DCRs as requested by Snehal and shared ppts over mail
16-03 : Test vector is completed for SCR resistance, working on reset condition 
13-03 :  One level draft completed for DOC Resistance diagnostic and started working on cal sheet for SCR resistance diagnostic
12-03 :  Worked on cal sheet and test vectors for DOC Resistance diagnostic
11-03  :Working on cal sheet for DOC Resistance diag
10-03 : Worked on test cal sheet and vector preparation for open circut diagnostic
09-03 : consolidation of interface sheet. working on V&amp;V
06-03 : Verify why baseline is failing. interface sheet changes consolidation 
26-02 : working on Appguide 18330291
25-02 : Appguide is completed for 17112723, working on other changes.
24-02, 23-02 : Appguide update in progress
20-02 : Interface sheet merging completed for 17112723, 17551019 
19-02 : working on interface sheet merging</t>
  </si>
  <si>
    <t>2026 Jan - CES PFS : 17807904</t>
  </si>
  <si>
    <t>Moved to PFS team as per Durvesh. New diagnostic requirements are attached.</t>
  </si>
  <si>
    <t>AftElecHtrDiag, Bitmap</t>
  </si>
  <si>
    <t>Heater Return Open Circuit diagnostic analysis</t>
  </si>
  <si>
    <t>06-04 : New changes discussion and certdoc 
03-04 : CCB review is in progress, Certdoc update is in progress, 2 certdoc DCR needs to updated
01-04 : CCB review plan tomorrow
30-03 : Peer review is in continuation. working on certdoc
27-03, 26-03 : Worked on migration PPT
25-03 : Migration is completed working on PPT
23-03  :MA and codegen compelted, working on polyspace
18-03 : migartion is completed for all 5 DCR completed, working on code gen and polyspace
17-03 : working on migration
16-03 : Migartion effrots will be tracked under this DCR. Working on migration
20-02 : Effrots will be tracking uncer DCR_16816828</t>
  </si>
  <si>
    <t>Yashwanth Polisetti (ac06u)</t>
  </si>
  <si>
    <t>Bench testing for Driver 1 &amp;2 diagnostics for AftElecHtrDiag component</t>
  </si>
  <si>
    <t>Medium</t>
  </si>
  <si>
    <t>Reset the Diagnostic counter when OECS &amp; CSERS diagnostics take PASS/FAIL decision</t>
  </si>
  <si>
    <t>CES CSAR 01.26.06.00 - 17473714</t>
  </si>
  <si>
    <t>Change Sdm port names in AftElecHtrDiag for Heater Power Degraded Diagnostics</t>
  </si>
  <si>
    <t>27-02 : evalaution compelted, L2 erview plan today</t>
  </si>
  <si>
    <t>Change Sdm port names in AftElecHtrIPwrDDiag for Heater Power Degraded Diagnostics</t>
  </si>
  <si>
    <t>27-02 : evalaution compelted, L2 erview plan today, Efforts tracked on DCR 18919143</t>
  </si>
  <si>
    <t>04-03 : completed the artefacts and Sent for L2 review.
03-03 : Worked on Migration (MA, Codegen, Polyspace), today planned for Peer+CCB review
02-03 : Impl in progress</t>
  </si>
  <si>
    <t xml:space="preserve">yashwanth </t>
  </si>
  <si>
    <t>CES CSAR 01.26.03.00 - 17473663</t>
  </si>
  <si>
    <t>P Diagram update to included specifics of which sensor drift/offset issues we are refering too. In this case EGTS(DPFout and SCRT1)</t>
  </si>
  <si>
    <t>04-03 : DCR to be closed today
02-3 : documentation review is completed, check-in to be taken care under impl DCR
27-02 : L2 review plan today
23-02 : Certdoc file to be check-in</t>
  </si>
  <si>
    <t>Swayangdipta sarkar (wa754)</t>
  </si>
  <si>
    <t>SPA and CSAR Models Comparison, MS4-5 Activities for CSAR DOC/SCR OECS-CSERS Diagnostic: Titanium</t>
  </si>
  <si>
    <t>Develop a new concept for DOC heater power degraded OECS diagnostic</t>
  </si>
  <si>
    <t>MS4-5: New Intrusive Concept For DOC Heater Power Degraded Diagnostic: Titanium</t>
  </si>
  <si>
    <t>16-03 : Task to be close today
11-03  :MS5 comment closure
10-03 : MS4-5 Action Item Closure
09-03 : Worked on PPT for forum. Got the MS4-5 Pass
06-03 : Forum planned for today to close the action items.
05-03 : Worked on Feature Simulation
04-03 : Simulation plots are reviewed with Todd, Hai, Dhanraj. No comments from their side. Further simulation needed in latest test cell data to close the code1 action item. Working on that today.
03-03 : Working on the Feature Simulation, Review of the plots is planned today with Todd, Hai, Dhanraj, Snehal.
02-03 : appeared for OBD forum on last friday. out of 5, 3 can be close through the documentation. 2 code 1 actions items, working on feature sim for 1 action items.
27-02 : Issue found in test cell testing, still appearing for the forum today. workign on feature sim for the provided data.
26-02 : Testing is completed, working on comments
25-02, PPT is in progress, Need a bench for testing
24-02 : working on ppt creation and addtion of snap
26-02 : working on comments. Pre OBD is planned today
23-02, Testing is in progress, working on ppt, forum 27-02
20-02 : Testing is in progress. Plan for Forum review on 27th Feb
19-02 : Proto build id ready.  testing is in progress
18-02 : Another proto build to be created. fuel system related change whether needs to consider in Q2
17-02 : Proto Build is created, working on testing.
16-02  : Build to be trigger for build
13-02 : working on proto type build, working on IDFMEA in parallel
12-02 : need to create a prototype build. Separate DCR to be raise for Ti.
11-02 : working on hex file approach. 
10-02 : issue is not resolved. PPT update is in progress.
09-02 : facing issue for fuel system failure flag.</t>
  </si>
  <si>
    <t>2025 May - CES PFS : 16332182</t>
  </si>
  <si>
    <t>Update in diagnostic multiple attempts restriction logic for DOC OECS intrusive diagnostic</t>
  </si>
  <si>
    <t>Waiting for TRB_ECM testing</t>
  </si>
  <si>
    <t>Unknown</t>
  </si>
  <si>
    <t>Update in Lookup Table based diagnostic threshold to make the DOC OECS Intrsuive diagnostic capable of detecting partial degraded heater</t>
  </si>
  <si>
    <t>sumitkumar patil (wf330)/Yashwanth</t>
  </si>
  <si>
    <t>Update the V&amp;V setup for intrusive logic related to DOC OECS diagnostics and revise the related documentation to reflect these changes for the AftElecHtrDiag component.</t>
  </si>
  <si>
    <t>02-03: DCR Closed in integrity,
27-02, 26-02 : CDS is passed, SRS, Appguide and idfmea L2 review is in progress
25-02 : Certdoc sent for CDS and L2. L2 review of other artefacts plan today
24-02 : Received conclusion from Mathew, planning to merge the changes and send it for CDS, Comment closed , Received the L2 Pass from Snehal and Component merge request raised ( sumit spend 0.5hrs)
23-02 : idfmea  CCB review is completed and send for L2 review. Certdoc to be updated and inertanlly to be discuss and send for L2 review 
20-02 : IDFMEA peer review is completed, plan for CCB review. Appguide check-in is completed.Certdoc to be cluber and setup a call on Monday
19-02 : iDFMEA updation and internal discussion, appguide guide verification with snehal and discussion with sumit regarding merge request, Sumit spend 0.5hrs)
18-02 : Application guide review is completed, Certdoc review is in progress. IDFMEA is in progress, Sumit completed L2 Review with Snehal 3 hrs spend.
17-02 : IDFMEA is in progress. Plan for internal discussion. Appguide L2 review sent. Certdoc changes to be combine,Sumit spend 7 hrs for CCB Continuation &amp; Comment closure,
16-02 : Appguide is completed and send for L2 review today. Awaiting CDS review ,Sumit spend 7 hrs for CCB Continuation
13-02 : Application guide for L2 review today. Certdoc is sent for L2 review, Sumit spend 7 hrs for CCB Continuation
12-02 : Certdoc CCB review is in progress. commnets to be fix for application, Sumit spend 6.5hrs for Peer reivew completion and CCB Continuations.
11-02 : Appguide review is In continaution, Certodc peer review is completed and comment verification is pending. 
10-02 : Peer review completed, plan for CCB review today. Peer for certdoc is plan today
09-02 : Peer review is plan today for Appguide. 
11-02:Peer continuation in progress, CCB Planned today.
10-02:Peer continuation in progress
09-02:Plotting in progress , Peer planned today
06-02:Test vector update completed, Regression and PPT Plotting in progress. Sumit spend 7 hrs. calibrations are completed. working concept diagram. pending fail part creation and recommended parameter setting
05-02 : working on calibration update. Appguide update is in progress,Sumit spend 6 hrs , Mapping completed, and migration in progess
04-02:Mapping of MIL Completed and Mapping of SIL in progress.10 test cases pending, Application guide is in progress
03-02 : working on analysis of appguide and certdoc ( yashwant spend 2 hrs, ) Sumit spend 6.5 hrs on Test vector updation, MLDTX Mapping will started soon</t>
  </si>
  <si>
    <t>sumitkumar patil (wf330)</t>
  </si>
  <si>
    <t>Titanium needs to implement the “Lamp Bulb Check” as described in CES 14606</t>
  </si>
  <si>
    <t>Cancelled</t>
  </si>
  <si>
    <t>2025 Sep - CES PFS : 17226068</t>
  </si>
  <si>
    <t>Update the V&amp;V setup for intrusive logic related to DOC OECS diagnostics of AftElecHtrDiag</t>
  </si>
  <si>
    <t>Task_NA</t>
  </si>
  <si>
    <t>Software Update for DOC heater power degraded OECS intrusive diagnostic</t>
  </si>
  <si>
    <t>SAIPD: Develop a new concept for DOC heater power degraded OECS diagnostic</t>
  </si>
  <si>
    <t>Implement_NA</t>
  </si>
  <si>
    <t>05-03:DRB Review completed.
04-03: Attended the DRB review for migration and V&amp;V, for V&amp;V snap need to replace.
03-03:V&amp;V setup initiate for the parameter description change for Special denominator.
02-03:CCB Comment closed, Migrationand V&amp;V ppt merged. Drb planned on 3rd March as per the request received from Todd
26-02:Peer continuatiion and CCB completed with Comments,DRB Planned today
25-02: Peer Completed with comments, and ccb planned today
24-02:SIL Setup completed, PPT in progress, peer planned today,
23-02:MIL Completed, Working on SIL and regression
20-02,19-02: Test vector updation in progress
V&amp;V needs to do for IPD doc INTRUSIVE CHANGES</t>
  </si>
  <si>
    <t>AftElecHtrIPwrDDiag</t>
  </si>
  <si>
    <t>Dhanraj</t>
  </si>
  <si>
    <t>Srinadh Vadlamudi (wf326)</t>
  </si>
  <si>
    <t>E-heater Stuck on error diagnostic logic update - AftElecHtrIPwrDDiag</t>
  </si>
  <si>
    <t>02-04:testing completed and ppt updation is completed. Planned internal review with lavanya on Friday (7.5 hrs)
01-04:Testing in progress with LG Build (4.11.3)
26-03: Initial analysis in progress ( 2 hrs0
20-02-2026- Testing to be started from today</t>
  </si>
  <si>
    <t>Need ability to disable aggressive SCR TM in case of aftertreatment heater failure - Creating AECD flags for Heater Failure</t>
  </si>
  <si>
    <t>Waiting for TRB_ECM testing.
Please add the following Diagnostics to the list attached 
dmAftElecDOCHtrPwrDgrdOECSErr
dmAftElecSCRHtrPwrDgrdOECSErr</t>
  </si>
  <si>
    <t>26-03:sent for L2 review( 2hrs)
25-03:PPT Updation is completed and Reviewed with lavanya and will send to L2 Review with Snehal today.
24-03,23-03:PPT in progress,
19-03:completed the testing of all diagnostics which are required. working on plotting and PPT update (0.5 hrs)
18-03:started the testing but didn't get the expected result (1.5hr)
17-03:started the testing but didn't get the expected result (1 hr)
16-03:Caltermn is working, we are not able to get the expected fault for that we connected with Kevin, he suggested one solution, we need Russel support to test today.
11-03: Calterm is not working on the bench
09-03:Calterm is not still detecting the hardware device, Michael was taking care of this issue with IT Support
06-03:alterm is installed in the bench, so we try to start the testing but calterm is not detecting the hardware. we convey the same issue with Michael. So he is working on it
05-03:worked on bench testing , downloaded xp cal files and Luis files in the bench. after that we got to know that calterm is not there in the bench. we checked same thing with Michael. he mentioned that he raised request for calterm update for new version, but that is not installed yet. once calterm is installed in the system. we will start the testing
19-02: Received bench was baracuda bench, we need Titanium bench
09-01: logs file taken for the completed diagnostic, plotting in progress,
05-02:Completed 2 diagnostic diMguWkupSigActrSTB
diMguWkupSigActrSTG, now 1 diag is pending,
04-02:Testing in progress</t>
  </si>
  <si>
    <t>Need to use XEV error bitmaps for MGU and IPD errors for SCR Thermal Management mode</t>
  </si>
  <si>
    <t>03-04:completed the testing of XEV btmp1 and btmp2, XEV btmp3 testing is pending. For that i have dependency with kevin (6.5hrs)
01-04: Done analysis on XEV bitmap 3 diagnostic.
31-03:Testing is in progress (7.5). Try to set the one of the diagnostics but need a hardware support to create fail part , need to connect with 8 step owner Bhaskar Pasupati for the breakout box, which pins we needs to change
30-03:Testing in progress
27-03:Testing is in progress (7.5) Faced issue on the bench, as the p can messages are not transmitted to ECM, Inforemd Russel on this issue, ( csar 04 with LG Build-4.11.03)
26-03:connected with swati and Bhasker. they suugested to test other diags. i will do today(2hrs)
23-03:Tried to testing in old build, same issue, we are facing, diag events are broken in 4.11.3 build. so i have to wait for new LG build release or I required Barracuda (9.1) build for testing
19-03:testing started to test this parameter ppXevAftElecSysErrBtmp1_deVal. but when i passing the fault value bitmap parameter is not updating. so for that i connected with Bhaskar Pasupuleti(8 step owner of xev diagnostics). he mentioned that diag events are broken in 4.11.3 build. so i have to wait for new LG build release or I required Barracuda (9.1) build for testing. (3.5 hrs)
18-03,17-03,16-03:Testing in progress, Connected with Abrar for data link messages input</t>
  </si>
  <si>
    <t>SAIPD: Update Required in AftDualHtrCtrlIPwrD Component for DOC heater power degraded OECS new diagnostic concept</t>
  </si>
  <si>
    <t>03-03: Check IN Completed and DCR Closed in integrity and create inspection task and assign it to prashant for DCR closure
19-02:CCB Completed with 2 comments needs confirmation and send to L2 review with Dhanraj on 19th Feb
18-02: Peer completed and CCB Planned today
17-02:Implementation artifacts completed , Peer review planned today
16-02:V&amp;V Completed, Peer is planned tomorrow
10-02:Migration completed and working on V&amp;V
09-02: Worked on appguide and model changes, appguide update is completed
06-02:Send for authoring request, will work on appguide, ( no efforts)</t>
  </si>
  <si>
    <t>HTR IPD CTRL</t>
  </si>
  <si>
    <t>Gain and offset addition to heater power for heater CSERS/OECS power degraded diagnostic Concept testing</t>
  </si>
  <si>
    <t>STATUS SAME AS DCR 18234776</t>
  </si>
  <si>
    <t>Shift the Channel 1 Gain/Offset Logic in Heater Proc after Intrsuive Heater ON logic</t>
  </si>
  <si>
    <t>16-02: Received L2 approval from Snehal and Indumathi Submitted the evaluation in integrity
05-02:Completed Peer, Ccb and send to L2 Reviw to Snehal
04-02:initial analysis completed and artifacts ready for internal review</t>
  </si>
  <si>
    <t>HTR Proc</t>
  </si>
  <si>
    <t>HCU Internal Driver Error Signal and supporting diagnostic</t>
  </si>
  <si>
    <t>20-02:Srinadh spend 3 hrs for started the 2 trip mil plotting, after that came to know that ism bitmap parameters are not mapped in
19-02: Srinadh spend 2 hrs for finding the prerequiesties for testing</t>
  </si>
  <si>
    <t>On Hold</t>
  </si>
  <si>
    <t>HC dosing still active after truck exits stationary regen due to ineffective regen detected</t>
  </si>
  <si>
    <t>20-02: Initial analysis done, then came to know that truck testing data completed by Jose and dcr to closure state</t>
  </si>
  <si>
    <t>03-02: CCB Completed and Send for L2 Review with Dhanraj
30-01: Design is changed and SRS is updated
29-01:peer Completed and discussion with Yatheesh and Andy regarding the proposal.
28-01: Initial analysis completed, Evaluation PPT Completed and Peer review planned today</t>
  </si>
  <si>
    <t>Request to implement a high eheater resistance diagnostic on SAIPD Architectures</t>
  </si>
  <si>
    <t>25-03 : test case is updated for this diag
23-03 : Test vectore creation is in progress</t>
  </si>
  <si>
    <t>Deferred</t>
  </si>
  <si>
    <t>AftElecHtrIPwrDDiag, Bitmap</t>
  </si>
  <si>
    <t>Cert Doc Error dmDOCNonMthnHydroCarbnConvEffLoErr Ph11</t>
  </si>
  <si>
    <t>25-02: Completed L2 Review and cds REVIEW Completed,DCR Closure is planned today
 24-02:Updated the Certdoc and completed the Internal reviews
23-02:Completed Analysis, Certdoc, and Completed Peer+ccb review, at the time of L2 Review with Dhanraj , Dhanraj suggested to addition of another PPport and VCond for ppNvDOCDosEffRegenActFlag_nvdVal  ( output) but for hcdosing efficiency calculation, this is coming as input.</t>
  </si>
  <si>
    <t>11-03: As per monali email received, this DCR 17119227 needs to be consided as completed and closed,
26-02: Initial analysis in progress</t>
  </si>
  <si>
    <t>shrutika shete (ac06r)</t>
  </si>
  <si>
    <t>DDP work (MS4-5) - eHTR Diag2 [second HCU]</t>
  </si>
  <si>
    <t>02-04: Regarding Htr 1 DOC OECS: regarding action item discussion is in progress. Regarding HTR2 SCR OECS testing is in progress._x000D__x000D_Roadblocks: action item solution, Htr 2 SCR OECS testing issue
01-04:Regarding Htr 1 DOC OECS: regarding action item discussion with affan is in progress.Regarding Htr 2 SCR OECS: Yesterday taken a log of mulfunction criteria but the behavior is not as per expectation, discussion about root cause analysis is in progress.
31-03:Regarding Htr1 DOC OECS: discussion on code1 action item(related to defects) is in discussion. requested DAF data to alex for another code 1. as discussed yesterday to close action items and also to avoid action items for remaining diag's need support. Regarding Htr2 SCR OECS: yesterday again did all the calibration tuning since lost it due to some issue discussed with Shravan on this on call yesterday if in future we face same issue. also worked on virtual inlet temperature update issue due to flashing issue. today will proceed with Mulfunction criteria testing, logging, plotting.
30-03: Appeared OBD Forum on 30-03: Appeared OBD Forum on HTR 1 Doc Oecs, and received code 1, 2 and 3 action, (  feature sim needs to be done for one of the coded action item 1)
27-03:regarding Htr2 SCR OECS, yesterday worked on the analysis of issue facing during testing  mulfunction criteria(set and clear condition). Issue has been resolved.Today: working on Pre OBD comments for Htr1 Doc OECS and planned forum
26-03:discussion and sent mail to snehal as per her request, sent mail to you as requested, regarding Htr2 SCR OECS, yesterday tested the mulfunction criteria(set and clear condition) and taken log but dignostics is not getting set as per requirement, analaysing the root cause.0.5hr: Organizational training:Preassesment(PPT creation with presentation)0.5hr: Support to jayant for DAF
25-03:PPT update completed for Htr1 DOC OECS(will appear for the pre OBD tomorrow), screen file creation and Testing for Htr2 SCR OECS is in progress.
24-03:PPT update for Htr2 DOC OECS, screen file creation and Testing for Htr2 SCR OECS is in progress, 0.75hr: Shrinadh's query analysis for ice suspect component
23-03: Completed the Doc OECS testing and SCR oecs testing inprogress
19-03:or Htr1 DOC OECS, verified mulfunction criteria plot with iram(inputs to add cursors and display their values), completed interface testing for abort. Todays Work:Interface testing for pause condition. will work on Iram's inputs.
18-03:blocked due to bench issue, till the time was analyzing the issue facing in interface testing by backtracing. will proceed today by referring the document shared by yashswini to resolve the issue.
17-03:taken a log and completed plotting for malfunction criteria will verify once with iram today, Interface testing for DOC OECS Heater1 is in progress.
13-03:Htr1 DOC OECS bench testing in progress, discussion about few queries with iram, taken a plot for mulfunction criteria(set/clear condition). 0.75hr:project specific training. Todays Task:will verify plot once with iram and proceed with interface testing.
12-03: or Htr1 DOC OECS DAF bench testing in progress. yesterday could able to achieve diag state to enable so will be testing the malfunction criteria today. &amp; 1hr: supported Ujjwal on DAF bench related queries.
11-03:Htr1 DOC OECS bench testing and query resolution is in progress
10-03: Heater 1 DOC OECS bench testing in progress, queries discussion with shravan, Ch1/2 Power and status parameter update,-regen parameters update-calibration tunings need to do always when i am starting with testing its in discussion with Shravan to find a way to save cal values permanantly
05-03 : for Heater 1 DOC OECS Started bench testing with Reflashing
04-3, 03-03  :VnV plotting for Htr1 Doc/Htr2 SCR OECS in progress
02-03 : V&amp;V plotting is completed for SCR OECS, working on DOC OECS plotting. Appguide needs to be confirm
27-02 : discussed with Varun about certdoc mismatch. screen file is ready for OECS. working on V&amp;V simulaiton plots that needs to included in ppt. Appguide is pending for update
26-02 : Screen file update is in progress. 
25-02 : PPT is completed for OECS for SCR and DOC. Screen file is in progress
24-02 : working on PPT for SCR OECS and screen file readiness
23-02 : IDFMEA update is complted OECS &amp; CSERS. Draft PPT update and screen file is in progress. working on OECS (SCR &amp; DOC). check for inclusion of CSERS Diag in forum review.
20-02 : working on IDFMEA updates for OECS AND CSERS for HTR diag2. working on ppt for OECS diags
19-02, 18-02 : IDFMEA is in progress
17-02 : certdoc and Appguide, Out of 22 documentation, certdoc - 9 diags and 2 new diags to be created in OBDM file. 
Appguide mismatch  - 6 diags (5 Functional and 1 cricuit continutity). 
IDFMEA  - In progress. plan to take a call with Swayangdipta by 18th Feb
16-02 : working on analysis for available artefacts
12-02 : working on analysis. Total 23 diags needs to be taken care. Diag2 15, and Diag1 - 7. To be check with Mayra for more clarity on MS 4 5 pass. which is applicable for Diag 1
11-02 : bench will ba available by 1st week of march. Analysis is in progress
10-02 : Testing to be initiated.
27-03:regarding Htr2 SCR OECS, yesterday worked on the analysis of issue facing during testing  mulfunction criteria(set and clear condition). Issue has been resolved.Today: working on Pre OBD comments for Htr1 Doc OECS and planned forum
26-03:discussion and sent mail to snehal as per her request, sent mail to you as requested, regarding Htr2 SCR OECS, yesterday tested the mulfunction criteria(set and clear condition) and taken log but dignostics is not getting set as per requirement, analaysing the root cause.0.5hr: Organizational training:Preassesment(PPT creation with presentation)0.5hr: Support to jayant for DAF
25-03:PPT update completed for Htr1 DOC OECS(will appear for the pre OBD tomorrow), screen file creation and Testing for Htr2 SCR OECS is in progress.
24-03:PPT update for Htr2 DOC OECS, screen file creation and Testing for Htr2 SCR OECS is in progress, 0.75hr: Shrinadh's query analysis for ice suspect component
23-03: Completed the Doc OECS testing and SCR oecs testing inprogress
19-03:or Htr1 DOC OECS, verified mulfunction criteria plot with iram(inputs to add cursors and display their values), completed interface testing for abort. Todays Work:Interface testing for pause condition. will work on Iram's inputs.
18-03:blocked due to bench issue, till the time was analyzing the issue facing in interface testing by backtracing. will proceed today by referring the document shared by yashswini to resolve the issue.
17-03:taken a log and completed plotting for malfunction criteria will verify once with iram today, Interface testing for DOC OECS Heater1 is in progress.
13-03:Htr1 DOC OECS bench testing in progress, discussion about few queries with iram, taken a plot for mulfunction criteria(set/clear condition). 0.75hr:project specific training. Todays Task:will verify plot once with iram and proceed with interface testing.
12-03: or Htr1 DOC OECS DAF bench testing in progress. yesterday could able to achieve diag state to enable so will be testing the malfunction criteria today. &amp; 1hr: supported Ujjwal on DAF bench related queries.
11-03:Htr1 DOC OECS bench testing and query resolution is in progress
10-03: Heater 1 DOC OECS bench testing in progress, queries discussion with shravan, Ch1/2 Power and status parameter update,-regen parameters update-calibration tunings need to do always when i am starting with testing its in discussion with Shravan to find a way to save cal values permanantly
05-03 : for Heater 1 DOC OECS Started bench testing with Reflashing
04-3, 03-03  :VnV plotting for Htr1 Doc/Htr2 SCR OECS in progress
02-03 : V&amp;V plotting is completed for SCR OECS, working on DOC OECS plotting. Appguide needs to be confirm
27-02 : discussed with Varun about certdoc mismatch. screen file is ready for OECS. working on V&amp;V simulaiton plots that needs to included in ppt. Appguide is pending for update
26-02 : Screen file update is in progress. 
25-02 : PPT is completed for OECS for SCR and DOC. Screen file is in progress
24-02 : working on PPT for SCR OECS and screen file readiness
23-02 : IDFMEA update is complted OECS &amp; CSERS. Draft PPT update and screen file is in progress. working on OECS (SCR &amp; DOC). check for inclusion of CSERS Diag in forum review.
20-02 : working on IDFMEA updates for OECS AND CSERS for HTR diag2. working on ppt for OECS diags
19-02, 18-02 : IDFMEA is in progress
17-02 : certdoc and Appguide, Out of 22 documentation, certdoc - 9 diags and 2 new diags to be created in OBDM file. 
Appguide mismatch  - 6 diags (5 Functional and 1 cricuit continutity). 
IDFMEA  - In progress. plan to take a call with Swayangdipta by 18th Feb
16-02 : working on analysis for available artefacts
12-02 : working on analysis. Total 23 diags needs to be taken care. Diag2 15, and Diag1 - 7. To be check with Mayra for more clarity on MS 4 5 pass. which is applicable for Diag 1
11-02 : bench will ba available by 1st week of march. Analysis is in progress
10-02 : Testing to be initiated.</t>
  </si>
  <si>
    <t>HTR Diag 2</t>
  </si>
  <si>
    <t>CES CSAR V002.0 01.26.03.00</t>
  </si>
  <si>
    <t>Sabre SnycUp - PM sensor Multicycle Improvement for shortkey Cycle on Sabre/Phantom 6.7 program.</t>
  </si>
  <si>
    <t>/CSARPL/Aftertreatment/VER002.0</t>
  </si>
  <si>
    <t>shradha manusmare (uz593)/Indumathi</t>
  </si>
  <si>
    <t>17-03 : worked on ppt and shared with rene
16-03  : To be discuss with Dhanraj today
10-03 : Support for IPD testing
09-03 : working on simulation
06-03 : resolution files software issue. Working on simulating the model (Support to Shradha M) 
05-03 : Tried to open the files provided by juan. Worked on Feature Simulation yesterday
04-03 : Review and discussion of IPD component, Received inputs from Juan, simuation to be done. 
03-03 : internal Reviews is in progress.
02-03 : setup a call with all required stakeholders. CCB review is plan today
27-02, 26-02 : CCB review is in progress
25-02 : Peer review is in contuination
24-02 : Peer review is in progress
23-02 : Peer review plan today.
20-02 : Completed artefacts, Plan for Peer review on Monday
18-02 : interface sheet and SRS is ready, PPT is in progress
17-02 : SRS update is in progress, inetrface sheet is in progres
16-02 : evalaution is in progress
13-02 : additional changes to be occomodate Peer review to b e plan 23rd Feb. 3 components are impacted
12-02, 11-02 : setup meeting with all required stake holders tomorrow.
10-02 : Need support from Juan to setup a call.
09-02 : Meeting is scheduled with Todd today</t>
  </si>
  <si>
    <t>shradha manusmare (uz593)</t>
  </si>
  <si>
    <t>STLA MY30 : Update AftPrProc component for STLA( Dual SCR and Dual DOC) architecture for SRS</t>
  </si>
  <si>
    <t>Please provide more details on what needs to be updated.</t>
  </si>
  <si>
    <t>Request to add high eheater resistance diagnostic on SAIPD Architectures (Component: AftElecHtrIPwrDSysIOErrsBtmp)</t>
  </si>
  <si>
    <t>AftElecHtrIPwrDSysIOErrsBtmp</t>
  </si>
  <si>
    <t>Request to implement a high eheater resistance diagnostic on SAIPD Architectures (AftDualHtrCtrlIPwrD)</t>
  </si>
  <si>
    <t>AftDualHtrCtrlIPwrD</t>
  </si>
  <si>
    <t>Shraddha T</t>
  </si>
  <si>
    <t>logic change to fix low IUPR issue for Sabre too frequent regen</t>
  </si>
  <si>
    <t>18-03 : DCR to be created for brnach CSAR
13-03  :held call with DCR creator waiting on confirmation on DCR needs to be implemented or not,DCR creator has initiated mail chain with stakeholder
11-03  :Had discussion with lavanya regarding DCR requirement ,call setup with DCR creator yu zhao
04-03 : working on analysis
25-02 : workign on presentation for requirement clarification
20-02, 19-02, 18-02, 17-02 : Initial analysis in progress ( Anushka P Gaikwad (wf298 spends 14hrs)
12-02,11-02:Initial analysis in progress</t>
  </si>
  <si>
    <t>Rejected</t>
  </si>
  <si>
    <t xml:space="preserve">Insufficient OEM1 Change for HC Doser Service Test (MY21) </t>
  </si>
  <si>
    <t>17-02 : DCR to be move to DAF team
16-02 : changes is required from OEM 1 component. 
13-02 : Analysis Is in progress</t>
  </si>
  <si>
    <t>Transferred to S/W team</t>
  </si>
  <si>
    <t>SFME DeSOx Regeneration Trigger Feature not present in the App Guide V35.50.12.00</t>
  </si>
  <si>
    <t>06-04  :submitted DCR (eval),CCB completed ,working on comments after verifying will sent for L2
02-04  : 01-04 : CCB review plan today
27-03 : Peer is completed for review. CCB to be plan 
26-03, 25-03  :Peer review is plan t0day
18-03 : Ready with all artefacts and pln for review monday
17-03 : working on calibration tuning part ,sent mail to yogesh to get NO RRB tag
16-03  : working on Appguide
13-03  :working on calibration tuning section
12-03 : working on appguide , control description for low temperature Desox trigger logic (not present in CSAR appguide)
11-03 : worked on updating input output and calibration parameter and updating control description for DESOX tactic logic feature
10-03 : working on appguide 
09-03 : working on appguide. Plan for Peer review on 18th March
03-03, 02-03, 27-02, 26-02 :updating the control description
25-02, 24-02 : working on appguides
19-02 : Analysis in progress time spent
18-02 : appguide is present in CSAR
17-02 : analysis is in progress</t>
  </si>
  <si>
    <t>Add goal of calibration tuning and tuning procedure for C_PMSC_OOR_Hi_StdBy_ErrSel_Enbl in application guide</t>
  </si>
  <si>
    <t>16-03 : Awaiitng L2 review
10-03 : Peer+CCB comments closed and verified, L2 to be senttoday
09-03 : Internal review completed, to send for L2 review
04-03 : impl in progress. Peer+CCB to be plan tomorrow
03-03 : completed working on appguide
02-03 : working on impl.</t>
  </si>
  <si>
    <t>DCR for detection of struggling DeSOx</t>
  </si>
  <si>
    <t xml:space="preserve">
26-02 : DCR is rejected in integrity
25-02 : waiting for data from Dhanraj
23-02, 20-02,  : PPT is created, awaiting confirmation from Dhanraj, might get rejected
18-02, 17-02 : Initial analysis in progress</t>
  </si>
  <si>
    <t>Updating the appguide to include flow charts for below mentioned errors</t>
  </si>
  <si>
    <t xml:space="preserve">16-03 : Check-in to be initiated.
10-03 : Peer+CCB comments closed and verified L2 sent to Meghna
09-03 : Internal review completed, sent for L2 review
05-03 : completd the docs, Peer+ccb plan
04-03, 03-03, 02-03 : working on flowcharts
27-02 : Flowcharts is in progress
26-02  : working on analysis. </t>
  </si>
  <si>
    <t>CES ATS 35.50.22.00 - 17458971</t>
  </si>
  <si>
    <t>Resolve MY27 CC 3 Step Cert Doc Errors for Dual1 and Tri1 EGTS Diags</t>
  </si>
  <si>
    <t>04-03 : DCR to be closed today
03-03 : As per discussion over call no need to make changes in OBDC file ,need to close DCR with note changes not required in OBDC file
02-03 : call setup today for clarification
27-02 : call setup on monday by Markus with Chris, 
26-02 : awaiitng inputs from Markres K for approach to follow
25-02 : workign on DCR creator, based on inputs received we might not required changes
24-02 : analysis is in progress. Looking for issue found in 3 step issue.
23-02 : analysis is completed</t>
  </si>
  <si>
    <t>23-02-2026</t>
  </si>
  <si>
    <t>Dual1 and Tri1 EGTS Diags</t>
  </si>
  <si>
    <t>sheetal Vishwakarma (wa663)</t>
  </si>
  <si>
    <t>TD7419 - DPF Filt Eff Error - Cal name not representative of use compared to Core2</t>
  </si>
  <si>
    <t>Need to updated calibration name in AftFtis65697DualElecHtrTest Component</t>
  </si>
  <si>
    <t>Dual eHTR Regen Controller not interfaced with Proc components correctly - AftElecHtrProc2 Component</t>
  </si>
  <si>
    <t>Waiting for TRB_SIL testing.</t>
  </si>
  <si>
    <t>2025 Nov - CES PFS : 17807878</t>
  </si>
  <si>
    <t>Validate</t>
  </si>
  <si>
    <t>Need to removing Upshift Mode from Enum constant - AftElecHtrProc2 Component</t>
  </si>
  <si>
    <t>SCR Htr  OECS counter reset logic change for equal pass/fail criteria</t>
  </si>
  <si>
    <t>09-03 : RRB sent, Eval to be submitted
02-03 : DRB erview is plan today
27-02 : CCB review is completed, plan for DRB review on Monday.
24-02 : CCB is in progress for today
23-02 : Peer review continuation today, CCB review plan tomorrow
19-02 : Peer review is plan today
18-02 : evaluaiton and PPT is in progress 
17-02 : Eavlaution PPT is in progress. 
16-02 : inputs to be share with alex and proceed for ppt
13-02 : received open point from Dhanraj. working on artefacts updates.
12-02 : evalaution is in progress
11-02 : working on PPT for adding the plots
10-02 : analysis is completed, as per requirement. Call to be setup with Todd, Hai
09-02 : requirements are freezed, working on simulation for evaluation</t>
  </si>
  <si>
    <t>SCR Htr  OECS counter reset logic change for equal pass/fail criteria for IPD diag</t>
  </si>
  <si>
    <t>12-02 : evalaution is in progress</t>
  </si>
  <si>
    <t>Indumathi M (wf309)</t>
  </si>
  <si>
    <t>Prathyusha Guttapalem (ag14k)</t>
  </si>
  <si>
    <t>OBDM FIM Update required - Shared calibration not defined correctly - AftPartMatSenCProtTubeMonDiag</t>
  </si>
  <si>
    <t>STATUS SAME AS 18430955</t>
  </si>
  <si>
    <t>AftPartMatSenCProtTubeMonDiag</t>
  </si>
  <si>
    <t>Yue</t>
  </si>
  <si>
    <t>18430904 / 19097469</t>
  </si>
  <si>
    <t>OBDM FIM Update required - Shared calibration not defined correctly - AftDiesOxidCatInlTmptrDiag</t>
  </si>
  <si>
    <t>STATUS SAME AS 18430955. (19097469)</t>
  </si>
  <si>
    <t>AftDiesOxidCatInlTmptrDiag</t>
  </si>
  <si>
    <t>TBD</t>
  </si>
  <si>
    <t>OBDM FIM Update required - Shared calibration not defined correctly - AftDiesOxidCatInlDltTmptrDiag</t>
  </si>
  <si>
    <t>AftDiesOxidCatInlDltTmptrDiag</t>
  </si>
  <si>
    <t>OBDM FIM Update required - Shared calibration not defined correctly - AftDiesOxidCatOverTmptrDiag</t>
  </si>
  <si>
    <t>AftDiesOxidCatOverTmptrDiag</t>
  </si>
  <si>
    <t>OBDM FIM Update required - Shared calibration not defined correctly - AftDiesOxidCatOutTmptrDiag</t>
  </si>
  <si>
    <t>AftDiesOxidCatOutTmptrDiag</t>
  </si>
  <si>
    <t>OBDM FIM Update required - Shared calibration not defined correctly - AftDiesOxidCatOutDltTmptrDiag</t>
  </si>
  <si>
    <t>AftDiesOxidCatOutDltTmptrDiag</t>
  </si>
  <si>
    <t>OBDM FIM Update required - Shared calibration not defined correctly - AftDiesPartFiltOverTmptrDiag</t>
  </si>
  <si>
    <t>AftDiesPartFiltOverTmptrDiag</t>
  </si>
  <si>
    <t>18430929 / 19097464</t>
  </si>
  <si>
    <t>OBDM FIM Update required - Shared calibration not defined correctly - AftDiesPartFiltOutTmptrDiag</t>
  </si>
  <si>
    <t>STATUS SAME AS 18430955. (19097464)</t>
  </si>
  <si>
    <t>AftDiesPartFiltOutTmptrDiag</t>
  </si>
  <si>
    <t>OBDM FIM Update required - Shared calibration not defined correctly - AftDiesPartFiltOutDltTmptrDiag</t>
  </si>
  <si>
    <t>AftDiesPartFiltOutDltTmptrDiag</t>
  </si>
  <si>
    <t>18430935 / 19163955</t>
  </si>
  <si>
    <t>OBDM FIM Update required - Shared calibration not defined correctly - AftDiesPartFiltEffDiag</t>
  </si>
  <si>
    <t>03-04:Certdoc updation in progress
02-04:Sent mail to Sushma to link OBDM submodule, Cloning, branch creation, Initial analysis in progress
01-04:started Initial analysis</t>
  </si>
  <si>
    <t>AftDiesPartFiltEffDiag</t>
  </si>
  <si>
    <t>OBDM FIM Update required - Shared calibration not defined correctly - AftDiesPartFiltInComplRegenDiag</t>
  </si>
  <si>
    <t>AftDiesPartFiltInComplRegenDiag</t>
  </si>
  <si>
    <t>OBDM FIM Update required - Shared calibration not defined correctly - AftSootFiltFrqntRegenDiag</t>
  </si>
  <si>
    <t>AftSootFiltFrqntRegenDiag</t>
  </si>
  <si>
    <t>OBDM FIM Update required - Shared calibration not defined correctly - AftDiesPartFiltEngOutSmokeDet</t>
  </si>
  <si>
    <t>AftDiesPartFiltEngOutSmokeDet</t>
  </si>
  <si>
    <t>OBDM FIM Update required - Shared calibration not defined correctly - AftPartMatSenCVoltDiag</t>
  </si>
  <si>
    <t>PMSC</t>
  </si>
  <si>
    <t>OBDM FIM Update required - Shared calibration not defined correctly - AftPartMatSenCFiltEffDiag</t>
  </si>
  <si>
    <t>i</t>
  </si>
  <si>
    <t>OBDM FIM Update required - Shared calibration not defined correctly - AftPartMatSenCHtrDiag</t>
  </si>
  <si>
    <t>OBDM FIM Update required - Shared calibration not defined correctly - AftPartMatSenCInterDigElecDiag</t>
  </si>
  <si>
    <t>OBDM FIM Update required - Shared calibration not defined correctly - AftPartMatSenCRemvlDiag</t>
  </si>
  <si>
    <t>OBDM FIM Update required - Shared calibration not defined correctly - AftPartMatSenCRatDiag</t>
  </si>
  <si>
    <t>OBDM FIM Update required - Shared calibration not defined correctly - AftPartMatSenCTmptrDiag</t>
  </si>
  <si>
    <t>OBDM FIM Update required - Shared calibration not defined correctly - AftPartMatSenCRegenDiag</t>
  </si>
  <si>
    <t>03-04: All chaitali's DCR's component is also merged &amp; sent mail for validation of CDS tasks with all commit ID details and git paths, Yet to approve OBDM merge request by Yue for 11 DCRs ,  1Hr - Training Session
02-04:Received CDS pass for all FIM DCR's of Yue &amp; Chaitali, took followup to get CDS pass, discussion with trupti, All chaitali's DCR's OBDM is merged raised request for comp, Yet to approve OBDM merge request by Yue for 11 DCRs, 1Hr -Support for Arpitha, DCR Submission, Sent for Authoring, Discussed with Yue regarding V_ parameters and sent MOM1Hr- KAP planned end date, %done and estimated effort
01-04: all 8 DCR Merge request ( 6 Yue and 2 Chaitali)pending from both, and Brenda has concern for 18430945 link report,  justification has been provided, no action required,
31-03:Created new CDS tasks as suggested by Chris for all FIM DCR's of Yue &amp; Chaitali and sent it for revisit of CDS review
30-03: Updated all Chaitali DCR and ccb completed and send for L2 with Nikhita and for all Yue DCR L2 Recevied from Yue, and send it for CDS Review.
27-03:All 12 Yue's DCRs CCB is completed with updated FIM description and sent it for L2 review to Yue.
26-03:Discussion for FIM description update, discussed over chat with Yue, Dhanraj, John, Chaitali. As confirmed reopend the completed DCRs for update. Planned for CCB continuation of all Yue DCR's (2HRS) ,Sent all 8 DCRs to Validation of CDS tasks  (1HRS) &amp; 1 hr - PSD Pre-Assessment preparation &amp; PPT
25-03:3 DCR's Comp merge request is completed, 5 DCR's OBDM is merged and raised comp merge requests (Chaitali's DCRs) Defect_18430945: Received L2 pass and sent it for CDS review,1 hr - PSD PPT preparation for Pre-Assessment
24-08:3 DCR's Comp merge request is raised, 5 DCR's OBDM merge request is raised (Chaitali's DCRs)
23-03:8 DCR of Yue completed, 2 dcr need tag and 1 dcr dependency with arpita for check in,  1 dcr needs L2 from Yue and 8 dcrs of Nikitha, 4 dcr received Cds pass and 4 dcr pending from Fransis, for CDS Review, 2 hrs spend for new creation,
19-03:2.5hrs - Sent to CDS review last 8 DCRs by attaching all reports to tasks, Sent checkin details of 10 DCR's of Yue to CDS team for validation, DCR_18430955 ready for closure yet to add L2 pass and DRB tag0.25 - DCR_19163955 submitted DCR for approval by filled all required fields4.25 - DCR_19166857 submitted DCR for approval by filled all required fields, certdoc updation in progress, 1hr- DCR data collection for KRA
18-03:Received L2 Pass for chaithali 8 DCR, need to send to CDS Reviews, and Send 1 dcr to yue for L2 Review. 6 hrs spend and 1.5 hrs spend foe new DCR 19166857,
17-03:2hrs - Last 8 DCR's CCB continuation, artefacts preparation, worked on comment regarding "failed" in impl checklist, Yue's DCR_18430945 Peer review, preparation of artefacts1.5hrs Actual efforts spent discussion with managers &amp; sindhu0.5hrs- Work packages creation for all 8 chaitali's DCR's1hr- DCR_19163955: Sent mail to Sushma for OBDM folder creation on GIT - Connected wit Balraj to discuss on active branch creation - replied to sushma with update, Added required tags by manager, Sent Mail to Yogesh for No RRB.3.5hr- DCR_19166857: Sent mail to Sushma for OBDM folder creation on GIT - Connected wit Balraj to discuss on active branch creation - replied to sushma with update, Added required tags by manager, Sent Mail to Yogesh for No RRB, Cloned component, Certdoc Initial creation analysis in progress
16-03: peer continuation of last 8 DCR,s , CCB will be continuation today. and 4 DCR's Component merge request completed, and  Remaining 6 Yue needs to approve component merge request, Last 8 DCR send to L2 to Nikhita Ediga, 
13-03:Peer review for last 8 DCR's, Prepared all artefacts for peer review of 8 DCR's, added entry for peer continuation, CCB entry is added, worked on Defect_18430945, generated all required reports, Received CDS L2 pass for 7 DCR's, raised OBDM merge request for 7 DCR's, OBDM is merged for 3 DCR's till now, raised comp merge for the same 3 DCR's, 0.75hr- Lavanya's KT session
12-03:Completed last 8 DCR's (along with 2 new DCR's) of Chaitali, Planned for peer review, Submitted 2 new DCR's for approval, Filled required checklists for review, sent mail for No RRB tag, received CDS L2 pass for 18430944, 18430943, raised OBDM merge request for the same.
11-03: 6 hrs worked on FIM DCR's, 11 DCR received L2 Comment from Yue on 10th March and send to CDS Review,
10-03:Rework for 1st set of 6 CR's due to latest FIM update, Planned for CCB continuation for 1st set of 6 CR's, One New Yue's DCR_18430945 updated which was rejected before
09-03: 2nd set of 5 dcr's with latest FIM Strategy with Disucssing with Mathew and verified with Swayang, and send it for L2 Review with Yue. 4 DCR we are in discussion.
06-03:1hr- CCB Continuation for 2nd set of 5 DCR's7hrs- Rework did for 2nd set of 5 DCR's due to FIM implementation update, Discussion with Aditya and Matthew regarding error in 8 Step due to latest FIM update.
05-03: 1hr- CCB review completed for 2nd set of 5 DCR's1hr- Discussed with Nikhitha Ediga regarding 2 DCR's rejection over teams call, submitted Defect_18430929_18430904 for rejection5hrs- Updation in progress for last set of 6 DCR's
04-03: Peer completed for another 6 DCR, with no comments, and CCB planned today. and another 6 set of DCR initial analysis in progress
03-03:CCB Completed and received comments for tag, and Send to L2 review with Yue on 02nd March and and another 6 dcr's going for peer today.
02-03:Peer reiew completed and CCB planned today for first 6 set of DCR'S and worked on another 6 DCR's analysis in progress
27-02: CDS Task created for 6 DCR's and filled all the checklist for peer review, and started working for 7th DCR's. Peer review is planned today
26-02:Updated the 6 OBDM Files, awaiting doc gen report from Sheetal, Peer planned tomorrow
09-02:Send email to Yogesh for No RRb and have send email to Dhanraj and Yue for OBDM Folders not present in GIT Folders.
06-02: Cloned all components and analysed the requirements of DCR's and update the  DD Matix of all DCR'S</t>
  </si>
  <si>
    <t>FIx to resolve dmDiesPartFiltOutPrSenHiRatErr Referencing Non-OBD Error in cert doc since ages</t>
  </si>
  <si>
    <t>Please attach CertDoc report and the current verion of CertDoc being used.</t>
  </si>
  <si>
    <t>16-03: All DCR Artifacts completed, DCR Submitted for closure in integity
13-03:Checkin is completed, sent mail to charlie with checkin details, validation is passed
12-03:Received L2 pass, Sent to CDS review with update reports attached to task, Received CDS L2 pass.
11-03: Peer+CCB Compelted with No comments and send to L2 with Dhanraj on 10th March.
10-03:Generated all required reports, Created CDS task, Sent mail for Doc Gen error report to sheetal, filled required checklists for review, Added entry for Peer+CCB Review
09-03:Observed the description changes the in the model and please match with core 2 obdm, as per dhanraj, Discussed with Dhanraj and Charlie and Chris for this and send MOM with approved changes.
04-03:Discussed the changes with Lynd and need to send all the documents to 3step, 8 step documents genrated, need to send to Lynd to cross verify.
25-02:Updated 2 copies of certdoc and updated the conditions and discusions with Indumathi, Yashwant, sowjanya and sheetal regarding the conditions, submitted DCR for approval.
23-02: Mail send for No RRb,Fill the newly DD matrix form, Discussed the logic Certdoc abort conditions, with Yashwant
20-02: Understand about the validation errors needs to update, need to update the remaining plausible conditions
19-02:Recheck the abort conditions and discussion with Indu and Yashwant, Certdoc needs an update, Needs to connect with Dhanraj as mentioned by Lavanya for validation error.
05-02: Discussed with Lynd Nkodia and She wants Dhanraj needs to present, meeting rescheduled
04-02,03-02: Initial analysis in progress, this dcr may be rejected, Awaiting inputs from DCR Creator from Lynnd S Nkodia</t>
  </si>
  <si>
    <t>AftOperModeMgr: Please Create Missing Application Guide(s)</t>
  </si>
  <si>
    <t>AftOperModeMgr</t>
  </si>
  <si>
    <t>Swapnil</t>
  </si>
  <si>
    <t>Omkar A Shinde (sz417)</t>
  </si>
  <si>
    <t>Need change in AftDiesOxidCatHCDosEffCalc component for the strategy developed under  DCR_13477734</t>
  </si>
  <si>
    <t>Nileema Pailwan (mt618)</t>
  </si>
  <si>
    <t>CSAR Regen Pause during DEF pump initialization period</t>
  </si>
  <si>
    <t>Branched from Br35 per USOnHwy request</t>
  </si>
  <si>
    <t>Approved</t>
  </si>
  <si>
    <t>Update energy controller appguide as per CES format and missing requirements.</t>
  </si>
  <si>
    <t>/C2PL/Aftertreatment/Br35.5x</t>
  </si>
  <si>
    <t>PM sensor MC documentation Update</t>
  </si>
  <si>
    <t>RRB Pass</t>
  </si>
  <si>
    <t>Appguide creation for "AftSCRAInTmptrProc" component</t>
  </si>
  <si>
    <t>Sync Up Migration to add "V_ATD_bs_MidNOx_Errs" and "V_MidNOx_ppm_PreClamp_NOx_Filt" in "AftMidNOxSen" component as global output</t>
  </si>
  <si>
    <t>Interface sheet creation for AftSCRAClsLoopDiag and AftSCRATmptrTampDiag</t>
  </si>
  <si>
    <t xml:space="preserve">CSAR Sync up: UQM OBDC development </t>
  </si>
  <si>
    <t>Transparency check complete
Branched from Br35</t>
  </si>
  <si>
    <t xml:space="preserve">AftDiesOxidCatCSERSAgrsvDiag:  Create missing CertDoc and review attached ppt for any other issue </t>
  </si>
  <si>
    <t>Spillover from Q2 SOW</t>
  </si>
  <si>
    <t xml:space="preserve">Create Application Guide for AftPartMatSenCErrsBtmp2 </t>
  </si>
  <si>
    <t>Transparency check complete</t>
  </si>
  <si>
    <t>2024 May - CES_CSAR_CTCI : 13536760</t>
  </si>
  <si>
    <t>Create Application Guide for AftPartMatSenCErrsBtmp</t>
  </si>
  <si>
    <t>Create Application Guide for AftPartFiltSysPerfErrsBtmp1</t>
  </si>
  <si>
    <t xml:space="preserve">CSAR Sync - Up: New Setting Strategy Non-mission Regen </t>
  </si>
  <si>
    <t>Please attach DD Decision Matrix tool
Transparency check complete</t>
  </si>
  <si>
    <t>2024 Nov - CES PFS : 15090662</t>
  </si>
  <si>
    <t>ISMs needed for AftDiesOxidCatCSERSAgrsvDiag component</t>
  </si>
  <si>
    <t xml:space="preserve">CSAR - Documentation Update for AftDiesPartFiltOutPrRatDiag component </t>
  </si>
  <si>
    <t>Develop heater replacement logic for DOC and SCR heater</t>
  </si>
  <si>
    <t>The capability data is present in R connectIsmAftDiesPartFiltOutPrRatDiagOutPHiLog but no data is coming up</t>
  </si>
  <si>
    <t>The capability data is present in R connectIsmAftDiesPartFiltDltPrRatDiagHiLog  but no data is coming up</t>
  </si>
  <si>
    <t>2024 Sep - CES PFS : 14702743</t>
  </si>
  <si>
    <t>ISMs need to be implement and Update iDFMEA for High temperature Mode request in AftPartFiltSysPasvDestAsstProc component</t>
  </si>
  <si>
    <t>AftDiesPartFiltDltPrRatDiag :: Update SRS and create iDFMEA Document</t>
  </si>
  <si>
    <t>afthcdfmdiag: critical orange check and bug finder checks reported in polyspace</t>
  </si>
  <si>
    <t>MS5 revisit for DTR implementation for  dmDiesOxidCatInTmptrIRLErr diagnostics.</t>
  </si>
  <si>
    <t>2024 Nov - CES_SCR : 15082083</t>
  </si>
  <si>
    <t>Assigned</t>
  </si>
  <si>
    <t>MS5 revisit for DTR implementation for  dmDiesOxidCatInTmptrSenDltIRErr diagnostics.</t>
  </si>
  <si>
    <t>MS5 revisit for DTR implementation for  dmDiesOxidCatOutTmptrIRLErr diagnostics.</t>
  </si>
  <si>
    <t>MS5 revisit for DTR implementation for  dmDOCOutTmptrKeyOnIRLErr  diagnostics.</t>
  </si>
  <si>
    <t>MCDC Coverage improvements for AftDiesOxidCatCSERSAgrsvDiag component</t>
  </si>
  <si>
    <t>Need the DD Decision Matrix tool attached before approval can be provided. Also need "Change Reason and Difficulty filled out.</t>
  </si>
  <si>
    <t>Need to fix open port in AftElecHtrParamDet</t>
  </si>
  <si>
    <t>Develop heater replacement logic for DOC and SCR heater for IPD</t>
  </si>
  <si>
    <t>Please provide detailed requirements and problem description.</t>
  </si>
  <si>
    <t>Need to create pp pp port for "ppDOCTmptrPIDCtrlSlipUsedUpErrFIMInfo.deVal "</t>
  </si>
  <si>
    <t>OEM needs to have DOC CSERS monitor 'dmAftElecDOCHtrPwrDgrdCSERSErr'</t>
  </si>
  <si>
    <t>CSAR::Documentation Improvement For AftElecHtrProc and AftElecHtrProc2 Components.</t>
  </si>
  <si>
    <t>Move from abort condition (Rate of change of Heater Inlet Temp) to Pause condition - OECS/CSERS Diagnostics</t>
  </si>
  <si>
    <t>Differentiate the CSERS mode detection conditions for diagnostic enable logic and denominator logic</t>
  </si>
  <si>
    <t xml:space="preserve">VNV Execution for AftElecHtrDiag </t>
  </si>
  <si>
    <t>Manswi</t>
  </si>
  <si>
    <t>AftPartFiltRegenProc: Update Component Interface sheet for full parameter description coverage and Update code generated a2l for ISM-Override objects with long identifiers using interface sheet descriptions</t>
  </si>
  <si>
    <t>01-04: Remigration done due to old csar utility send for L2,
31-03:CCB completed 0.5 hr
19-03:Discussed and received confirmation from Renuka regarding Polyspace issue, creation of task for MBD team, CCB completed 7 hrs
18-03: jayant spend 2 hrs for discussion with software team for polyspace issues. manswi spend 3 hrs for artifacts ready,
17-03:Requirement mappings, Vnv Completed. 6hrs
16-03: Working on additional changes as per the information received from Yue, Migration completed and working on Requirement mapping
13-03:Estimation Sheet for the defect, analysis completed and sent the interface sheet for L2.  L2 approved, today starting implementation
04-03:Rework on migration completed, MA CODEGEN, POLYSPACE 
03-03: Send for interface sheet L2 Reverification review with Yue on 03rd March.
02-03: worked onthe L2 Review comment and discussed with Harshal on comment received ( description needs to be corrected for 2 ISM Signals to add Volumetric flow),, and resent it for reverification
26-02:Pushed the artifacts in Git and again need to do MA polyspace code gen
25-02: Completed the PPT &amp; Report Generation.
24-02: Discussed with Harshal for L2 Review and with support of Harshal Send for L2 Review with Yue.
23-02: CCB Completed and Impl Completed Planning to send L2 Review today
20-02,19-02:Impl in progress
18-02:Impl started, Peer review planned today for interface sheet
17-02:Interface sheet migration completed, SLDD Update completed,
13-02:Initial analysis in progress</t>
  </si>
  <si>
    <t>AftPartFiltRegenProc</t>
  </si>
  <si>
    <t>03/18/2026
3/5/2026</t>
  </si>
  <si>
    <t>AftPartFiltRegenProc: Update application guide(s) of component to provide complete parameter object description coverage, parameter usage specification and to update information per missing sections of application guide template</t>
  </si>
  <si>
    <t>01-04: ccb compelted and send for L2 Review
31-03:CCB in progress 2.5 hr
30-03:Comments resolution 4.5 hrs
27-03:CCB in progress 2.5 hrs, worked on comment verification 3.5 hrs
26-03:Model Mapping with interface sheet 2.5 hr
25-03:model mapping with AppGuide 7hrs
24-03: CCB in progress, 1 hr
23-03:Appguide completed and updated all visio diagrams, Planned CCB Schedule today.
18-03: Appguide enable conditions checking in progress.
17-03:Model Mapping with Appguide 2hrs
13-03:calibrations discrepancies resolved, appguide in process 
12-03:working on calibration tuning discrepancies,
10-03:Discussion on analysis with Harshal
09-03: Analysis needs to be done for the SRS, Interface and  appguide.
04-03:Migration completed, Manually updated, ISM , Overrides and IRV
03-03,02-03: worked on DCR 18528281 Incorrect Value for Deep Clean in Application Guide , for 5 hrs on 2nd Mar and 3 hrs on 3rd Mar
27-07:Errors are not able to resolve by software team, Software team is working on this error,
26-02:Heading of Diagnostic error is showing at the time of migration, Discussion on this error with software team is ongoing
18-02:migration completed
17-02:Appguide migration in progress
16-02:Initial analysis in progress</t>
  </si>
  <si>
    <t>13-02:Initial analysis in progress</t>
  </si>
  <si>
    <t>AftDiesPartFiltDPSLEProc: Update Component Interface sheet for full parameter description coverage and Update code generated a2l for ISM-Override objects with long identifiers using interface sheet descriptions</t>
  </si>
  <si>
    <t>02-04:CCB completed and discussions 1 hr
24-03:Initial analysis &amp; Interface sheet update completed, 6 hr, KPIT Training session: 1 hr
25-02:Analysis completed. ( branch is open at Dudi Jagadeesh)
24-02:Initial analysis in progress</t>
  </si>
  <si>
    <t>AftDiesPartFiltDPSLEProc</t>
  </si>
  <si>
    <t>AftDiesPartFiltDPSLEProc: Update application guide(s) of component to provide complete parameter object description coverage, parameter usage specification and to update information per missing sections of application guide template</t>
  </si>
  <si>
    <t>03-04:application guide in progress  (2 hr), training session 1 hr, Discussion 1 hr
02-04:Application guide update in progress
01-04:Initial analysis in progress</t>
  </si>
  <si>
    <t>AftSootBasedRegenTrigProc : Update application guide(s) of component to provide complete parameter object description coverage, parameter usage specification and to update information per missing sections of application guide template</t>
  </si>
  <si>
    <t>03-04:application guide in progress 5.5 hr
02-04,01-04:Application guide update in progress
31-03:AppGuide in progress 4.5 hrs
30-03:initial analysis completed 2.5 hrs,PSD training: 1.5 hr
27-03:initial analysis 2 hrs
26-03:Initial analysis in progress for AppGuide 3 hr, PFS knowledge sharing session 0.5 hr
11-03: Initial analysis in progress</t>
  </si>
  <si>
    <r>
      <rPr>
        <sz val="11"/>
        <color rgb="FF000000"/>
        <rFont val="Calibri"/>
        <family val="2"/>
      </rPr>
      <t xml:space="preserve">04/16/2026
</t>
    </r>
    <r>
      <rPr>
        <strike/>
        <sz val="11"/>
        <color rgb="FF000000"/>
        <rFont val="Calibri"/>
        <family val="2"/>
      </rPr>
      <t>4/14/2026</t>
    </r>
  </si>
  <si>
    <t>AftSootBasedRegenTrigProc</t>
  </si>
  <si>
    <t>AftSootBasedRegenTrigProc: Update Component Interface sheet for full parameter description coverage and Update code generated a2l for ISM-Override objects with long identifiers using interface sheet descriptions</t>
  </si>
  <si>
    <t>26-03:Submitted DCR for In Progress State, Sent mail for authoring request 1 hr
16-03:Completed CCB Review and send for Interface sheet L2 Review with Yue on 13th March
13-03: received confirmation from Yue for interface sheet changes, planned CCB today, Lavanya's Training session - 45 mins
12-03:discussion on the interface sheet changes, sent mail to Yue for changes confirmation, CCB is in progress
10-03: Peer Completed, Updation of review artifacts, analysis
09-03: Peer completed, and working On Peer review comments and peer continuation planned today
03-03:Interface sheet completed, Peer entry for today</t>
  </si>
  <si>
    <t>AftOpModePrmt: Update application guide(s) of component to provide complete parameter object description coverage, parameter usage specification and to update information per missing sections of application guide template</t>
  </si>
  <si>
    <t>AftOpModePrmt</t>
  </si>
  <si>
    <t>AftOpModePrmt: Update Component Interface sheet for full parameter description coverage and Update code generated a2l for ISM-Override objects with long identifiers using interface sheet descriptions</t>
  </si>
  <si>
    <t>CSAR Migration for DpfMissingIcingSuspect</t>
  </si>
  <si>
    <t>31-03:Evaluation DCR submitted in Integrity
25-03:Raise a new request for EDL Parameters, RRB Review needs to be done , Trb tags needs to add for both components from Dhanraj and Yue Cao.
19-03:updated the interface sheet and eval ppt according to DRB review discussion and sent for verification (3.5hrs)
18-03:DRB Review completed and received action items to work.
17-03:Updated the eval artefacts , DRB Review planned today
16-03: DRB Review with Dhanraj,
13-03:updated the evaluation artifacts and verified with Lavanya . sent for L2 review. (7 hrs)meeting is setup for online review with Dhanraj
12-03:completed ccb review and sent for L2 review(4 hrs)
11-03:Peer Completed with no comments, CCB planned today.
10-03:worked on Evaluation ppt and updated the Interface sheet, SRS and iDFMEA for AftDPFMissDiag Component. Peer review entry is added, Varun supported 4 hrs for Interface sheet migration
09-03:Interface sheet update completed, SRS and Eval PPT in progress, It is impacting another componet ( DPF Missing Diag) we need to take care of this, after discussion with Dhanraj, DMID Needs to create, ( needs to discuss with Swayang, and Lavanya) may be not need to create DMID.
06-03,05-03,04-03,03-03:Interface sheet update in progress
02-03:Initial analysis compelted and interface sheet update in progress 17.1 Old version
27-02: Jayant spend 20 hrs till now and handover to Srinadh to further work on it
26-02:Analysis completed
25-02:Initial analysis in progress
24-02:Initial analysis in progress ( Interface sheet is old 3 Version)</t>
  </si>
  <si>
    <t>jayant patil (wl795)</t>
  </si>
  <si>
    <t>Reset the Diagnostic counter when OECS &amp; CSERS diagnostics take PASS/FAIL decision for AftElecHtr2Diag</t>
  </si>
  <si>
    <t>13-03:DCR closure in integrity (1 hrs)
12-03:L2 Review and Discussion and  sending for RRB
06-03:CCB Review completed also Comment closure &amp; Sending for L2
05-03:CCB review in progress.
04-03:CCB in continuation and idfmea needs to update.
03-03:Peer completed with Comments for updating SRS.
02-03:working on artifacts, Eval ppt, Srs and Peer planned today
27-02:Interface sheet completed and start the evaluation PPT
24-02: Discussed with Snehal regarding the Concept PPT and send email to Alex for confirmation.
23-02: csers test vector update in progress
21-02:Analysis ppt completed and send to Snehal to Review,
20-02:Analysis PPT Completed, Adding Plotting in PPT for the non intrusive logic.
19-02: Analysis in progress, Missing requirements 6 ( 3 ism implementation and non intrustive logic missing from DOC &amp; SCR &amp; 1 power and gain offset missing) 
18-02:Initial analysis in progress ( Scope yet to defined) need to do add the logic which are present in eheaterdiag1)</t>
  </si>
  <si>
    <t>AftElecHtr2Diag</t>
  </si>
  <si>
    <t>DDP work for MS5 is for the dmDOCSbtrMissErr in the AftDiesOxidCatPresDiag component.</t>
  </si>
  <si>
    <t>01-04: Testing in progress, ( EWMA FIR is completed) and 3 statergy testing is pending (EWMA RR and Alt Mil RR and FIR)
31-03:Working on screen file- Until EWMA ( RR &amp; FIR ) is completed
30-03 Working on screen file- Until EWMA ( RR &amp; FIR ) is completed. ( issue faced= even after RR disabled, still it is working)
27-03:Working on screen file -8 hrs
26-03:working on the screen file (8 hrs) , Organizational training: Preassesment (PPT creation with presentation) (0.5)scrum meeting (0.25 hrs)
10-03:worked on the screen file preparation and model analysis and have taken KT from Iram regarding the DAF bench
09-03:Initial analysis in progress</t>
  </si>
  <si>
    <t>AftDiesOxidCatPresDiag</t>
  </si>
  <si>
    <t>03-04:working on the VnV and PPT creation (7.5 hrs) , Support for Manswi regarding the application guide (0.5 hours)
02-04:Test vector updatation is completed (8 hrs)
30-03:Test vector updating in progress, Reminder email to send for VTT updated to chintamani pujari
25-03:Test vector updating in progress
24-03:working on the Remigration and test vector updating (7 hr)
23-03:Test vector updating in progress
18-03:Test vector updating in progress
17-03:Migration step is completed (MA,Polyspace,Gode gen) working on the Test vector updatation. 8hrs
16-03:Model Migration, MA polyspace and codegen inprogress
13-03:working on the Model changes and RCA discussion with Rohit chavan , Lavanya KT Session - 0.75 hrs
12-03:branch creation and Sending for authoring request &amp; RCA KT Session - 0.5hrPFS Connect-0.5hr
10-03: Appguide changes in progress, for Visio need support.
09-03: Checked the Certdoc and observed no change in Certdoc.
06-03:working on the Test Vector
05-03:working on the test vector updatation and Discussion with snehal regarding AECD and RPN number.
04-03, Test vector update in progress, certdoc needs to work for the new logic
03-03:Test vector update in progress</t>
  </si>
  <si>
    <t>iram nazneen (wa667)/Shradha M/Atul G</t>
  </si>
  <si>
    <t>dmAftElecIPwrDSCRHtrPwrDgrdOECSErr: Complete CSAR OBD MS 4-5 review for LG and Barracuda</t>
  </si>
  <si>
    <t>24-02 : CDS is approved, Awaiting L2 review comments
23-02 : working on coded action items. plan to send for review today for offline
18-02 : Actions items are closed, to be plan for forum review. Awaiitng Certdoc updates
17-02 : Out of 7 action items, 5 AI's fixed, Remaining 2, 1 pause condition plotting is in progress. and certdoc sent for CDS review.
16-02 : certdoc needs to be updated for bitmap.Need to work on action item
13-02 : ppt is updated, plan for forum review today. MIL plotting will be added. Pre OBD and L2 review is compeletd. Certdoc CDS is passed. MIL plots is pending. 
12-02 : plotting is in progress, feature sim is in progress. Plotting will be completed till 2 pm. Certdoc/Appguide  L2 review is in progress
11-02 : 4 signals are remaining. (60%). working on cal tuning as a part of feature sim. Awaiitng CDS and Appguide L2 review
10-02 : interface testing is in progress. Feature sim is in progress and completed 60%. Out of 10 signals, 5 signals are compelted(50%). Appguide is sent for L2 review. Certdoc sent for L2 review today
09-02 : feature sim is in progress. 2 Trip plotting is completed. Working on inetrface testing
09-02  : Certdoc to be send for L2 review today</t>
  </si>
  <si>
    <t>HTR IPD Diag</t>
  </si>
  <si>
    <t>iram nazneen (wa667)</t>
  </si>
  <si>
    <t>DDP work - HC Doser Diags</t>
  </si>
  <si>
    <t>02-04: 7 hr Bench testing , _x000D_1 hr Review_x000D_, 30 min DAF bench support , _x000D_30 min New team member support.
01-04: 5 hr Screen file creation , 1 hr Review, 2 hr DAF bench support , 1 hr New team member support , 1 hr Feature sim Discussion and testing.
31-03: 5 hr PPT creation,3 hr Feature sim testing and Discussion with Dhanraj, Alex and Yue. As per the confirmation with Alex, software changes will be required based on Yue's Evaluation, 1 hr Review, 1 hr DAF bench support.
30-03: 6.5 hr PPT creation , 1.5 hr Review30 min DAF bench support
26-03:5.5 hr FeatureSim,2.5 hr Review30 min DAF bench support ( 19th march efforts)
19-03:5.5 hr FeatureSim, I have shown the plots the Dhanraj, but the discussion was not very conclusive. Today I need to take some other plots for further discussion.
18-03:4.5 hr FeatureSim
17-03:4.5 hr. Screen file creation on DAF bench3 hr FeatureSimToday I will Focus on feature sim to take plots which needs to be shown to Dhanraj today
16-03:worked on feature simulation for fuel restrict diagnostic
13-03:worked on feature simulation for fuel restrict diagnostic, 2 hr Review0.75 Hr KT Session30 min DAF bench support
12-03:Worked on feature simulation for Fuel restrict diagnostic., 2.5: hr Review (got assigned with 2 CCB and 1 peer review)1: Hr KT Session30 min: DAF bench support
11-03:Worked on feature simulation for Fuel restrict diagnostic.
10-03:worked on feature simulation for Fuel restrict diagnostic. I informed Dhanraj yesterday that this method is taking more time
09-03: Powerdown strategy if it taking lot of time, then not to spend on it as per Dhanraj, To discuss with Dhanraj, 
05-03 : Worked on Feature Simulation, Will be working on feature sim and plotting. Need to show the plots to Dhanraj and then will decide if the powerdown approach is fine or not
04-03 : Working on powerdown logic in featureSim, connected with Dhanraj yesterday to told him the status. He suggested to try to work with this approach for 2 days and if it take more time then no need to spend time with this approach. We will have to find another way to debug the issue
03-03 : FeatureSim for Fuel restrict diag with powerdown logic implementation is in progress
02-03 : plotting is in progress, disucsison plan with Lavanya today
27-02, 26-02 : discussed with Lavanya, Power down needs to be added in simualation. setup creation is in progress for Powedown. plan to complete it by tomorrow
25-02, 23-02 : setup is completed, wroking on simulaiton. Plan plots to be taken and discuss with Dhanraj in tomorrows call
20-02 : setup creation with inclusion of bitmap is in progress. To be completed today
19-02 : I have started working on feature sim for Fuel restrict diag for which I need to include bitmap component as well in the setup.</t>
  </si>
  <si>
    <t>dmHCDosDFSOVSwapErr: Complete CSAR OBD MS4-5 review</t>
  </si>
  <si>
    <t>dmHCDosFuelRstrcErr: Complete CSAR OBD MS4-5 review</t>
  </si>
  <si>
    <t>HC Doser</t>
  </si>
  <si>
    <t>dmHydroCarbnDosCompnUsedUpErr: Complete CSAR OBD MS4-5 review</t>
  </si>
  <si>
    <t>dmHCDosFSOVOrifPlgErr: Complete CSAR OBD MS4-5 review</t>
  </si>
  <si>
    <t>CertDoc update for HC Doser Fuel restrict diagnostic</t>
  </si>
  <si>
    <t>Need Total Estimated Efforts, Appropriate Review Tags, Commit Date, Change Reason, and Difficulty. Then resubmit for approval.</t>
  </si>
  <si>
    <t>Indumathi M (wf309)/sheetal/Vishnupriya</t>
  </si>
  <si>
    <t>CSAR:CertDOC analysis required for phase2 requirement</t>
  </si>
  <si>
    <t>18-03 : initaite the request with Akash.
16-03 : merrge request in progress (2). 
10-03 : Checking for CertDOC and review
09-03 : 2 Pending for Certdoc
02-03 : 9 DCRs closed from Indumathi. Out of 4 DCRs, 3 DCRs - 1 DCRs checked-in, 1 DCR will be club with Sindhu. 2 DCRs to be send for veifircation today. Out 7 DCRs, 6 check-in is completed, 1 is with Balraj for check-in
27-02 : 4 component, 1 check-in is completed, Need to close the DCR. 1 component L2/CDS passed, check-in is in hold. 2 component L2/CDS reviews are in progress
26-02 : DCR to be closed in integrity. 7 components ready for check-in
24-02 : I - check-in completed for 9 components. out of 4, 2 are passed CDS and L2 review. 2 received comments, to be fix the comments and send for L2 verification
23-02 : I - completed, check-in for 3 components. 6 components check-in is progress. S - 2 certdoc check-in is in progress. 2 awaiting L2 review
20-02 : I - 9 components review is completed. check-in to be proceed
25-02 : DCRs closure is in progress. 7 component 
18-02 : I - Certdoc review is completed for 2. 2 components are pending
17-02, 16-02 : 2 certdoc plannijg to send it today
13-02 : I - out of 10, 5 are completed for review pass.  V- Out of 7, none of the component is passed yet. S - out 4, 2 sent it for L2 review
12-02 : needs to work on certdoc. to be send for L2 verification tomorrow
11-02 : To be check with CDS team for Yues query for rest 2 component. Total (10+7+2) sent for L2 review. 
10-02 : 4 components are pending to be send for L2 review. 2 certdoc are ready for review. And 2 remaining from awaiting confirmaiton from Yue.
09-02 : CCB review verifiaction to be done and to be send for L2/cds review today. All the certdoc will be sent for L2 review today</t>
  </si>
  <si>
    <t>Multiple impacted components</t>
  </si>
  <si>
    <t>Since last active regen interval resets outside of a regen due to AftOperModeMgr.ppAftOpModeMgrCtrlCmd.deStruct.RegenRqstID not reseting after a regen</t>
  </si>
  <si>
    <t>AftDualHtrCtrlIPwrD : Implementation DCR for SA-IPD changes for heater service test.</t>
  </si>
  <si>
    <t>23-03:Power request signal coming from XEV team is resolved with Pcan explorer and one more blocker is coming doc disable and scr disable flag,( sysio bitmap), Flag of the doc disable is not setting on baracode 8.4.need to check for 8.5
13-03:Working on PCAN‑Explorer to understand the tool in detail and explore its features.Also analyzing and attempting to manipulate the power‑request signal for testing purposes.,Peer Review Observer- 1hrJoined the Peer+CCB meeting for Swayangdipta evaluation - 1 hrLavanyas KT Session - 45 min
12-03:worked on the bench‑test plots for the DCR and updated the ppt accordingly. Included observations, test behavior  &amp; Collected the required information from Atul related to the proto‑build activities.  – 4 hrsJoined the peer + CCB meeting for Swayangdipta’s evaluation – 30 min
11-03:worked on the workaround to work on test the service test inputs with overrides, Dhanraj suggested to check the overrides power calculations,
10-03:Discussion and Screen file creation,Worked on SA-IPD dual heater service test bench testing using power request override. Blocker: Trying to manipulate the ppAftDualElecHtrTestDOCDsbl_deVal input using a PCAN message, but the value is not updating on the bench.
09-03:Screen file creation, for power related input, Power is coming as "0". debugging on this issue right now.
06-03:working on Screen file creation.
05-03:Took bench access from Russell and back‑traced the required parameters for the screen file.
04-03: Bench discussion and analysis</t>
  </si>
  <si>
    <t>CSAR:Need to update generic statement used for structure parameter in AftDiesOxidCatInlDltTmptrDiag.OBDM</t>
  </si>
  <si>
    <t>CSAR:Need to update generic statement used for structure parameter in AftDiesOxidCatInlTmptrDiag.OBDM</t>
  </si>
  <si>
    <t>CSAR:Need to update generic statement used for structure parameter in AftDiesOxidCatOutDltTmptrDiag.OBDM</t>
  </si>
  <si>
    <t>CSAR:Need to update generic statement used for structure parameter in AftDiesOxidCatOutTmptrDiag OBDM</t>
  </si>
  <si>
    <t>Missing: Total Estimated Efforts, Planned Release or Commit Date, Change Reason, and Difficulty.
Please add required information and resubmit for Approval.</t>
  </si>
  <si>
    <t>CSAR:Need to update generic statement used for structure parameter in AftDiesOxidCatOverTmptrDiag OBDM</t>
  </si>
  <si>
    <t>CSAR:Need to update generic statement used for structure parameter in AftDiesPartFiltOutDltTmptrDiag OBDM</t>
  </si>
  <si>
    <t>CSAR:Need to update generic statement used for structure parameter in AftDiesPartFiltOutTmptrDiag OBDM</t>
  </si>
  <si>
    <t>CSAR:Need to update generic statement used for structure parameter in AftDiesPartFiltOverTmptrDiag OBDM</t>
  </si>
  <si>
    <t>CSAR:Need to update generic statement used for structure parameter in AftPartMatSenCProc OBDM</t>
  </si>
  <si>
    <t>CSAR:Need to update generic statement used for structure parameter in AftDPFDltPrKeyOnOffRatDiag OBDM</t>
  </si>
  <si>
    <t>CSAR:Need to update generic statement used for structure parameter in AftDiesPartFiltParamDet OBDM</t>
  </si>
  <si>
    <t>CSAR:Need to update generic statement used for structure parameter in AftDiesOxidCatPresDiag OBDM</t>
  </si>
  <si>
    <t>CSAR:Need to update generic statement used for structure parameter in AftDiesOxidCatParamDet OBDM</t>
  </si>
  <si>
    <t>CSAR:Need to update generic statement used for structure parameter in AftDiesOxidCatHCSlipInjLim OBDM</t>
  </si>
  <si>
    <t>CSAR:Need to update generic statement used for structure parameter in AftDiesOxidCatHCH2OAdsrbDsrb OBDM</t>
  </si>
  <si>
    <t>CSAR:Need to update generic statement used for structure parameter in AftRegenCtrl OBDM</t>
  </si>
  <si>
    <t>CSAR:Need to update generic statement used for structure parameter in AftElecHtr2Diag OBDM</t>
  </si>
  <si>
    <t>CSAR:Need to update generic statement used for structure parameter in AftElecHtrDiag OBDM</t>
  </si>
  <si>
    <t>CSAR:Need to update generic statement used for structure parameter in AftDiesOxidCatHCDosEffCalc OBDM</t>
  </si>
  <si>
    <t>CSAR:Need to update generic statement used for structure parameter in AftDiesOxidCatDtrDiag OBDM</t>
  </si>
  <si>
    <t>CSAR:Need to update generic statement used for structure parameter in AftDOCPIDFdbkUsedUpDiag OBDM</t>
  </si>
  <si>
    <t xml:space="preserve">VCOND creation for pport AftHCDosDiag and AftHCDosSysErrsBtmp component </t>
  </si>
  <si>
    <t>02-04  :Received CDS review feedback
01-04, 31-03 : Awaiitng L2 review and CDS comments
30-03, 25-03  :sent for L2 review
23-03  : CCB review is continaution today
18-03  :issue is resolved, plan for Peer review for both component
17-03 : Updated the obdm file as per discussion with matthew under DCR_19106183
16-03 : working on updates based on inputs from Mathew
13-03 : Completed updating the obdm files and generated the reports for the OBDM under DCR_18517105 and DCR_19106183
12-03, 11-03 : Worked on updation of OBDM file 
06-03 : Updating the OBDM file
04-03 : Impl In progress
03-3   : Analysis in progress
27-02 : Initial analysis In progress</t>
  </si>
  <si>
    <t>20-02 : DCR is closed comments added in checklist
19-02 : CHECKIN completed, DCR to be closed integrity
18-02 : peer and CCB review completed, L2 review to be done today
13-02 : V&amp;V is completed, SRS review part is pending
12-02 : V&amp;V is in progress. 
11-02, 10-02: V&amp;V is in progress. Review plan details to be share today
09-02  :migration is completed</t>
  </si>
  <si>
    <t>SA IPD: Add new AECD for DOC heater power degraded OECS diagnostic concept</t>
  </si>
  <si>
    <t xml:space="preserve">04-03 : L2 review to be plan today
03-3 : Completed CCB review comment verification and sent for L2
02-03 : CCB review is completed, to be send for L2 review today
27-02, 26-02 :CCB review plan today
25-02 : Peer review is plan today
24-02 : plan for Peer review today
23-02 : V&amp;V is completed, working on PPT and SRS mapping
20-02 : Migartion is completed, working on V&amp;V. </t>
  </si>
  <si>
    <t>HTR AECD</t>
  </si>
  <si>
    <t>Child DCR to be raise for  DCR_18517105</t>
  </si>
  <si>
    <t>Create Subchannel P-port for ppAftHCDosSysErrsBtmp_deVal in AftHCDosSysErrsBtmp component</t>
  </si>
  <si>
    <t>03-04 : Merge request to raise for it.
16-03 : Effrots will be track under DCR_18517105</t>
  </si>
  <si>
    <t>Harshal Tayade (uq969)</t>
  </si>
  <si>
    <t>CSAR SyncUp for Core2 DCR_11611500: Save HC doser pressure test status over key-cycles</t>
  </si>
  <si>
    <t>CES CSAR 01.25.09.00</t>
  </si>
  <si>
    <t>Analysis required on AftElecHtr2Daig component for HtrHCUPwrIntrpt diagnostic</t>
  </si>
  <si>
    <t>2025 July - CES PFS : 16332295</t>
  </si>
  <si>
    <t>CSAR Workflow 06.3 SW Detailed Design &amp; Unit Construction -  Develop Simulink Model or Source Code for Change Request 18204082 (STLA MY30:Protective Regen in ATS DSM - Soot Filter Core2 component to CSAR: SYNC-UP (AftDPFTimeBasedRegenTrigProc))</t>
  </si>
  <si>
    <t>CSAR Workflow 07.3 Software Unit Verification - Develop Unit Test Harness and Test Vectors for Change Request 18204082 (STLA MY30:Protective Regen in ATS DSM - Soot Filter Core2 component to CSAR: SYNC-UP (AftDPFTimeBasedRegenTrigProc))</t>
  </si>
  <si>
    <t>CSAR Workflow 07.3 Software Unit Verification - Generate Unit Test Reports for Change Request 18204082 (STLA MY30:Protective Regen in ATS DSM - Soot Filter Core2 component to CSAR: SYNC-UP (AftDPFTimeBasedRegenTrigProc))</t>
  </si>
  <si>
    <t>Danduboyina Sindhu (al24v)</t>
  </si>
  <si>
    <t>OBDM FIM Update required - Shared calibration not defined correctly - AftDiesOxidCatCSERSAgrsvDiag</t>
  </si>
  <si>
    <t>Status same as DCR18430947</t>
  </si>
  <si>
    <t>AftDiesOxidCatCSERSAgrsvDiag</t>
  </si>
  <si>
    <t>OBDM FIM Update required - Shared calibration not defined correctly - AftDiesOxidCatClsLoopDiag</t>
  </si>
  <si>
    <t>AftDiesOxidCatClsLoopDiag</t>
  </si>
  <si>
    <t>OBDM FIM Update required - Shared calibration not defined correctly - AftDiesOxidCatInsufXthmDiag</t>
  </si>
  <si>
    <t>AftDiesOxidCatInsufXthmDiag</t>
  </si>
  <si>
    <t>OBDM FIM Update required - Shared calibration not defined correctly - AftDiesOxidCatHCDosEffCalc</t>
  </si>
  <si>
    <t>Detail of the DCR is taken care by DCR 18860603 and done the defect analysis with Prathyusha for all the FIM DCR's</t>
  </si>
  <si>
    <t>AftDiesOxidCatHCDosEffCalc</t>
  </si>
  <si>
    <t>OBDM FIM Update required - Shared calibration not defined correctly - AftDiesOxidCatPresDiag</t>
  </si>
  <si>
    <t>OBDM FIM Update required - Shared calibration not defined correctly - AftDiesOxidCatRvrsDiag</t>
  </si>
  <si>
    <t>03-04:CCB Review, Continuation entry is added
01-04: Created 5 new DCR and send MOM with Yue and Dhanraj, and Peer review is completed,( received minor Comment) CCB planned today
31-03:Analysis for creation of Pports in providing components, Discussed with Yue &amp; Dhanraj for creation of Pport, As confirmed need to raise 5 DCR's for creation of pport, Preparation of artefacts for Peer Review
26-03:Initial creation updation in progress, discussed with Chris, need to create DCRs for pport creation in providing components
25-03,24-03,23-03:Initial creation updation in progress</t>
  </si>
  <si>
    <t>AftDiesOxidCatRvrsDiag</t>
  </si>
  <si>
    <t>OBDM FIM Update required - Shared calibration not defined correctly - AftDOCPIDFdbkUsedUpDiag</t>
  </si>
  <si>
    <t>AftDOCPIDFdbkUsedUpDiag</t>
  </si>
  <si>
    <t>OBDM FIM Update required - Shared calibration not defined correctly - AftDiesPartFiltDltPrRatDiag</t>
  </si>
  <si>
    <t>AftDiesPartFiltDltPrRatDiag</t>
  </si>
  <si>
    <t>OBDM FIM Update required - Shared calibration not defined correctly - AftDPFDltPrKeyOnOffRatDiag</t>
  </si>
  <si>
    <t>AftDPFDltPrKeyOnOffRatDiag</t>
  </si>
  <si>
    <t>OBDM FIM Update required - Shared calibration not defined correctly - AftDiesPartFiltOutPrKeyOnOffRatDiag</t>
  </si>
  <si>
    <t>AftDiesPartFiltOutPrKeyOnOffRatDiag</t>
  </si>
  <si>
    <t>OBDM FIM Update required - Shared calibration not defined correctly - AftDiesPartFiltOutPrRatDiag</t>
  </si>
  <si>
    <t>AftDiesPartFiltOutPrRatDiag</t>
  </si>
  <si>
    <t>OBDM FIM Update required - Shared calibration not defined correctly - AftHCDosDiag</t>
  </si>
  <si>
    <t>OBDM FIM Update required - Shared calibration not defined correctly - AftHCDosCompnUsedUpDiag</t>
  </si>
  <si>
    <t>02-04:1 hr : send for CDS Review for DCR_18430901_18430903_18430918_18430925_18430927_18430911
01-04: CCB Comments closure for 18430947 and Send for L2 Review with Dhanraj
31-03: Resolved 8 step  Errors by using the provider component obdm(added the di erros in indumati OBDM as matthew suggested) for DCR 18430947 and  2 DCR merge request will be initated and 1 dcr will be initiated by Vishnupriya and 6 DCR pending with L2 Review with Dhanraj and 2 dcrs with CDS review in progress.
27-03:Replied back to the CDS review comments with the updated link report and explanation for              DCR_19097477_18430921
26-03:send for CDS DCR_19097477_18430921_18430902_18430920_18430946And made changes for remaining dcr regarding description
25-03:ccb completed for  18430921_ 19097477 and send for L2 and received L2 pass, changed the description for 5 dcrs and informed Dhanraj
23-03:Peer review completed for 921 and 477 dcr, Aecd tags required , need to email from John.
16-03: FIM DCR discussed with Mathew, the solution provided by Mathew needs tgo be incroporated in induamthi DCR, So that error will gone on FIM updated
13-03:1.5 hr- CCB continuation for DCR_18430901_18430903_18430911_18430918_18430925_18430927 and sent for L2 review1.5hr-  submitted the DCR to john filling all required tabs for AECD tag and had discussion with v.priya, nileema, akash lahane  regarding the bump out activity so that how I can procced with my changes2 hrs- DCR_17624991 initial analysis and migration from 19 to 20 done.1.5 hrs DCR_18490944 updating the provider SWC column in interface sheet. 45 min-Lavanyas KT Session
12-03:HCDOSCompUsedUpDiag(18430947) with indumati and joti dongre about updating  subchannel to di errors need to connect with sheetal regarding this, &amp; 2hrs Got confirmation on VCOND name renaming and updated the recent FIM updated with all the reports to DCR_18430911Proceeding for CCB continution today for DCR_18430901_18430903_18430918_18430925_18430927_184309111 hr CCB contintuation for 184309471 hr 18387946 interface sheet updation completed1.5 hr identified the mistake in the checkin process done by previous developer and conveyed  the same to them,&amp; sent mail for the required tags for the AftDiesOxidCatHCDosEffCalc(19097477 ) and prepare the checklists
11-03: 3CCB Review completed and send to L2 with Dhanraj on 10th March,  Completed the new FIM DCR, plan to review the ccb continuation planned tomorrow.
10-03: FIM  DCR  18430902_18430920_18430946_18430947 Updated with latest fim changes with all reports and planned review today DCR_18430921 completed with latest fim changes with all reportsSent email to TRUPTI for creating new dcr for new FIM changes for  AftDiesOxidCatHCDosEffCalc component, FIM DCR_18430901_18430903_18430918_18430925_18430927 Received CDS pass for the the changes done before the new FIM update came
09-03: 4 hrs spend for adding the missed bit postions to clear errors in 8 Step report, and 4 hrs ( not added) spend on the estimation discussion with prathyusha, Nileema, Chitharenjan, Sheetal
06-03:6hrs- Rework did for 2nd set of 4 DCR's due to FIM implementation update, Discussion with Swayang and Lavanya regarding error in 8 Step due to latest FIM update. Got input from Matthew regarding error in 8step1hr- CCB Continuation for 2nd set of 4 DCR's
05-03:CCB Continuation , worked on CCB Comments and connected with sheetal and madhuri Wagh for DAF ARXML to pass the links
04-03: CCB Continuation and need to create 4 more dcr's for additional scope of work.
03-03:CCB continuation for another 2 set of DCR, L2  okay comments received from Dhanraj for 1st 5 set of DCR,and 1 comment for 1 DCR, Need to send 5 DCR to CDS,, i DCR got confirmation for rejection.
27-02:Peer completed and send email to Component owner for the rejection of DCR. and 1 DCR closure in progress over integrity
26-02: Worked on extra scope of new bit positions in the obdm for 1 dcr 18430902. Peer completed,
25-02:Generated all the reports and created branch for all the components and Peer is planned today
24-02: Discussion with Sheetal about local Vcond, and CCB Comments closure and send for L2 for 6 DCR's and generated 8 Step for another 5 step
23-02:Updated shared calibration for the FIM logic in 5 DCR's
20-02: Worked on CCB Comments and discussed with Dhanraj
19-02:CCB Completed with received 3 comments, Needs to get confirmation from Dhanraj to take additional scope
18-02:Peer completed , and CCB Planned today for 6 DCR'S
17-02: Started implementation for 2 more DCR'. Peer is planned for 6 DCR's
16-02:Prepared all the artifacts and technical artifacts and docgen report received from sheeta for 6 dcr's
13-02:Completed link report for 6 dcrs and 8 step report of 5 dcr's
12-02: Validation errors completed for 6 errors and 8step in progress
11-02: Changes completed for 8 DCR's, working on Validation errors
10-02: Changes the respective calibration as mentioned in the DCR.
06-02: Clonning completed and dd matrix completed and analysis in progress
05-02,Implementation in progress
04-02: Initianl analysi in progress</t>
  </si>
  <si>
    <t>AftDiesOxidCatOpModeDet: Update Component Interface sheet for full parameter description coverage and Update code generated a2l for ISM-Override objects with long identifiers using interface sheet descriptions</t>
  </si>
  <si>
    <t>03-04: CCB review for evaluation done
02-04:  interface sheet completed planned CCB today , (4hrs)
31-03: Swapnil suggested to Please remove OEM1 from the input section in this component.
05-03:connected with madhuri Wagh regarding  Global inputs as TBD and sent the mail to component owner (swapnil) for confirmation about TBD Descriptions &amp; Character Limit
04-03: Need to discuss with Dhanraj about the global inputs as itis now TBD in interface sheet of the providing component
03-03: Version 20 interface sheet update in progress.
02-03:Interfaces sheet migration V15,completed, Updating the missing fields from the C2ST. and taken credential from Srinadh, Authoring also required
27-02:initial Analysis in progress</t>
  </si>
  <si>
    <r>
      <rPr>
        <sz val="11"/>
        <color rgb="FF000000"/>
        <rFont val="Calibri"/>
        <family val="2"/>
      </rPr>
      <t xml:space="preserve">04/28/2026
</t>
    </r>
    <r>
      <rPr>
        <strike/>
        <sz val="11"/>
        <color rgb="FF000000"/>
        <rFont val="Calibri"/>
        <family val="2"/>
      </rPr>
      <t>4/3/2026</t>
    </r>
  </si>
  <si>
    <t>AftDiesOxidCatOpModeDet</t>
  </si>
  <si>
    <t>AftDiesPartFiltCSLEProc: Update application guide(s) of component to provide complete parameter object description coverage, parameter usage specification and to update information per missing sections of application guide template</t>
  </si>
  <si>
    <t>01-04:Analysis completed and appguide in progress
31-03,27-03: initial analysis in progress ( 3.5hrs)</t>
  </si>
  <si>
    <r>
      <rPr>
        <sz val="11"/>
        <color rgb="FF000000"/>
        <rFont val="Calibri"/>
        <family val="2"/>
      </rPr>
      <t xml:space="preserve">04/28/2026
</t>
    </r>
    <r>
      <rPr>
        <strike/>
        <sz val="11"/>
        <color rgb="FF000000"/>
        <rFont val="Calibri"/>
        <family val="2"/>
      </rPr>
      <t>4/17/2026</t>
    </r>
  </si>
  <si>
    <t>AftDiesPartFiltCSLEProc</t>
  </si>
  <si>
    <t>AftDiesPartFiltCSLEProc: Update Component Interface sheet for full parameter description coverage and Update code generated a2l for ISM-Override objects with long identifiers using interface sheet descriptions</t>
  </si>
  <si>
    <t>03-04:CCB review done
02-04:completed planned CCB today
01-04,31-03: V&amp;V in progress
30-03: Received L2 Pass for Evaluation from Yue, Authoring not required
25-03: Send for L2 Review with Dhanraj
23-04:CCB Completed will Send to L2 Today, ( authoring not required)
12-03 1hr  interface sheet updation completed
11-03  : 1hr interface sheet updation
05-03:initial analysis in progress</t>
  </si>
  <si>
    <t>AftDiesOxidCatOpModeDet: Clean up App-guide(s) for non-CMI customer reported issues</t>
  </si>
  <si>
    <r>
      <rPr>
        <sz val="11"/>
        <color rgb="FF000000"/>
        <rFont val="Calibri"/>
        <family val="2"/>
      </rPr>
      <t xml:space="preserve">04/28/2026
</t>
    </r>
    <r>
      <rPr>
        <strike/>
        <sz val="11"/>
        <color rgb="FF000000"/>
        <rFont val="Calibri"/>
        <family val="2"/>
      </rPr>
      <t>4/24/2026</t>
    </r>
  </si>
  <si>
    <t>AftDiesOxidCatOpModeDet: Update application guide(s) of component to provide complete parameter object description coverage, parameter usage specification and to update information per missing sections of application guide template</t>
  </si>
  <si>
    <t>AftDiesOxidCatHCSlipInjLim: Clean up App-guide(s) for non-CMI customer reported issues</t>
  </si>
  <si>
    <r>
      <rPr>
        <sz val="11"/>
        <color rgb="FF000000"/>
        <rFont val="Calibri"/>
        <family val="2"/>
      </rPr>
      <t xml:space="preserve">04/27/2026
</t>
    </r>
    <r>
      <rPr>
        <strike/>
        <sz val="11"/>
        <color rgb="FF000000"/>
        <rFont val="Calibri"/>
        <family val="2"/>
      </rPr>
      <t>4/17/2026</t>
    </r>
  </si>
  <si>
    <t>AftDiesOxidCatHCSlipInjLim</t>
  </si>
  <si>
    <t>AftDiesOxidCatHCSlipInjLim: Update application guide(s) of component to provide complete parameter object description coverage, parameter usage specification and to update information per missing sections of application guide template</t>
  </si>
  <si>
    <t>03-04: Initial analysis and app guide in progress (5hrs) , 1 hr: trainning session</t>
  </si>
  <si>
    <r>
      <rPr>
        <sz val="11"/>
        <color rgb="FF000000"/>
        <rFont val="Calibri"/>
        <family val="2"/>
      </rPr>
      <t xml:space="preserve">04/27/2026
</t>
    </r>
    <r>
      <rPr>
        <strike/>
        <sz val="11"/>
        <color rgb="FF000000"/>
        <rFont val="Calibri"/>
        <family val="2"/>
      </rPr>
      <t>4/24/2026</t>
    </r>
  </si>
  <si>
    <t>AftDiesOxidCatHCSlipInjLim: Update Component Interface sheet for full parameter description coverage and Update code generated a2l for ISM-Override objects with long identifiers using interface sheet descriptions</t>
  </si>
  <si>
    <t>02-04: V&amp;V in progress (3hr)
01-04: Remigration in progress,
31-03:Taken confirmation from Dhanraj for extra scope, told me to change the ISM Changes and Description, ( addition of 8 hrs to considered this additional scope)
27-03:resolved error in the regression report, prepared artifacts and CCB review in progress. Need to discuss with lavanya as reviewer is asking to take extra scope
26-03:implementation  and ppt completed planned CCB today
25-03:V&amp;V in progress
24-03:migration inprogess, PSD session- 1hrPolyspace and MA Guidelines sesssion - 1hr
23-03: Interface sheet updation completed &amp; Migration in progress
16-03:Interface sheet update in progress,
13-03:Interface sheet update in progress</t>
  </si>
  <si>
    <r>
      <rPr>
        <sz val="11"/>
        <color rgb="FF000000"/>
        <rFont val="Calibri"/>
        <family val="2"/>
      </rPr>
      <t xml:space="preserve">04/27/2026
</t>
    </r>
    <r>
      <rPr>
        <strike/>
        <sz val="11"/>
        <color rgb="FF000000"/>
        <rFont val="Calibri"/>
        <family val="2"/>
      </rPr>
      <t>4/2/2026</t>
    </r>
  </si>
  <si>
    <t>Boyella Varun Teja (ag14b) / Prathyusha</t>
  </si>
  <si>
    <t>CSAR-SyncUp: AftElecHtrDiag_OBDM update is required for action item closure of OBD review</t>
  </si>
  <si>
    <t>02-03:DCR Closed in integrity and CDS Task validated and it is completed.
21-02:Updated Certdoc as suggested by elizabeth, and regeneration of reports, send email to chad for updates of calibation tunings value, CDS task send for review and got CDS Pass from charlie, Check in OBDC &amp; OBDM Completed, Prathyusha spend 6 hrs
20-02: Completed all the review from Snehal, and online review with Elizabeth, Kareeshma, and Prathyusha spend 6hrs, Awaiting the input from Chad, email already shared with details, Varun spend 3 hrs ,for L2 Review with Snehal and attened OBD Forum and closed all the action items,
19-02:CCB continuation completed, L2 Review with snehal is in progress, Varun spend 2 hrs And Prathyusha spend 6 hrs 
18-02:Combined the certdoc and changes and compare the reports,Varun spend 6 hrs And Prathyusha spend 7 hrs 
17-02:Peer and CCB completed, and Initial review with Kareeshma for 14 diagnostic, received the action items, Varun spend 6 hrs And Prathyusha spend 6 hrs 
16-02: Peer in continuation, CCB in continuation, Initial review with Kareeshma for 10 diagnostic, received the action items, Varun spend 6 hrs And Prathyusha spend 6 hrs .
13-02:Peer in progress, Varun spend 8 hrs to  7 diagnostics,Prathyusha spend 7 hrs and completed 1 diagnostics, now need to create 8 step report, CCB planned today
12-02:Varun spend 7.5 hrs and completed 13diagnostics, Peer in continuation,  Prathyusha spend 2 hrs and completed 6 diagnostic
11-02:Varun spend 7.5 hrs and completed 6diagnostics, Peer Planned today, Prathyusha spend 7 hrs and completed 15 diagnostic
10-02:Varun spend 6.5 hrs and completed 3 diagnostics, Prathyusha spend 5 hrs and completed 5 diagnostics
09-02: Varun spend 7 hrs on initial analysis
06-02:Jayant spend 7 hrs on initial analysis
05-02,04-02:Initial analysis in progress ( jayant spend 7 hrs)</t>
  </si>
  <si>
    <t>Boyella Varun Teja (ag14b)</t>
  </si>
  <si>
    <t>CSAR-SyncUp: AftElecHtr2Diag_OBDM update is required for action item closure of OBD review</t>
  </si>
  <si>
    <t>01-04:DCR Closed in integrity and send email for CDS Team for Task closure
31-03:Check in Completed. Planning to close the DCR today(0.5hr)
23-03: Completed L2 Review with Snehal and send it for CDS Review, Received one comment to regenerate the report.
13-03:Closed all the comments &amp; Sent it for L2 review
12-03:Updated the OBDM &amp; OBDC file and regenerated all the reports again. CCB review completed
11-03:CCB Continuation in progress, connected with Chad for HCU Changes, ( mismatches in the HCU Sheet, connected with Elizabeth for how to add ne conditions  as per CDS Guidelines) need to regenerate the report after the including chad changes in certdoc
10-03:CCB in continuation
09-03:CCB Review is in progress
06-03:Peer Review completed &amp; Connected with Chad for additional information
05-03:Peer review in progress and Generated reports and fill the checklists
04-03:Completed RTN OC Error, Going for Peer today,
03-03:Completed Driver internal errors and started working on return open circuit error ( RTN OC Error) received latest HCU sheet from Chad. Tomorrow going for peer
02-03:Working on driver internal errors,
27-02:Completed all diagnostic both OBDM AND OBDC fILE UPDATES, STARTED WORKING ON DRIVER INTERNAL ERRORS.
26-02:Completed 8 more diagnostic both OBDM AND OBDC File updates and connected with CHAD for more information,
25-02:Completed 12 more diagnostic both OBDM AND OBDC File updates
24-02:Completed 10 more diagnostic both OBDM AND OBDC File updates.
23-02:Completed 5 more diagnostics
19-02:Completed 5 Diagnostics
18-02:Working on certdoc
06-02:Initial analysis completed
05-02:Initial analysis in progress.</t>
  </si>
  <si>
    <t>CertDoc and iDFMEA updated for dmAftElecHtr2HCURetOpenCktErr Error in AftElecHtr2Diag</t>
  </si>
  <si>
    <t>06-04: Addition of noise factor for diag 2 and diag 1, will check with the yashwant ongoing diag
03-04: L2 Review completed with Snehal&amp; Worked on Comments(2hr) , Training Session (1hr)Completed updating iDFMEA's for Htrdiag1 Component(4hrs)
18-03:CCB Completed and send for L2 Review
17-03:Peer Review completed(1hr).
13-03:Prepared all the artifacts for peer review. Review not planned and added entry for today
12-03:Completed iDFMEA internal discussion with Swayang
06-03:Completed working on iDFMEA
05-03:Working on FMEA Tab in iDFMEA 
04-03:Working on IDFMEA</t>
  </si>
  <si>
    <r>
      <rPr>
        <sz val="11"/>
        <color rgb="FF000000"/>
        <rFont val="Calibri"/>
        <family val="2"/>
      </rPr>
      <t xml:space="preserve">4/10/2026
</t>
    </r>
    <r>
      <rPr>
        <strike/>
        <sz val="11"/>
        <color rgb="FF000000"/>
        <rFont val="Calibri"/>
        <family val="2"/>
      </rPr>
      <t>3/31/2026</t>
    </r>
  </si>
  <si>
    <t>Boyella Varun</t>
  </si>
  <si>
    <t>31-03:VnV Completed for DPF missing subsystem.(7hr)
30-03:V&amp;V Completed for Icesuspect DPF missing. Today will complete DPF missing subsystem,
27-03:Issue resolved for Lookup table. VnV in progress(7.75 hr).
26-03:Model changes completed. Facing issue with lookup table. Connected with Harsha, Sumit &amp; Srinadha working on it(7.5hrs)
25-03:Create tool based arxml and working on model changes
24-03:working on the Remigration and test vector updating (7 hr)KPIT training session (1 hr)scum meeting (0.25 hr)
23-03:Working on application guide, there is issue in master and model( few block diagrams are not present, need to check all the calibrations and inputs for identifiying the mismatches )
19-03:Working Application Guide in-progress. (7hrs).
18-03:Certdoc updation completed and appliation guide update in progress
17-03: Initial analysis in progress for CertDoc &amp; Application Guide. (6.5hrs).
16-03:Test vector updation in progress
13-03:Test vectors Updation in progress 
12-03:Test vectors Updation in progress
11-03: Working on  test vector updates and traceability sheets
09-03: Understanding the core 2 model</t>
  </si>
  <si>
    <t>Atul Gade</t>
  </si>
  <si>
    <t>Request for service test for AT heater using smart alternator with IPD</t>
  </si>
  <si>
    <t>Waiting for ECM testing.</t>
  </si>
  <si>
    <t>HTR IPD service test</t>
  </si>
  <si>
    <t>Need to add power request logic in AftFtis65697DualElecHtrTest Component</t>
  </si>
  <si>
    <t>Swayangdipta</t>
  </si>
  <si>
    <t>Need to add Target temperature for SA-IPD program in AftFtis65697DualElecHtrTest</t>
  </si>
  <si>
    <t>17-03 : iDFMEA and Evaluation Closure
16-03 : working on IDFMEA Correction, internal discsison plan today
13-03 :  Eval submitted after analsyis and reviews
12-03 :Dhanraj has given go ahead for Eval but also has asked to revisit iDFMEA of service test component as the initial creation has few issues. Will be working on the same today
11-03 : Analysis is In progress</t>
  </si>
  <si>
    <t>Atul Patil (ws186)</t>
  </si>
  <si>
    <t>Create and map new Subfunction</t>
  </si>
  <si>
    <t>/C2PL/Aftertreatment/Br35</t>
  </si>
  <si>
    <t>Meetings and Technical discussions</t>
  </si>
  <si>
    <t>iDFMEA for Out of mission eHeater service test</t>
  </si>
  <si>
    <t>Branched from Br35.5x</t>
  </si>
  <si>
    <t>Opportunistic Regen Improvements Using Effective Speed Limit</t>
  </si>
  <si>
    <t>VnV of Heater Channel 1 source In Range Low (IRL) Diagnostic</t>
  </si>
  <si>
    <t xml:space="preserve">CSAR Sync - up: DCR - Regen Inhibit Switch Override in next KeyCycle Condition and Forced Regen Switch Indication </t>
  </si>
  <si>
    <t>CSAR Sync - up: DCR  Add De-bounce timer before setting INHIBIT_SWITCH_TIMED_REGEN_ERR</t>
  </si>
  <si>
    <t>Update OBDM file for component which  provides ppAftSmartSenTimeOutDiagAbt signal</t>
  </si>
  <si>
    <t>CSAR Sync up: HC Desorb drive away Clear setting</t>
  </si>
  <si>
    <t>Branched from Br35 Defect</t>
  </si>
  <si>
    <t>To arrange C_SFME_NMR_trc_WarmupEstRem_X table values in Ascending order (Verify report is failing)</t>
  </si>
  <si>
    <t>/C2PL/Aftertreatment/Br33</t>
  </si>
  <si>
    <t>[NEW] FIM Interfacing for PFS OBD Diagnostics</t>
  </si>
  <si>
    <t>CSAR SyncUp: DPF_CLOSED_LOOP_ERR need software update (to aid dpf push out cases detection)</t>
  </si>
  <si>
    <t>Need to migrate DPF missing Ice Suspect logic in CSAR AftPartFiltIceCovSuspDet Component</t>
  </si>
  <si>
    <t>Migrate DPF OutP and DeltaP IRP Diagnostics in CSAR</t>
  </si>
  <si>
    <t>CSAR - Documentation for AftDiesOxidCatFacePlg component</t>
  </si>
  <si>
    <t>CSAR - Sync Up: Change threshold of regen target temperature command calculation for DPF protection from a single value to table</t>
  </si>
  <si>
    <t>Atul Gade (vm775)/Aishwarya</t>
  </si>
  <si>
    <t>Support Activities VM775 Q1_26</t>
  </si>
  <si>
    <t>Sumitkumar Patil</t>
  </si>
  <si>
    <t xml:space="preserve">Chagnes required in SA--IPD component for dual heater service test. </t>
  </si>
  <si>
    <t>Atul Gade (vm775)</t>
  </si>
  <si>
    <t>(DDP) CSAR SA-IPD: Service Test for AT Heater system: AftFtis65697DualElecHtrTest</t>
  </si>
  <si>
    <t>25-03 : facing issue for power issue.
24-03  :Power delay issue debugging in progress.
23-03 : Worked on scenario testing but facing issue with power behaviour.
16-03 : working on testing.
13-03 : Proto build overlay and PCAN message workaround, bench testing
12-03 : Migration and proto build process.
11-3, 10-03 : Worked on SA-IPD dual heater service test bench testing using power request override
09-03 : Worked on SA-IPD dual heater service test bench testing using power request override.
Worked on PCAN messages received from Xev Team
06-03 : Worked on SA-IPD dual heater service test bench testing using power request override.
Worked on PCAN messages received from Xev Team
05-03 : worked on SA-IPD dual heater service test bench testing using power request override
04-03 :Bench Testing, issue for power request is still there working on other method like override
03-03 : Dual Heater Service Test bench Testing
02-03 : testing is in progress
27-02, 26-02, 25-02, 24-02  :Testing is in progress. Power request issue update is in progress
23-02 : received LG build. Testing to be started
17-02 : Need to test on LG build. Testing is in progress. Working on Screen file</t>
  </si>
  <si>
    <t>Arpitha K</t>
  </si>
  <si>
    <t>AftPartMatSenCFiltEffDiag : Update Component Interface sheet for full parameter description coverage and Update code generated a2l for ISM-Override objects with long identifiers using interface sheet descriptions</t>
  </si>
  <si>
    <t>24-03:CCB Comment closure and completed Implementation sent for L2- 2hr
23-03: Worked on CCB Comments and will send to L2 Review today
19-03:(Checklist updation, PPT Updation, connected with sheetal) CCB Review Completed and working on comments- 4.5hr,C2ST - Training session 1hrPFS- Introduction - 1hr
18-03: Artifacts readiness, CCB Planned today
16-03:Implementation completed, Peer review on 17th March.
13-03,12-03:Implemenattion in progress
11-03:Implementation in progress
02-03:Migration in progress, Interface sheet sent to Yue for Review on 27th Feb.
27-06:Completed the CCB and migration in progress
26-06:Polyspace Toolbox issue observed onthe workstation and discripency in the PV Directory 1.1 in MISRA C, Sheetal suggested to connected with Software team
25-02: Worked on CCB Comments , Started the implementation
24-02:Checked the description for input output, Sheetal send the details to Yue for clarification. CCB in continuation.
23-02: CCB Continuation and Reviewers suggested to check for the discripencies in the description for global input outputs,
20-02:Peer review completed, Comments closed, CCB planned today
19-02:Peer review in progress , received comments,
18-02: Need to do remigration with Sheetal credentials.
17-02:Template migration completed and update the description 
16-02:Analysis completed and discussed with Sheetal, Started with Template migration and interface sheet
13-02:Initial analysis in progress</t>
  </si>
  <si>
    <t>AftPartMatSenCFiltEffDiag</t>
  </si>
  <si>
    <t>3/17/2026
3/9/2026</t>
  </si>
  <si>
    <t xml:space="preserve">AftPartMatSenCFiltEffDiag : Update application guide(s) of component to provide complete parameter object description coverage, parameter usage specification and to update information per missing sections of application guide template
</t>
  </si>
  <si>
    <t>01-04:Closed CCB Comments and send for L2
31-03:CCB completed- 1hr
30-03:Worked on ccb comments, 1.5hr- PSD
27-03:CCB Review in continuation and updation of Appguide and checklist : 7
25-03:Model mapping with Appguide -7hr
24-03,23-03,18-03,17-03,16-03,13-03,12-03,11-03,10-03,09-03,04-03,02-03:Appguide update in progress
24-02:Template migration is completed
19-02:Initial analysis in progress
Type 2 DCR</t>
  </si>
  <si>
    <t>AftSootFiltMgrDeepCleanAdj : Update application guide(s) of component to provide complete parameter object description coverage, parameter usage specification and to update information per missing sections of application guide template</t>
  </si>
  <si>
    <t>10-03:Initial analysis in progress</t>
  </si>
  <si>
    <r>
      <rPr>
        <sz val="11"/>
        <color rgb="FF000000"/>
        <rFont val="Calibri"/>
        <family val="2"/>
      </rPr>
      <t xml:space="preserve">04/20/2026
</t>
    </r>
    <r>
      <rPr>
        <strike/>
        <sz val="11"/>
        <color rgb="FF000000"/>
        <rFont val="Calibri"/>
        <family val="2"/>
      </rPr>
      <t>4/10/2026</t>
    </r>
  </si>
  <si>
    <t>AftSootFiltMgrDeepCleanAdj</t>
  </si>
  <si>
    <t>AftSootFiltMgrDeepCleanAdj: Update Component Interface sheet for full parameter description coverage and Update code generated a2l for ISM-Override objects with long identifiers using interface sheet descriptions</t>
  </si>
  <si>
    <t>02-04:Sent for authoring (1hr)
01-04: Received L2 approval from Yue, DCR Submitted for approval, will Send for authoring request today. ( no efforts spend)
31-03:had a discussion with swayang and sheetal regarding updation of changes and sheetal and Completed L2 changes and resent for L2 - 1hr
27-03:Interface sheet description and core2 name- 1hr ,  sent for L2 review Had a discussion with Lavanya regarding Appguide(18638085)
26-03:Worked on interface updation and discussed regarding descrepency in core2 name and description with sheetal : 1.5
25-03:Analysis for Core2 description with CSAR
24-03:CCB comment closure discussion with sheetal and  sent for comp owner regarding description Updation confirmation
19-03: CCB Comment closure and will send for L2 Review today
18-03: Interface sheet update, discripency in the description in the interface sheet.
13-03:CCB review completed and updated changes , Lavanya's KT session - 45mins
12-03:CCB Review in progress and updated Interface sheet
11-03: CCB Continuation in progress, Received Comment,
10-03:Interface sheet updation, completed peer review,Added entry for CCB review today
09-03:Worked on Peer review comments and CCB Planned today
06-03:Spent time on interface sheet on Provider SW component update - 3hourEval peer review on type1 dcr - 1hworked on comments and got a defect in interface sheet discussed with Harshal - 2hourand need to check with core2 data today .Need to discuss with Lavanya regarding one CCB comment
05-03:analysis and updation of interface sheet and had peer review , working on comments (7hr).Added continuation of peer review for today
04-03:Interface sheet updation is completed, Planned for peer today
03-03:Initial analysis in progress</t>
  </si>
  <si>
    <t>AftDltPrRegenTrigProc: Update Component Interface sheet for full parameter description coverage and Update code generated a2l for ISM-Override objects with long identifiers using interface sheet descriptions</t>
  </si>
  <si>
    <t>03-04:Completed re-migration and completed CCB review and Comment closure too - (6hrs)
02-04:Worked on PPT updation,CCB review in progress ( 1hr) Rework on migration in progress for 18491042: Due to change of parameter name
01-04: Completed Implementation, Artifacts are ready and Planned CCB Today
31-03:Completed Eval (No changes) and Implementation in progress - 4hr
30-03: Initial analysis and Interface sheet updation - :5.5hr</t>
  </si>
  <si>
    <t>AftDltPrRegenTrigProc</t>
  </si>
  <si>
    <t>AftDltPrRegenTrigProc: Update application guide(s) of component to provide complete parameter object description coverage, parameter usage specification and to update information per missing sections of application guide template</t>
  </si>
  <si>
    <t>03-04:Initial analysis in progress - 1.5</t>
  </si>
  <si>
    <t>AftDiesOxidCatPIDFdbkCtrl: Clean up App-guide(s) for non-CMI customer reported issues</t>
  </si>
  <si>
    <t>AftDiesOxidCatPIDFdbkCtrl</t>
  </si>
  <si>
    <t>AftDiesOxidCatPIDFdbkCtrl: Update application guide(s) of component to provide complete parameter object description coverage, parameter usage specification and to update information per missing sections of application guide template</t>
  </si>
  <si>
    <t>AftDiesOxidCatPIDFdbkCtrl: Update Component Interface sheet for full parameter description coverage and Update code generated a2l for ISM-Override objects with long identifiers using interface sheet descriptions</t>
  </si>
  <si>
    <t>31-03:Initial analysis in progress - 2hr</t>
  </si>
  <si>
    <t>Anushka P Gaikwad (wf298)</t>
  </si>
  <si>
    <t>Correct and Update the OBDC parameters and values with respect to BOSCH documentation.</t>
  </si>
  <si>
    <t xml:space="preserve">10-02: all items in the kap closed
09-02:DCR Closed in integrity,
06-02:CCB Completed and send for L2 Review with Yue Cao and CDS
05-02: Peer review completed and ccb planned today
04-02:Discussion for Aishwarya core 2 dcr,( 2 hrs), and 4 hrs spend on the defect raised by Madhuri, need to do (RCA) AND 1 hr on DCR </t>
  </si>
  <si>
    <t>Update cert doc : VERR_Turbo_Out_NOx_Status.obdm</t>
  </si>
  <si>
    <t>25-02: Check in completed and DCR submitted in integrity.
24-02:  added J39_AFT2_AT2IG1_TIMEOUT_ERROR instead of MIDNOX_SENSOR_TIMEOUT_ERR.L2 Pass received and CDS pass received.DCF Closure planned today
23-02:Discussion with Pratik, Dhanraj and Sanjeevani, Connected with Chris, to clarify the calibration tunings.
20-02:Discussion with Lavanya, Aishwarya, Dhanraj and SCR Team and replied to Pratik email.
19-02: Replied to Pratik L2 Review mail with explanation, Still Pratik wants to confirm Please confirm where and how we have considered C_MidNOx_bs_NOx_ElecErrMask in this condition
17-02: Discussion with chris and shared the details over Mail and recevied CDS pass from Chris, 
16-02:Changes completed, Peer+CCB Completed and send for l2 and cds team on 13th feb and discussed with chris(cds team-VERR_Turbo_Out_NOx_Status has typically been defined in CertDoc_CES_ATM2.obdm file is there a reason why a separate OBDM file has been created for this one VERR) Meeting scheduled to discuss with cds team today
13-02:Discussion with Dhanraj , Sanjeevani , Lavanya and Nileema and got concluded that PFS Team need to work on this.
10-02:Discussion with Dhanraj for the Midnox sensor in progress
09-02: PPT Created for turbo out and shared with Lavanya, created a group with Dhanraj, still awaiting inputs from Dhanraj
06-02: Discussed with Lavanya regarding the midnox component, need to create a ppt with all the details and need to discussed with Dhanraj and sanjeevani ( As per one of the strategy worked in moving Turbo_Out VERRs from PFS CES CertDoc to top ATM CertDoc, to support multiple architectures, based on it the definition added for VERR_Turbo_Out_NOx_Status (with consideration of MIdNOx) is the right one) ( As of now NO. Anushka will be working on a PPT by documenting all the facts and reasons to prove why NOx definition is correct. Then we would be presenting it to Sanjeevani and Dhanraj to conclude on that point.) (If any action arises from the discussion and impacts SCR side of CertDoc then we can move it to SCR team)
05-02:Analysis in progress)</t>
  </si>
  <si>
    <t>Nox component</t>
  </si>
  <si>
    <t>depends on Dhanraj's input</t>
  </si>
  <si>
    <t>Pratik</t>
  </si>
  <si>
    <t>CES ATS 35.26.06.00 - 17473628</t>
  </si>
  <si>
    <t>Proposal to update the P_SFR_tmh_SinceActiveRegen parameter Resetting conditions</t>
  </si>
  <si>
    <t>10-02:Defect worked for the dcr submitted on Dec 2025, Identified by Madhuri, Rca needs to be done</t>
  </si>
  <si>
    <t>15605848ﾠ</t>
  </si>
  <si>
    <t>CertDoc_CES_ATM_PFS_OBD.obdm: DPF_TOO_FREQUENT_REGEN_ERR hard coded errors missing from enable conditions</t>
  </si>
  <si>
    <t>10-03:completed checkin, Submitted DCR, validated CDS Task and closed all KAP task
09-03:, Worked on sending the updated 8 step report and link report, ( was facing error in the 8 step report), Lookup table with 1 D, Parameter used in the model is 1 to 4 Vector,), for any state flow model, in vector 1 to 4, then manually in 8 step report, we can update the parameters value from 1 to 4 is manually, received CDS Pass from Krishna sudarshan onn 6th March.
27-07: Completed CCB and send to L2 Review with Dhanraj, needs to do CDS Review later.
26-02:Peer Completed and received comment on core, CCB planned today.
25-02: Backtraced the green filter flag and check the logic and accordinlgy update the certdoc.
24-02: Mapped all the enable conditions with the model, ( idenfied 1 defect green filter enable conditions= true), in CSAR it is seen as zero. Additional request from Trupti, to check the  CSAR.
18-02:Discussion with Trupti, we need to changes as per CSAR certdoc. Concern on Csar certdoc, under fim condition they have missed, they have added as seperate condition, which needs to be come us FIM Update
17-02: Discussed with Trupti on chat, Trupti suggested to discuss with component owner and reject the DCR, Discussion needs to be done with Dhanraj for the rejection of DCR
16-02:Analysis completed,Need to discuss with Lavanya,
13-02:Initial analysis in progress</t>
  </si>
  <si>
    <t xml:space="preserve">Blank VCOND reference in CertDoc_CES_PMSC.obdm file
</t>
  </si>
  <si>
    <t>17-02: DCR Rejected after confirmation from DCr creator, Krishna sudarsanam, Pause condition do not present in latest certdoc</t>
  </si>
  <si>
    <t>14885840</t>
  </si>
  <si>
    <t>Assist in addressing OBD monitor DPF_Too_Frequent_Regen_Err referencing non-OBD monitorMIDNOX_IRP_HIGH_ERR in CertDoc_CES_ATM_PFS_OBD.obdm</t>
  </si>
  <si>
    <t>05-03: All 7 DCR got rejected after getting confirmation from Charu
04-03:Discussed with Chris and Charu and Awating the Approval for DCR Closure.
02-03:Created excel sheet and completed the Analysis and need to discuss with Charu
27-02: Analysis in progress  and need to discuss with Charu for discussion on Monday
26-02:Initial analysis in progress
13-02:Initial analysis in progress</t>
  </si>
  <si>
    <t>Request to remove special denominator configuration for DPF Closed Loop Error monitor for MY27 PU</t>
  </si>
  <si>
    <t>26-03:waiting for john to approve eval so i can proceed with build creation(4.5hr)
17-03:Completed DRB, Dhanraj told to check if we need this change in phantom program also.Connected with Meenakshi and Sonia regarding this but no input as they work for Sabre- 3.5hr
13-03: completed ccb review, planned DRB today
10-03: Completed Peer review, CCB planned today
09-03: Aniruddha asked to show C2ST Changes and data spec changes in the model,, to show what are the parameters we are deleting from the model.Peer review in continuation
06-03:Peer review in progress, have to check data spec changes, will connect with Lavanya once regarding the updates
03-03:all artifacts are completed,Planned Peer review for today
02-03:Attended the OBD Forum, we need to remove the special denominator and dpf closed loop error is not mapped to IUPR
26-02: PPT Created for PRE-OBD AND Discussion with Sonia, details received from Sonila
25-02:Discussed with Meenakshi and Sonia,still the requirements clarifications are not clear, setup the meeting with Meenakshi and Sonia to discussion today and discussion entry added in OBDM Scheduler.
19-02: Analysis completed, SRS update completed, Need to discuss with Dhanraj to remove the special denominator
18-02:Iniitial analysis in progress</t>
  </si>
  <si>
    <t>02-04:started with build process
25-03: Implementation in progress
20-03:Implementation in progress
19-03:Implementation in progress,Attended core2 session(2hr)VTT latest set-up(2hr)
18-03: Started with Implementation with Dataspec changes</t>
  </si>
  <si>
    <t>awaiting confirmation</t>
  </si>
  <si>
    <t xml:space="preserve">Wrong operator used in some monitors of  CertDoc_CES_ATM_GTP1.obdm </t>
  </si>
  <si>
    <t>01-04: CCB in progress, Testing team has removed one monitor input for SCR, need to check with Testing team, email will initiate with Meghna and need to get confirm Arundathi, why scr MONITOR IS REMOVED From Certdoc, Meghna suggested to review GTP 6  &amp; GTP 7 Certdoc for the changes or not, Changes only done in GTP1.
31-03: CCB is in progress. got 1 comment working on it(2hr)
30-03:CCB Planned today. ( no efforts logged for 27th March)
26-03:CCB not scheduled as reviewers was not thereVTT setup issue connected with DIpali jain(2hr)
25-03:Peer Completed, CCB planned
18-03: Peer Review planned
13-03:completed all artifacts, will plan review on Monday as today another CCB is planned
12-03:updated cert doc and generated reports &amp; KRA submission (1hr)
11-03:Condition mapped with Model, will proceed with certdoc changes and report generation</t>
  </si>
  <si>
    <t>Assist in addressing reference condition VCOND_MBSLR_Status to not apply and/or treat as False for this product in CertDoc_CES_ATM_PFS_OBD.obdm</t>
  </si>
  <si>
    <t>Assist in addressing OBD monitor DPF_Too_Frequent_Regen_Err referencing non-OBD monitor Persistant_Data_Loss_Error in CertDoc_CES_ATM_PFS_OBD.obdm</t>
  </si>
  <si>
    <t>Include definition of VERR_AMBIENT_AIR_PRESS_MODELED in CertDoc_CES_ATM3.obdm</t>
  </si>
  <si>
    <t>23-02:Initial analysis in progress</t>
  </si>
  <si>
    <t>Include definition of VERR_Air_Press_Status in CertDoc_CES_ATM_PFS.obdm</t>
  </si>
  <si>
    <t>Include definition of VERR_Exhaust_Flow_Status in CertDoc_CES_ATM3.obdm</t>
  </si>
  <si>
    <t>Core2 : CertDoc to be updated for component ATS DSM - DPF Missing Diagnostic with respect to corresponding CSAR.</t>
  </si>
  <si>
    <t>31-03:Completed checkin, submitted DCR and TAsk also completed KAP work (2hr). 
30-03: Received L2 and CDS Pass, will plan for checkin today.
17-03:CCB completed (connected with Yue regarding Abhijeet concern) and send to L2 with Yue - 4 hrs
16-03: Planned CCB, the reviewer Abhijeet has concern on Malfunction criteria, Need to check with Yue ( component owner)
12-03:Completed peer review .(1hr)
10-03:Cert doc update is done, generated 8th step,link,compare report and also created a task and KAP WP
05-03:analysis completed, cert doc changes are in progress
04-03:Initial analysis in progress</t>
  </si>
  <si>
    <t>cert doc change for gen1 heater as per L2 HCU version update</t>
  </si>
  <si>
    <t>18-03: Analysis completed and confirmed the OBDC File is having latest update as per CHAD Sheet.Need to get confirmation from Snehal to close this DCR.
16-03: Confirmation received from Snehal that we need to update the OBDC File with the latest update from Chad, Comparision analysis of the odbc files in progress
13-03:waiting for Snehal's approval, connected yesterday
12-03:checked all files, connected with sheetal and Lavanya, the changes are already been implemented.need to connect with Snehal after her confirmation can submit the DCR</t>
  </si>
  <si>
    <t>amit matale (xy524)</t>
  </si>
  <si>
    <t>Update Pass-Fail counter for Pass to fail/ fail to Pass transition in DOC- SCR OECS CSERS diagnostics for IPD Architecture</t>
  </si>
  <si>
    <t>could you please add AECD tag requied, also attached all the artifacts.could you please approve the DCR.</t>
  </si>
  <si>
    <t>06-03:Component check in done, DCR closing and preparing artifacts, Function and sub function mapping and , prepared Implementation note for DCR
05-03:Working on PPT update and comment closing, DRB Review completed
04-03: DRB Review in progress
23-02:CCB Completed and rephrased the statement in the slide in ppt
19-02:CCB in progress,working on comments
18-02:Peer in progress.
17-02:Migration completed, Peer in progress
16-02:Migration in progress
13-02:Preparing PPT in progress ( received updated ARXML, migration in progress
12-02:Analysis the additional changes and updated the interface sheet and got confirm from Dhanraj and send for authoring request,SRS also updated
11-02:Migration in progress, Reauthoring needs to be done, as one of the input parameter used was not supposed to use directly, needs to use it through bitmap parameter
10-02:Model changes in progress , ARXML File received
09-02:Model changes in progress ( matlab crashes needs to rerun it again)
will start from 2/6/2026, Authoring email send on 06/02/2026</t>
  </si>
  <si>
    <t>IPD DOC OECS diagnostics documentation update for the AftElecHtrIPwrDDiag component</t>
  </si>
  <si>
    <t>02-04:Extra scope-working on Non intrusive concept  Cert doc update and Peer and CCB review completed and sent for L2- 4hr ,
30-03:Comment verification with Swayang,
27-03:Working on Comment 3.5hr
19-03:Sent for L2 reviewSupport for DRB sheet review comment verification(3Hr)
17-03:Working on Applicaion guide comment , and cerdoc report creation and CCB completed- 5.5 hrPeer review -1.25hrsupports to generate reqif file - 2.0hr
16-03:Certdoc updation completed,idfmea also completed, Peer compelted, CCB in continuation ( comment in application guide).
13-03:Working on Certdoc and FMEA group discussion and preparing artifacts for review and Peer continuationLavanya KT Session - 0.75 hrs,Today working on CertDoc, working on FMEA team discussion comment and Preparing parameter list Planning for CCB
12-03:Working Certdoc and peer artifacts preparing, Peer review continuation-(3.5hr)CCb Review-(0.75hr) and peer review(1hr)KT Session - 1hrPFS Connect-0.5hrQuality Audit support-1.75hr
11-03:FMEA Update completed. Certdoc will started.
10-03:Application guide update completed
06-03:working on Application guide-0.5hrKT session, ( Certdoc scope is not confirm)
26-02:Working on application guide, for the discripency found in appguide
25-02:Working on application guide, discripency found in appguide discussed with Shradha M.
24-02:Working on application guide, discripency found in appguide discussed with Shradha M.
23-02:Working on application guide.
55Hrs are required, Efforts are shown in the combined efforts for DCR 18137175 ( 203)</t>
  </si>
  <si>
    <t>Awating L2 review</t>
  </si>
  <si>
    <t>dmAftElecIPwrDDOCHtrPwrDgrdOECSErr: Complete CSAR OBD MS 4-5 review for LG and Barracuda</t>
  </si>
  <si>
    <t>01-04:Verifying new-proto build- now Error state is updated-2hr, CCB Review- 1.5hr_x000D_Support-0.5hr_x000D_Discussion with Swati reg Error state is not updated-0.5hr
31-03: Error state is not updated in proto build, we need to wait for proper build, 9th April for LG 4.11.4 new build release. Simulation data still not received from Hai.
30-03: Received the proto build, the error state signal is seeing, but it is not updated,
27-03:Working Interface testing (3hr) , CCB review - 1hrSupport - 1hr(Indumathi and Sindhu)
26-03:working on bench testing,6.75hrSupport- 0.5 hrReview-1hr
25-03: Bench testing- Interface testing is in progress , Pending work: Awaiting test cell data from hai for simulation and awaiting proto build from Swati
24-03:Bench testing-Interface testing is In progress-6.75hr, Discussion (CR_17519951 is missing in LG 4.11.3 for IPD DOC OECS)-0.5hr
23-03,21-03,20-03: Bench testing in progress, Facing issue on 2 trip MIL Testing,error state is not updating,  Proto Build will be required, Hai is initiatting talk with Swati, and got confirmation from Swati to receive proto build on this week
19-03:Analysis data and Go through the HTR1 MS45 PPT(3.5hr), Daily Meeting (0.25hr)Omkar Peer review (1hr) and Sowjanya CCB(45min)Today - MS45 - Bench testing in progress
18-03: Simulation of Heater off data in progress
16-03:Preparing parameter list for simulation.
06-03:MS4- Attend Swayang call and Preparing parameter list for Simulation(Additional scope-  Simulation considering Htr Off time 5sec(htr min pwr) and htr On time 15 sec (Htr on full pwr)</t>
  </si>
  <si>
    <t>4/10/2026
4/17/2026</t>
  </si>
  <si>
    <t>06-03:Component check in done, DCR closing and preparing artifacts, Function and sub function mapping and , prepared Implementation note for  DCR
05-03:DRB Review completed
04-03:Working on V&amp;V , Plotting in progress, PPT update and artifacts preperation.
03-03:Working on V&amp;V,
02-03:Working on migration and test case update</t>
  </si>
  <si>
    <t>aishwarya Jahagirdar (ac14v)</t>
  </si>
  <si>
    <t>HCU2 Internal Driver Error Signal and supporting diagnostic</t>
  </si>
  <si>
    <t>DCR request to change the software to have pass-timers for NR (non regen) errors in GTP1/GTP6/GTP7</t>
  </si>
  <si>
    <t>03-04:Worked on plotting._x000D_When a fail decision occurs, the fail flag gets set and latched. As per the expected behavior, this latch should be cleared only after power-down, and after key re-initialization, the pass timer should start running._x000D_However, the actual behavior is incorrect. When the engine is turned OFF and the key is turned OFF, the pass counter starts immediately and gives a decision without waiting for proper key re-initialization.-7.5 hrs
02-04:Worked on plotting. Two-trip plots were generated for the DPF Out error. For the DPF Delta error, the current behavior was observed to be incorrect, as the pass timer was running even when the engine running status was 0 and the key status was also 0.- 7.5 hrs, Blocker: Yesterday, I tried to connect with Chaitali, but she mentioned that she will connect tomorrow. Today, I will connect with her and discuss the issue
01-04,31-03:Plotting in progress, worked on Malfunction criteria for both DPF OUT AND DPF Delta error
30-03:Screen file is ready for both errors.Taking logs today, will check plots are coming properly or not.
27-03:Working on screen file on baracoda build
26-03:Started working on the screen file; however, ISM parameters are not present in the latest Titanium 5.11.11 build. .. 4 hrs
25-03: Analysis in progress,</t>
  </si>
  <si>
    <t>E-heater Stuck on error diagnostic logic update - AftElecHtr2Diag</t>
  </si>
  <si>
    <t>Waiting for TRB_ECM testing.
Option 2 is selected, see discussion note.</t>
  </si>
  <si>
    <t>AftElecHtr2Diag:Need to Implement heater inlet temperature rate of change logic for OECS &amp; CSERS</t>
  </si>
  <si>
    <t>AftElecHtr2Diag: Heater 48V supply interrupt and 48V IRL diagnostics analysis</t>
  </si>
  <si>
    <t>DCR to Update appguide for TIS 4658 AFT Particulate Filter Regeneration w.r.t OBD forum action item</t>
  </si>
  <si>
    <t>04-03 : DCR to be close today
27-02 : check-in is in progress
26-02 : L2 feedback received, check-in to be proceed
25-02 : Awaiitng L2 verification
24-05:Worked on the L2 Review action item and again resend it for L2 Verification
17-02: CCB Completed and send to L2 Review with yue on 16th Feb
16-02: Peer completed without Comments, CCb planned today
13-02: Appguide update compeleted, Peer review planned today
12-02: Worked on appguide</t>
  </si>
  <si>
    <t>FTIS</t>
  </si>
  <si>
    <t>Request to resolve cert doc errors for MY27 RAM programs - PFS</t>
  </si>
  <si>
    <t>16-02:Check in completed and DCR closed in integrity
13-2: Discussed with Yue and Chris to clarify the L2 comment received from Yue and resent it for verification and received L2 Comment from Yue, DCR closure is planned today
10-02: CCB Completed and send to L2 and Cds review to Yue and Chris,on 9th Feb, CDS pass recceived
09-02: Peer completed and CCb in progress
06-02:Changes in SFM Component, and updated, Peer review planned today
05-02:While analysis in latest SFM and GTP 6, There is no error coming, need to check again.( power down added), pmsc, 
04-02:Initial analysis in progress ( observed changes in GTP6,&amp; SFM, need to analyse the odbm file to remove the certdoc, we need to map with the model and update the obdm file.
03-02:Initial analysis in progress</t>
  </si>
  <si>
    <t>SCR</t>
  </si>
  <si>
    <t>11-03 : Updated OECS iDFMEA on latest document, all the FMEA attached in integrity &amp; SRS are published, DCRs submitted for Evaluation
04-03  :Sent for offline L2 review
02-03 : CCB review comments fixed,  to be send for L2/DRB review today
27-02 : Peer is completed, CCB review is planed today
26-02 : Peer review is in continuation
25-02 : Peer review is in continaution
24-02: Evaluation documentation completed, self review completed. Peer review planned.
23-02:Documentation is progress,
20-02:Interface sheet completed.
19-02:Interface sheet is in progress
18-02:Analysis completed and Evaluation ppt in process
17-02:Initial analysis in progress</t>
  </si>
  <si>
    <t>04-03  :Sent for offline L2 review
25-02 : Peer review is in continaution
24-02:Combined efforts tracked on DCR 18330291
23-02:Eval is in progress
20-02:Initial analysis in progress , From Tuesday peer plan</t>
  </si>
  <si>
    <t>AftFtis4658DPFRegen: STOP routine doesn't reset the oper mode</t>
  </si>
  <si>
    <t>06-04 : DCR submitted in Integrity for Evaluation
25-03 : testing is completed, and taken the log. working on addtional scnerios. 
27-03, 26-03 : DRB Completed. Updated presentation share for review. Awaiting feedback
23-03 : To be check in bench testing. 
18-03 : CCB review is completed, DRB review is plan today.
17-03 : Peer review completed, CCB review is plan today
16-03  :Eval PPT is in progress, Peer review is plan tpday
13-03 : Model changes completed, Eval PPT is in progress
06-03 : Initial analysis</t>
  </si>
  <si>
    <t>Dual Heater service test should have highest priority over SCR thermal management mode</t>
  </si>
  <si>
    <t>06-04  : Completed ppt update and Testing
01-04 : Working on analysis for latest data shared by timmy and discusison is plan with Snehal
25-03  :Awaiting addtional data from timmy
23-03 : To be work on actions item received from Snehal.
18-03  :completed the plotting and plan to initiate discusison call with Snehal.
17-03 : Discussion with Snehal, Working on plotting as Snehal suggested
16-03 : working on analysis for the logs shared by Timmy
13-03 : Analysis for test logs shared by Timmy. Discussed with Dhanraj, he will check the logs at his end and inform on how to proceed further.
12-03 : Worked on PPT and had a meeting with required stakeholders.
11-03 : PPT is in progress, disucsison is plan today
10-03 : Recreated same scenario(truck testing issue) on bench and similar issue is observed. Informed Dhanraj the same
09-03 : Calibration tunning data analysis and its discussions
06-03 : Parameters data is requested to Timmy. Discussion on its analysis
05-03 : Worked on analysis for SCR thermal management component &amp; truck testing data
04-03 : updated the presentation on initial requirement. 
02-03 : working on concept analysis
27-02 : working on concept, 
26-02 :discusison is in progress. Presentation is in progress. plan is setup today.
25-02 : Discusison is in progress, PPT to be updated
24-02 : working on Proposal. 
23-02 : Log analysis is completed, SCR opr mode issue resolution is in progress
20-02 : DCR to be raise for SCR and inform to SCR team. Received details from timmy, working on data analysis
19-02 : Yesterday worked on presentation creation and discussion with Snehal for Opermode issue
18-02 : PPT to be created and shared the details to component owner
17-02 : base on inputs from Timmy, need to improvement on SCR oper mode. Planning to take a call with Swapnil and Snehal Today
16-02 : analysis is in progress, for truck cell data</t>
  </si>
  <si>
    <t>Implement New EDL for DOC OECS Intrusive Diagnostic - Ti</t>
  </si>
  <si>
    <t>06-04 : L2 comments received, To be confirm with Dhanraj and send for authoring today
03-04 : received L2 refiew feedback from Dhanraj and Snehal.
01-04, 31-03 : sent for L2 review for eval
30-03  :Peer review is plan today
27-03, 26-03 : Will be working on EDL DCR Evaluation
17-03 : Final confirmation received, scope is incresed. 
10-03 : EDL DCR initial analysis and discussion
06-03 : Awaiitng confirmaiton from Edger</t>
  </si>
  <si>
    <t>Implement New EDL for IPD DOC OECS Intrusive Diagnostic - LG/Barracuda</t>
  </si>
  <si>
    <t>10-03 : Efforts tracked under DCR_18986418
06-03 : Awaiitng confirmaiton from Edger</t>
  </si>
  <si>
    <t>01-04:L2 Review and comment closure with Snehal, 
26-03:CCB review completed, and send for L2 with Dhanraj and snehal.-  3.5 hr
25-03:CCB in continuation
23-03:Peer review with Iram Completed.
19-03:Implementation PPT completed, Peer not planned today- 5.5 hr. Support to Srinadh for manipulating the IPD bitmap Input signal in Baracuda 8.5 build- 1 hr.
18-03:V&amp;V Completed, PPT in progress, and planning to peer review today
17-03:MIL,SIL in progress. &amp; peer observer- 0.5 hr
16-03:Received ARXML File and migration in progress</t>
  </si>
  <si>
    <t>STLA PU MY25/27: Update DOCA service test with correct oper mode parameters</t>
  </si>
  <si>
    <t>13-03 : Initial analysis started</t>
  </si>
  <si>
    <t>Software issue - Elapsed Cleaning Time being reset due to Enabling DPF Regeneration Counts Logic</t>
  </si>
  <si>
    <t>01-04 : evalaution to be submitted
30-03 : Peer +ccb review plan today
27-03 : working on artefacts
26-03, 25-03 : analysis is in progress
13-03 : Initial analysis started</t>
  </si>
  <si>
    <t>06-04,03-04 : Impl in progress
02-04 , 01-04 : Impl in progress</t>
  </si>
  <si>
    <t>Yashnwanth/Sheetal</t>
  </si>
  <si>
    <t>Stuck On</t>
  </si>
  <si>
    <t>IRL Issue</t>
  </si>
  <si>
    <t>02-04:started working on vnv 
31-03:Implementation is in progress(3hr)
30-03: Initial analysis in progress
27-03: Initial analysis in progress</t>
  </si>
  <si>
    <t>V&amp;V in progress</t>
  </si>
  <si>
    <t>25-03:Reviewed with Lavanya, Lavanya suggested to change few plots with timestamps.which is also completed
24-03:completed the testing and plotting. PPT is updated with the plots. need to one level verification, after i will send to L2 review</t>
  </si>
  <si>
    <t>Migration of Capability data to CSAR AftDPFMissDiag Component</t>
  </si>
  <si>
    <t>Awaiting DCR Approval from John</t>
  </si>
  <si>
    <t>06-04: Send for Authoring Request on 3rd April for this DCR AND DCR 18849299
01-04:Application guide completed.
25-03:Analysis in progress</t>
  </si>
  <si>
    <t>Changes to AftDualHtrCtrl</t>
  </si>
  <si>
    <t>01-04 : Awaiting L2 review
30-03 : Peer + CCB review completed, to be send for L2 review today
27-03, 26-03 : workign on artefacts
25-03  :Analysis is in progerss</t>
  </si>
  <si>
    <t>03-04  :Plan for Peer review on Monday
01-04 : V&amp;V is completed, working on PPT
31-03 : Migattion is completed and V7V is in progress</t>
  </si>
  <si>
    <t>Impl in progress</t>
  </si>
  <si>
    <t>PM Sensor Post-Engine Shut Down Protective Heating</t>
  </si>
  <si>
    <t>01-04:Initial analysis in progress to understand about the requirments and logic
Core 2 DCR</t>
  </si>
  <si>
    <t>Awaiting eval from Yue</t>
  </si>
  <si>
    <t>OBDM FIM Implimentation Update required - AftDiesOxidCatHCDosEffCalc</t>
  </si>
  <si>
    <t>Status is same as other SIndhu DCR</t>
  </si>
  <si>
    <t>Sheet Name</t>
  </si>
  <si>
    <t>What to update?</t>
  </si>
  <si>
    <t>When to update?</t>
  </si>
  <si>
    <t>Impact</t>
  </si>
  <si>
    <t>Responsibility</t>
  </si>
  <si>
    <t>All</t>
  </si>
  <si>
    <t xml:space="preserve">Use TAB </t>
  </si>
  <si>
    <t>To create new row</t>
  </si>
  <si>
    <t>Copy all existing formats &amp; formulas</t>
  </si>
  <si>
    <t>Project Lead</t>
  </si>
  <si>
    <t>Text in 'Black' Font</t>
  </si>
  <si>
    <t>As per Guidelines</t>
  </si>
  <si>
    <t>Resource Utilization</t>
  </si>
  <si>
    <t>Days in Release</t>
  </si>
  <si>
    <t>Count available working days</t>
  </si>
  <si>
    <t>Resource Utilization &amp; Team Utilization graphs</t>
  </si>
  <si>
    <t>Drag %</t>
  </si>
  <si>
    <t>Change in Drag %</t>
  </si>
  <si>
    <t>Use TAB to add resources in team</t>
  </si>
  <si>
    <t>New team member is added to team</t>
  </si>
  <si>
    <t>All sheets &amp; diagrams</t>
  </si>
  <si>
    <t>Format change for template</t>
  </si>
  <si>
    <t>Changes / Suggestions by Project or KPIT management / Customer</t>
  </si>
  <si>
    <t>Respective sheets / diagrams</t>
  </si>
  <si>
    <t>Process Consultant</t>
  </si>
  <si>
    <t>Revision History</t>
  </si>
  <si>
    <t>Version Details</t>
  </si>
  <si>
    <t>Reason for Change</t>
  </si>
  <si>
    <t>Author</t>
  </si>
  <si>
    <t>Approver</t>
  </si>
  <si>
    <t>Approval Date</t>
  </si>
  <si>
    <t>Baseline Version</t>
  </si>
  <si>
    <t>Jyoti Brahme</t>
  </si>
  <si>
    <t>Ameet Chogale</t>
  </si>
  <si>
    <t>Updated for Sabneet's team as per her requirements</t>
  </si>
  <si>
    <t>Sabneet Bopare</t>
  </si>
  <si>
    <t>Updated based on discussion between Ameet, Dev, Kamal &amp; Sabneet</t>
  </si>
  <si>
    <t>Sabneet Cheema</t>
  </si>
  <si>
    <t xml:space="preserve">Added the following under Sub Category Column -'M'. Will be evaluated for usage.
"Analysis,Communication,Development,Documentation,Feature Sim,Bench Testing,Peer Review &amp; Rework, KPIT CCB Review &amp; Rework, CES CCB Review &amp; Rework,Forced Change,Bump Out,Configuration management,Presentation Session,Self Study,Value Addition" </t>
  </si>
  <si>
    <t>Not yet</t>
  </si>
  <si>
    <t>Added the following:
Value Addition - Kamal
Converted all the sheets into tables</t>
  </si>
  <si>
    <t>Added formulas for updating the 'Dashboard Sheet' automatically
Added code for automatically uploading the Tracker sheet on H drive</t>
  </si>
  <si>
    <t>Corrected the formula in 'Resource Utilization' Sheet under "Estimated
Available Engg Hours". It was earlier divided by 100 which wasn’t required.</t>
  </si>
  <si>
    <t>Updated the formula in 'Resource Utilization' Sheet under "Estimated
Available Engg Hours" ,Remaining &amp; Column 'K'. The number of rows was hard coded; have made it indefinite now
Removed the 'drop down' from 'sub-task' category of the 'Tracker' Sheet based on the meeting with the onsite coordinators.</t>
  </si>
  <si>
    <t xml:space="preserve">Added following macros in "Dashboard" tab.
1.) UpdatePBFromSCRUM: Updates PRCRs in product backlog with the latest status of all the prcrs in SCRUM. If the prcr is not present in PB this macro also adds it there.
2.) UpdateSCRUMFromCQ: Adds prcr from ClearQuest Query report to SCRUM. If the prcr is already present duplicate copy is not created.
</t>
  </si>
  <si>
    <t>Devendra Bharadwaj</t>
  </si>
  <si>
    <t>In progress</t>
  </si>
  <si>
    <t xml:space="preserve">Done following changes in the "Tracker" tab.
1.) Added Work Paket ID column.('N' Column)
2.) Category in Sub task column has been changed (fixed to 7 categories only)
3.) Deleted few columns ( Business Heads,Sub System,Work Category) as it was not used. </t>
  </si>
  <si>
    <t>Purnima Sharma</t>
  </si>
  <si>
    <t>Done following changes
1. Macro added to updated SCRUM from CQ and PB from SCRUM.
2. Modified column sequesnce in SCRUM sheet.
3. Added Logger to Log daily comments, whenever changed.
4. Added column AM and AN which are required for PB."</t>
  </si>
  <si>
    <t>Geeta Bajaj</t>
  </si>
  <si>
    <t>Kanchan Tulapurkar</t>
  </si>
  <si>
    <t>Team</t>
  </si>
  <si>
    <t>Free after date</t>
  </si>
  <si>
    <t>Anushka Gaikwad</t>
  </si>
  <si>
    <t>core2</t>
  </si>
  <si>
    <t>Amit Matale</t>
  </si>
  <si>
    <t>DOC intrusive IPD</t>
  </si>
  <si>
    <t>IPD Service testing</t>
  </si>
  <si>
    <t>2 trip plotting of scr oecs</t>
  </si>
  <si>
    <t>SumitKumar Patil</t>
  </si>
  <si>
    <t xml:space="preserve">Diag 1 V&amp;V, V&amp;V for IDP DOC Intrusive </t>
  </si>
  <si>
    <t>Testing</t>
  </si>
  <si>
    <t>Lavanya Nayak</t>
  </si>
  <si>
    <t>To be check</t>
  </si>
  <si>
    <t>STLA DCR 1 eval</t>
  </si>
  <si>
    <t>Jayant Patil</t>
  </si>
  <si>
    <t xml:space="preserve"> 18664459, 17803153 - Migration &amp; v&amp;v</t>
  </si>
  <si>
    <t xml:space="preserve">DPF filteration effciency + </t>
  </si>
  <si>
    <t>Iram Nazneen</t>
  </si>
  <si>
    <t>Swayangdipta Sarkar</t>
  </si>
  <si>
    <t>Sheetal Vishwakarma</t>
  </si>
  <si>
    <t>Srinadh V</t>
  </si>
  <si>
    <t>1 dcr, impl ( feb end) and ECM Testing</t>
  </si>
  <si>
    <t>Indumati M</t>
  </si>
  <si>
    <t xml:space="preserve">Proc, AECD component - Feb, </t>
  </si>
  <si>
    <t>15th March</t>
  </si>
  <si>
    <t>Aishwarya Jahgirdar</t>
  </si>
  <si>
    <r>
      <rPr>
        <sz val="11"/>
        <color rgb="FF000000"/>
        <rFont val="Calibri"/>
        <family val="2"/>
        <scheme val="minor"/>
      </rPr>
      <t xml:space="preserve">50% BW can we align with Aishwarya, 18050410, </t>
    </r>
    <r>
      <rPr>
        <b/>
        <sz val="11"/>
        <color rgb="FF000000"/>
        <rFont val="Calibri"/>
        <family val="2"/>
        <scheme val="minor"/>
      </rPr>
      <t>ECM Testing</t>
    </r>
  </si>
  <si>
    <t>2 eval, service test testing</t>
  </si>
  <si>
    <t>Yashwanth polisetti</t>
  </si>
  <si>
    <r>
      <rPr>
        <sz val="11"/>
        <color rgb="FF000000"/>
        <rFont val="Aptos Narrow"/>
        <family val="2"/>
      </rPr>
      <t xml:space="preserve">Appguide and Certdoc for Diag 1, </t>
    </r>
    <r>
      <rPr>
        <b/>
        <sz val="11"/>
        <color rgb="FF000000"/>
        <rFont val="Aptos Narrow"/>
        <family val="2"/>
      </rPr>
      <t>2 DCRs migration and V&amp;V. 16816828 &amp; 17112723, 18622558</t>
    </r>
  </si>
  <si>
    <t>Prathyusha</t>
  </si>
  <si>
    <t>Cert doc, OBDM Appguide  - Type 1, Type 2</t>
  </si>
  <si>
    <t>1 DCR assigned</t>
  </si>
  <si>
    <t>Boyella Varun Teja</t>
  </si>
  <si>
    <t>Cert doc, hcu1, daf0 heater 2, 1 DCR eval and impl</t>
  </si>
  <si>
    <t>Omkar Shinde</t>
  </si>
  <si>
    <t>STLA</t>
  </si>
  <si>
    <t>Zamir shaikh</t>
  </si>
  <si>
    <t>Vishnu Priya</t>
  </si>
  <si>
    <t>Shrutika Shete</t>
  </si>
  <si>
    <t>Functional diag testing</t>
  </si>
  <si>
    <t>Balraj Malage</t>
  </si>
  <si>
    <t>shraddha M</t>
  </si>
  <si>
    <t>Manish</t>
  </si>
  <si>
    <t>Harshal Tayade</t>
  </si>
  <si>
    <t>Shraddha Tilloo</t>
  </si>
  <si>
    <t>Sindhu D</t>
  </si>
  <si>
    <t>OBDM, Appguide  - Type 1, Type 2</t>
  </si>
  <si>
    <t>Manaswi Gondhle</t>
  </si>
  <si>
    <t>Appguide  - Type 1, Type 2</t>
  </si>
  <si>
    <t>Leads</t>
  </si>
  <si>
    <t>To plan the work</t>
  </si>
  <si>
    <t>loaded</t>
  </si>
  <si>
    <t>People visibility in My world</t>
  </si>
  <si>
    <t>PL</t>
  </si>
  <si>
    <t>Shradha M</t>
  </si>
  <si>
    <t>Occupied</t>
  </si>
  <si>
    <t>DDP</t>
  </si>
  <si>
    <t>Chitharenjan</t>
  </si>
  <si>
    <t>Swayang</t>
  </si>
  <si>
    <t>can take the eval for new DCR</t>
  </si>
  <si>
    <t>can take the Impl for new DCR</t>
  </si>
  <si>
    <t>Yes</t>
  </si>
  <si>
    <t>Nileema</t>
  </si>
  <si>
    <t>Y</t>
  </si>
  <si>
    <t>Leave</t>
  </si>
  <si>
    <t>depends on estimation can be plan certdoc DCR</t>
  </si>
  <si>
    <t>Not Required</t>
  </si>
  <si>
    <t>WFH</t>
  </si>
  <si>
    <t>updates required</t>
  </si>
  <si>
    <t>Allowed</t>
  </si>
  <si>
    <t>65 Hrs</t>
  </si>
  <si>
    <t>No</t>
  </si>
  <si>
    <t>L</t>
  </si>
  <si>
    <t>Not Allowed</t>
  </si>
  <si>
    <t>70 Hrs</t>
  </si>
  <si>
    <t>y</t>
  </si>
  <si>
    <t>Manish Hariya</t>
  </si>
  <si>
    <t>NO</t>
  </si>
  <si>
    <t>Anshul Uperti</t>
  </si>
  <si>
    <t>Uttam Mishra</t>
  </si>
  <si>
    <t>U Madhura Sandhya</t>
  </si>
  <si>
    <t xml:space="preserve">Evaluation % work completion </t>
  </si>
  <si>
    <t>Phase</t>
  </si>
  <si>
    <t>Activities</t>
  </si>
  <si>
    <t>% breakup</t>
  </si>
  <si>
    <t>Evaluation</t>
  </si>
  <si>
    <t xml:space="preserve">Analysis </t>
  </si>
  <si>
    <t>communication for clarification</t>
  </si>
  <si>
    <t>SRS</t>
  </si>
  <si>
    <t>FMEA</t>
  </si>
  <si>
    <t>PPT creation</t>
  </si>
  <si>
    <t>Interface sheet creation/updation</t>
  </si>
  <si>
    <t>Peer Review</t>
  </si>
  <si>
    <t>CCB Review</t>
  </si>
  <si>
    <t>L2/DRB</t>
  </si>
  <si>
    <t>RRB tag</t>
  </si>
  <si>
    <t>AECD tag</t>
  </si>
  <si>
    <t>DCR submission in Integrity</t>
  </si>
  <si>
    <t>Implementation % work completion calculation</t>
  </si>
  <si>
    <t>Certdoc % work completion calculation</t>
  </si>
  <si>
    <t>Syncup Changes</t>
  </si>
  <si>
    <t>New component creation</t>
  </si>
  <si>
    <t>Total number of Monitors</t>
  </si>
  <si>
    <t>Efforts required to update all Monitors in a Cert Doc file</t>
  </si>
  <si>
    <t xml:space="preserve">Implementation </t>
  </si>
  <si>
    <t>Analysis</t>
  </si>
  <si>
    <t>Condition Verification in Model as per CSAR</t>
  </si>
  <si>
    <t>Authoring request</t>
  </si>
  <si>
    <t>Decomposition Analysis of VCOND and VERR</t>
  </si>
  <si>
    <t>model preparation</t>
  </si>
  <si>
    <t>Competency Factor</t>
  </si>
  <si>
    <t>model migration includes code genration, MA, polyspace, VTT compilation, rquirement mapping</t>
  </si>
  <si>
    <t>Cert Doc Update Efforts (hrs)</t>
  </si>
  <si>
    <t>traceability - read the SRS and check test cases vs model mapping /test scenario generation</t>
  </si>
  <si>
    <t>Communication Effort</t>
  </si>
  <si>
    <t>traceability review (for the initial/first time component creation)</t>
  </si>
  <si>
    <t>Configuration Management</t>
  </si>
  <si>
    <t>test vector creation/update</t>
  </si>
  <si>
    <t>Work Efforts(hrs)</t>
  </si>
  <si>
    <t>test execution (MIL, SIL, regression and accleration, MCDC covergae)</t>
  </si>
  <si>
    <t>Review</t>
  </si>
  <si>
    <t>Requirement mapping related to test manager</t>
  </si>
  <si>
    <t>Rework</t>
  </si>
  <si>
    <t>Appguide creation</t>
  </si>
  <si>
    <t>Screen</t>
  </si>
  <si>
    <t>certdoc (only for diagnostics)</t>
  </si>
  <si>
    <t>Screen Rework</t>
  </si>
  <si>
    <t>ppt creation</t>
  </si>
  <si>
    <t>L2 Rework</t>
  </si>
  <si>
    <t>peer review</t>
  </si>
  <si>
    <t>CDS Review</t>
  </si>
  <si>
    <t>CCB review</t>
  </si>
  <si>
    <t>CDS Rework</t>
  </si>
  <si>
    <t>L2/DRB/CDS review</t>
  </si>
  <si>
    <t>Total Effort In Hours</t>
  </si>
  <si>
    <t>Merge request - Design and component</t>
  </si>
  <si>
    <t>Estimation for Task Creation</t>
  </si>
  <si>
    <t>DCR closure</t>
  </si>
  <si>
    <t>Review Type</t>
  </si>
  <si>
    <t>Zameer shaik (au51w)</t>
  </si>
  <si>
    <t>AftFtis65697DualElecHtrTest: Software testing for Dual eHeater service test for DAF architecture along with MCDC coverage</t>
  </si>
  <si>
    <t>23-06 : V&amp;V in progress
Total test_cases :: 20
Total Scenarios :: 94
Completed Senarios :: 21
19-06  :Worked on VnV and completion plan preparation update
18-06 : Worked on VnV and completion plan preparation
16-06 : Test Scenario preparation
15-06  :Tracebaility analysis and Test Scenario preparation
10-06 : Analysis of appguide and Test vectors for (TI and IPD)</t>
  </si>
  <si>
    <t xml:space="preserve">CES_PFS (Owned by </t>
  </si>
  <si>
    <t>CES CSAR 01.26.09.00 - 17536944</t>
  </si>
  <si>
    <t>CSAR Migration : Inclusion of a service-based reset for Ineffective Regen following the completion of maintenance tests.</t>
  </si>
  <si>
    <t>04-06 : review completed and evalaution is submitted in integrity
22-05 : DRB review completed.
20-05 : CCB review is in progress
13-05 : documenttation is in progress.  Peer review is plan today
08-05 : EVAL pppt is compeletd, Working on SRS changes
06-05 : Analysis is in progress. Working pn analysis</t>
  </si>
  <si>
    <t>DRB</t>
  </si>
  <si>
    <t>15-06 : Bench testing for OBD Arbitration issue and discussion with Snehal
12-06  :Analysis for DOC arbitration issue
10-06 : worked on data analysis and discusison.
09-06 : Testing issue analysis, its discussions and testing logs analysis
08-06  : action item is closed and Ms4-5 is passed
04-06 : action item closure waiting inputs from Mayra
03-06 : working on 2nd action items
01-06 : IPD Bench testing: Plotting completed &amp; Presentation updated. Attended OBD Forum. Closed 1st AI . For 2nd AI need to show plots to Kareeshma as the AI was given by her. Need to appear forum on this Friday again Time spent
29-05  : working on PPT and plotting
28-05 : Testing is completed, forum review plan today
27-05 : working on testing. 
26-05 : Testing in progress
22-05 : Testing to be inititiated for code
13-05 : Awaiting reply from Edger
08-05 : 2 code 1 action items</t>
  </si>
  <si>
    <t>25-06:Working on the MS4-5 PPT (in progress). An internal review is planned for today, and review comment resolution is ongoing. Also worked on bench testing. 5.75hr &amp; today, I am working on simulation using RUN 8 data, as the latest test data is not available. The simulation is being performed considering the new calibration tuning.
24-06:Hemanth discussed the feedback power behaviour with Jared, who explained that a non-zero feedback power is intentionally reported to the ECM to avoid power mismatch faults and prevent heater shutdown, while the temperature profile behavior remains as expected for degraded heater scenarios. Continuing analysis and validation of the degraded heater cases. and working on MS45 ppt and Internal review in progress- because Test cell data from Hemanth is pending and expected by evening. Today, working on review comment resolution and PPT updates-6.5hr
23-06:Analyzing RUN 8 data a for fully and partially degraded heater,In Fully degraded data- observed diff in expected Feedback power so, i have discuss with Hemanth , he also no idea about the PIBs working ,how to set feedback power (he knows the settings, plans to discuss it with Jared today) but, Temp profile is showing correct in partially and fully degraded data because temp delta ROC is near to zero for fully degraded data and near abot 0.2 for partially degraded data,
and working on MS45ppt and also plan internal review with Dhanraj and Todd-6hr,
22-06:working on RUN 8 data with upaded tuning to verify the diag is taken decision and discussion and working on MS4-5 PPT 5hr
19-06:Analysis the RUN 10 data and also done the Simulation with RUN 10 data with updated Tunings in FTP in OECS Diagnostic and today working on RUN 8 data with upaded tuning to verify the diag is taken decision -5.5 hr
17-06:Analysis the RUN 9 data and also done the Simulation with RUN 9 data with new Turnings, trying to take decision in BAG4 in FTP in OECS Diagnostic-7hr
16-06:Working on bench testing -5.5hr
15-06:Analysis the RUN 8 data and also done the Simulation with RUN 8 data with new Turnings, trying to take decision in BAG4 in FTP in DOC OECS Diagnostic. -6hr
12-06:Healthy data analysis -for RUN6 and RUN7 data and today working on simulation for RUN7 data, we try to enable diag in BAG4 in FTP-4.5hr
11-06:Healthy data analysis the RUN6 data-5 hr
10-06:Healthy data analysis and simulation, and discuss with Hai and Hemanth and proposed the new values for Lookuptable-6hr
09-06:Healthy data analysis 6hr
08-06:Working on FULLY DEGRADED data analysis-5.25hr
05-06:Working on bench and Healthy data analysis-6hr
04-06:Working on bench and observed calterm issue, today working on same-(2hrs)</t>
  </si>
  <si>
    <t>2026 Apr - CES PFS : 18644536</t>
  </si>
  <si>
    <t>IPD CSERS diagnostics documentation update for the AftElecHtrIPwrDDiag component.</t>
  </si>
  <si>
    <t>15-06:Connected with sheetal for doc gen errors and resolved .generated all reports again and sent the updated obdm to her for doc gen . CCB review completed and sent mail to yogesh for RRB and filled AECD form , replaced all the artifacts in the B-drive path and sent for L2 review-4hrs (Sindhu's effort)
12-06:CCB review completed -1.5hr ( amit efforts)
11-06:CCB review continuation -0.75hr ( amit efforts) &amp; CCB review in continuation and worked on the comments 2.75hr ( Sindhu's efforts)
10-06:CCB review in continuation (1.5hr) Sindhu's Efforts
08-06:peer review -0.5hr ( amit efforts) &amp; peer review completed for OBDM DCR_19131416  ( 0.5hrs) Sindhu's Efforts
05-06: Considered extra scope of changing CaAftElecIPwrDDOCHtrOECSIntruHtrOnDlyTime in malfuction for dmAftElecIPwrDDOCHtrPwrDgrdOECSErr , and updated pause conditions also in the enable conditions for dmAftElecIPwrDSCRHtrPwrDgrdCSERSErr as per peer review suggested and done 8step again and resolved errors , created cal sheet with tunning for doc gen report ,peer review in progress  (7.75hrs) ( Danduboyina Sindhu efforts)
04-06:Preparing artifacts and peer review- (3hrs)  ( Amit efforts)
03-06:FMEA update in progress and Discussion done with Iram and comments are updated in FMEA 4.75hr ( amit efforts) &amp; Updated dmAftElecIPwrDDOCHtrPwrDgrdCSERSErr monitor pause conditions in enable conditions, resolved validation errors, generated link report ,8step report, compare report (7.75hrs) (sindhu efforts)
02-06:completed updating dmAftElecIPwrDDOCHtrPwrDgrdCSERSErr monitor and going for peer review today (7.75hrs) ( sindhu efforts) &amp; FMEA update in progress- 5hr ( amit efforts)
01-06:created new monitor(dmAftElecIPwrDDOCHtrPwrDgrdCSERSErr) and updating the conditions (8hrs)(sindhu efforts)
29-05:Sindu starts working on certdoc update, created new monitor(dmAftElecIPwrDSCRHtrPwrDgrdCSERSErr) and updated Enable and pause conditions in AftElecHtrIPwrDDiag OBDM (7.75hrs)
28-05:Working on Application guide update completed and FMEA update-5hr
27-05:Working on Application guide update: 5.25hr
26-05:Working on Application guide-3hr</t>
  </si>
  <si>
    <t>6/30/2026 To 7/02/2026</t>
  </si>
  <si>
    <t>SAIPD: Update Required in AftDualHtrCtrlIPwrD Component for DOC heater power degraded OECS Intrusive diagnostic concept</t>
  </si>
  <si>
    <t>08-05:Discuss with Dhanraj regarding AECD tag and DCR submitted assign to John c- 1hr &amp;  working on Estimation-4hr , &amp; Review , Support, and PFS connect-2.75hr
07-05:working on Estimation-4hr , &amp; Working On Simulation data analysis shared by Dhanraj and Support to Dhanraj for Simulation data plotting-3hr, Support, PFS Connect, Meeting-1.75hr ( no efforts added for this DCR)
06-05:Working DCR-DRB completed and worked on Feature simulation it was help to select the approach-(5hr) &amp; Working on Estimation- 4hr
Review, Support, PFS connect and meeting-2.75hr
05-05:CCB completed; currently worked on analysis as discussed with Dhanraj. DRB call planned today-5.75hr &amp; Reqif creation support, PFS connect-2.75hr</t>
  </si>
  <si>
    <t>2026 Mar - CES PFS : 18644522</t>
  </si>
  <si>
    <t>Waiting for TRB_SIL testing</t>
  </si>
  <si>
    <t>18-05:Working on L2 comment, Query discuss with Hai and Dhanraj and DCR closing-10hr &amp; Support, PFC Connect and Meeting-1.75
15-05:Working on DRB/L2 comment sheet verification and updating the planned completion date sheet.-4hr &amp; Review -3.5hr &amp; Support , meeting - 1.25, &amp;Tod ay - working on DCR_19579019 Comment ( no efforts added here)
14-05:working on Implementation -Application guide, Artifact and PPT preparation and  Peer+CCB review completed and sent for L2 review- 6hr &amp; Working on fill the completion date for respective DCR with help of respective developer-2hr
PFS connect and meeting - 0.75hr
13-05:Working on implementation -4Hr &amp; Working on DRB/L2 comment sheet-3hr &amp; Review, Support, PFS Connect and meeting-2.75hr 
12-05:Migration in progress ( 9hrs ) (combined efforts of the work done on 9th May&amp; 10th May &amp; 11th May)</t>
  </si>
  <si>
    <t>L2</t>
  </si>
  <si>
    <t>13-05:Completed CCB. Worked on DRB comments for cert doc, appguide and SRS had a discussion with Yue regarding the same.(6hr)
11-05:  19026292: Completed CCB, completed SRS and appguide chenges. connected with Yue regarding cert doc update.
08-05:Completed cert doc changes and all reports, SRS changes and PPT (data spec and all files)as per latest model, completed DRB
CCB is still in progress for cert doc(8hr)
07-05:Completed peer, closed comments,  CCB is in progress. PPT completion and working on cert doc as per new model changes(7hr)</t>
  </si>
  <si>
    <t xml:space="preserve">AftFtis4658DPFRegen: STOP routine doesn't reset the oper mode </t>
  </si>
  <si>
    <t>10-06:Send email for the confirmation for software availability in build ( 0.5hrs)
21-05:connected with Swayang, aishwarya, tested with newly created build but still not getting correct results Sent mail to Yue(8hr)
19-05:working on testing by using latest titanium integration build file but still not getting expected output also created protobuild again.(8hr)
18-05:Worked on CSAR service test testing, but not getting expected output tested with protobuild files and latest titanium files(9hr)
15-05:service test succeeded, but for log file calterm isn't working had a discussion with Russell but he said not to use protobuild on bench(8hr)
14-05:service test is failing, working on it(5hr) &amp; Worked on estimations and KAP activities(3hr)
05-05:Proto build created, CSAR 04 was not able to detect module so started testing on CSAR 03, testing is in progress(7hr)</t>
  </si>
  <si>
    <t>Anushka P Gaikwad (wf298)/Shradha T</t>
  </si>
  <si>
    <t>08-05 : DRB review completed, awaiting confirmation from Yue for check-in
06-05 : Build is in progress for new additional changes</t>
  </si>
  <si>
    <t>05-05:Completed Checkin and DCR Closure: 7.5
18644099_18644553: AftSootFiltMgrDeepCleanAdj 
18638081_18638085: AftPartMatSenCFiltEffDiag
18491042_18388314: AftDltPrRegenTrigProc</t>
  </si>
  <si>
    <t>Boyella Varun Teja (ag14b)/ Manswi</t>
  </si>
  <si>
    <t>AftDPFMissDiag - Convert ISM to pp</t>
  </si>
  <si>
    <t>18-05: Reject the DCR in integrity(0.25hr)
14-05:Received confirmation from Alex to reject the DCR
12-05:Send Mail to Alex for approval to reject/defer the DCR.(1hr)
11-05: Peer review completed and going for CCB review today.(1hr) &amp;  Supported manswi for 2.5hrs
07-05:PPT and SRS updation completed &amp; going for Peer today(6.5hr)
06-05:Interface sheet changes completed working on PPT and SRS(3.5hr)</t>
  </si>
  <si>
    <t>Cert Doc Update Required for dmAftElecHtr48SuppIntrpErr, dmAftElecHtr2Intrp48VoltErr Diagnostics: AftElecHtrDiag, AftElecHtr2Diag</t>
  </si>
  <si>
    <t>06-05:CCB Review completed and send for L2 review.(3.5hr)
05-05:CertDoc updation completed &amp; Generated all the reports. Going for review today(5.5hr)</t>
  </si>
  <si>
    <t>Update of Protected Divide Output Characteristics in AftElecHtr2Diag and Control Description Refinement in OECS/CSERS</t>
  </si>
  <si>
    <t>Please provide impact of diagnostic function.</t>
  </si>
  <si>
    <t>18-05:: Interface sheet &amp; iDFMEA completed for this two DCR's (7.5hr).
14-05:DCR_19442852_19392732: SRS Updation &amp; Eval PPT completed. Interface sheet in-progress(7hr).
13-05:Analysis in progress (6.5hr) &amp; Retrospective meeting - 1 hr
12-05:Analysis in progress &amp; connected with Yashwant to discuss on changes that needs to include in Htr2(5.5hr)</t>
  </si>
  <si>
    <t>Srinadh</t>
  </si>
  <si>
    <t>18-06:Started the testing with STLA build (6hr) &amp; Discussion with swayangdipta on ECM testing dcrs estimation -0.5 &amp; MS1-3 kt session (1hr) &amp; supported arpitha for her app guide queries (0.25hrs)</t>
  </si>
  <si>
    <t>Heater Return Open Circuit diagnostic development for HCU 2 (AftElecHtr2Diag)</t>
  </si>
  <si>
    <t>12-05:DCR closed in integrity (0.5 hr) &amp;  Varun Supported manswi to close the DCR Integrity(0.5hr)
11-05: New DCR raised for shared cal name correction, sent design merge request closed tasks and inspection in KAP (3hr)
08-05:Discussed and fixed L2 comments, completed all artefacts. (1.5 hr)
06-05:new DCR needs to be raised, discussion and analysis for that 5 hrs &amp; KAP wp closed 2.5 hr
05-05:appguide updated as per L2 comments, sent for L2 reverification 6.5 hrs
1 hr HSE training</t>
  </si>
  <si>
    <t>Chitharenjan Nair (am01f)</t>
  </si>
  <si>
    <t>CES CSAR 01.26.09.00</t>
  </si>
  <si>
    <t>Change Look Up Table Settings as per Task_15591039 Analysis and CSAR Guidelines - AftSCRHtrVirInlTmptr</t>
  </si>
  <si>
    <t>Evaluate_NA</t>
  </si>
  <si>
    <t>2026 May - CES_SCR : 19553749</t>
  </si>
  <si>
    <t>Srinadh / Sumitkumar Patil</t>
  </si>
  <si>
    <t>01-06:: written the mail to john for dcr closure (0.25hr)
29-05:started the testing and got to know that we dont required to do the ECM testing(1hr)</t>
  </si>
  <si>
    <t xml:space="preserve">CES_PFS (Owned by /C2PL/Aftertreatment)
</t>
  </si>
  <si>
    <t>05-05:0.5 hr worked on 18387946_18387954 comments &amp; 4 hrs: DCR closer for AftDiesOxidCatHCSlipInjLim component and 19097477
04-05:DCR closer for 18490944_17625020 _17625030_18430918_18430925_17625020_17625030_18490944_18430911</t>
  </si>
  <si>
    <t>08-05:Checkin is completed, Updated impl checklist, impl notes,  function and subfunction mapping, submitted DCR for closureDCR_18387946.1hr: filled technical checklist and closed tasks in KAP
06-05:tried to analysis the change yue is asking to do, back traced to understand in which dcr cal is changes to nvr but no required files are attached to that respective dcr.
made changes to app guide and resend for verification 18387946_18387954
 4 hrs: KAP work</t>
  </si>
  <si>
    <t>08-05:Checkin is completed, Updated impl checklist, impl notes,  function and subfunction mapping, submitted DCR for closureDCR_18387954.</t>
  </si>
  <si>
    <t>cert doc generation error for doc close loop error for barracuda</t>
  </si>
  <si>
    <t>09-06: Rejected the DCR in integrity ( 0.5hrs)
11-05:DCR_19555923 Identified that errors are coming from (ppAftElecHtrSysIO2ErrsBtmp_deVal,ppAftElecHtrSysIOErrsBtmp_deVal) and these two bitmaps are not the part of baracuda build so connected with 3 step tuner and asked to tune (CaOCMCloseLoopSysIOAbtBtmpMask,CaOCMCloseLoopSysIOAbtBtmpMask)to zero and connected with Dhanraj to confirm regarding it (4hrs) &amp; Discussed with swanyang and connected with Dhanraj regarding the missing changes  in the last quarter from the master for AftDiesOxidCatClsLoopDiag  component . He suggested to raise a separate DCR for this and Discussed with gokul regarding the branch deletion and send the email to Dhanraj including all the email chains for the branch deletion (3hrs) &amp; 1hr:Kap
08-05:while working on 19555923 observed that my changes done in last quarter on AftDiesOxidCatClsLoopDiag component are missing from master so trace backed all the commits after my check-in and and connected with the the last checkin developer to understand the root cause (3hrs)
07-05: Initial analysis ( 3hrs) &amp;  2hrs : KAP, &amp;  3hrs: Training</t>
  </si>
  <si>
    <t>AFT Dual electric heater service test related changes in AftDualHtrRegenCtrl component for DAF</t>
  </si>
  <si>
    <t>20-05 : Plan for peer+CCB review today
19-05 : V&amp;V is compelted, working on internal review tomorrow 
08-05 : Eval to be submitted today
06-05 : Interface sheet needs be updated</t>
  </si>
  <si>
    <t>19-05-2026</t>
  </si>
  <si>
    <t>20-05-2026</t>
  </si>
  <si>
    <t>21-05-2026</t>
  </si>
  <si>
    <t>Indumathi M (wf309) / Srinadh</t>
  </si>
  <si>
    <t xml:space="preserve">Waiting for TRB_ECM testing </t>
  </si>
  <si>
    <t>17-06:started the testing and I need the titanium build to verfiy the changes(3.5hrs)</t>
  </si>
  <si>
    <t>08-06:Completed the testing using Oper Mode Request = 3 and updated the plots. The revised plots were shared for review.(1.5 hr)
04-06:completed review with lead and send for L3 review (0.5hr) &amp; Supported Madhura with her dummy DCR (0.75hrs)
03-06:done the plotting, ppt update is in progress(0.5) &amp; 0.75 - supported to Madhura 0.5- kap session
02-06:testing is completed, plotting and ppt updation is in progress(6.5) 
01-06:worked on testing (6hr) 
29-05:Done the model change analysis, today i will start the testing (1hr) &amp; supported to Madhura and vishnupriya for their queries. (0.75hrs)
28-05:connected with MBD team member regarding the SIL coverage issue which was face on previous checkin(1.75) &amp;  Connected with Vishnupriya regarding model compilation errors, Sindhu for her test vector updates, and Madhura for dummy DCR-related queries. (1hr)</t>
  </si>
  <si>
    <t>16-06: 2.5 hr. DAF Call and issue resolution &amp; 1 hr. Team support and calls &amp; 2 hr Review</t>
  </si>
  <si>
    <t>PFS DeltaP OutP Autozero Feature Counter Defect</t>
  </si>
  <si>
    <t>Added DCR_12894651 for AftDiesPartFiltDltPrProc and DCR_13151022 for AftDiesPartFiltSysOutPrSenProc in the related DCR's as they may have resolved this issue. If the truck test is Pass, then we may reject this Defect.</t>
  </si>
  <si>
    <t>14-05: DCR estimation and Defect Matrix update ( 7hrs)
12-05: 2 hr DCR Analysis: Received truck data from Panth yesterday &amp;  5 hr. DCR Estimation
11-05: 5 hr. DCR Estimation, &amp; 1 hr. Review, &amp; 2 hr DCR Analysis for impacted component
08-05:2.5 hr DCR_19601186 Analysis for impacted component &amp; 5 hr. DCR Estimation &amp;1 hr. KT session. 
07-05: DCR Analysis ( 1.5hrs) &amp;  6 hr. DCR Estimation 1 hr. KT session 
06-05:DCR Analysis - I have asked for cal tuning data from Panth to perform Feature simulation for further analysis &amp; 4 hr. DCR Estimation, 1.5 hr Review
05-05:Initial analysis in progress ( 3hrs)
1.5 Hr. Review
4 hr. DCR Estimation
DCR Needs to reject after the confirmation from Panth and 8 step tuners</t>
  </si>
  <si>
    <t>24-06:bench testing is in progress (7.75 hrs)
22-06:Working on the Alt Mil Strategy bench testing (RR Enable complate) and bench testing is in progress (7.75 hrs)
19-06:Working on the Alt Mil Strategy screen file and bench testing is in progress (6.75 hrs)
18-06:Working on the Alt Mil Strategy screen file and bench testing is in progress (5 hrs)
17-06:Working on the Alt Mil Strategy screen file and bench testing is in progress (6.75 hrs)
16-06:Working on the Alt Mil Strategy screen file and bench testing is in progress (7.75 hrs)
15-06:Working on the Alt Mil Strategy screen file. And giving Support for Sumit regrading DAF bench logging (7.75 hrs)
12-06:Working on the Alt Mil Strategy screen file. And giving Support for Sumit regrading DAF bench logging (6.75 hrs)
11-06:Working on the Alt Mil Strategy screen file. And sending mail to Shravan regarding PCAN issue (7.75 hrs)
10-06:initial analysis is in progress for the Alternative MIL strategy. (7.75 hrs) ( due to CTCI daf bench assess and  issues, the efforts of this has been addressed as initial analysis.) 
09-06:initial analysis is in progress for the Alternative MIL strategy. (5.75 hrs)
08-06:initial analysis is in progress for the Alternative MIL strategy. (6.75 hrs)
05-06:initial analysis is in progress for the Alternative MIL strategy. (5.75 hrs)</t>
  </si>
  <si>
    <t xml:space="preserve">Dual Heater service test should have highest priority over SCR thermal management mode </t>
  </si>
  <si>
    <t>26-05:DCR check-in and DCR closure (1 hrs) &amp; function and subfunction training (0.5 hrs)
25-05:Working on the VnV and CCB review and L2 review and Rerun the VnV (5 hrs) &amp; Working on the L2 review additional points (3 hrs)
22-05:Working on the Test vector updates and internal review Peer,CCB review and L2 review (7.75 hrs)
21-05:Working on the Test vector updates and Remap input and output in test vector (7.75 hrs)
20-05:Working on the Test vector updates and Remap input and output in test vector (7.75 hrs)
19-05: Working on the Test vector updates and Remap input and output in test vector (7.75 hrs) &amp; sumit support for SIL Issue ( 1.5hrs)
18-05:Working on the Test vector updates and Remap input and output in test vector (7.75 hrs)
15-05:Working on the Test vector updates (7.75 hrs)
14-05:Working on the Test vector updates (7.75 hrs)
13-05:Working on the Test vector updates (6.75 hrs) &amp; Retrospective meeting : 1 hr
12-05: Working on the Test vector updates (7 hrs)
08-05:Working on the Test vector updates (8 hrs)
07-05:Working on test vector updates and discussing with Snehal the SCR and DOC abort test cases they suggested. All test cases need to be shown.(8 hrs)
06-05:Working on the Test vector updatation (8 hrs)
05-05:working on the test vector (6 hrs)</t>
  </si>
  <si>
    <t xml:space="preserve">CES_CSAR_CTCI (Owned by </t>
  </si>
  <si>
    <t>AftDualHtrRegenCtrl: Update application guide(s) of component to provide complete parameter object description coverage, parameter usage specification and to update information per missing sections of application guide template</t>
  </si>
  <si>
    <r>
      <rPr>
        <sz val="11"/>
        <color rgb="FF000000"/>
        <rFont val="Calibri"/>
      </rPr>
      <t>24-06:plotting and ppt updation completed and send L2 with snehal.:: 6 hrs 
23-06:Completed logs for all diagnostic and SDM changes. PPT is in progress; today, I will send it to L2 with Snehal. :: 7 hrs
17-06:Worked on re-logging by changing the temperature – 3 hrs.</t>
    </r>
    <r>
      <rPr>
        <sz val="11"/>
        <color rgb="FF0070C0"/>
        <rFont val="Calibri"/>
      </rPr>
      <t xml:space="preserve">(FYI: As per the integrity release and customer field details, this DCR is released only for the Titanium customer. However, the component owner mentioned that it is required for DAF and is considered low priority.)
</t>
    </r>
    <r>
      <rPr>
        <sz val="11"/>
        <color rgb="FF000000"/>
        <rFont val="Calibri"/>
      </rPr>
      <t>15-06:Worked on the plotting of DOC OECS diag …. 2.5 hrs 
11-06:Worked on bench testing and detailed log analysis of the OECS diagnostic, focusing on debugging multiple unexpected results. Observed inconsistencies between expected and actual diagnostic behavior during testing,checking into signal behavior, calibration values, and diagnostic triggering conditions. Currently analyzing these issues to identify root cause and ensure accurate diagnostic performance…. 7 hrs &amp; DAF Bench overview with Jayant.. 0.5 hrs 
10-06:Worked on bench testing and log analysis of the SCR CSER diagnostic. The correct results are not being obtained, so further testing will be performed using a different approach by modifying the calibration tuning. Currently debugging the encountered issue. :: 6.5 hrs
09-06:worked on the bench testing and log analysis of SCR OECS diagnostic, Debugging the results .. 7.5 hrs &amp; Provided support to Vishnupriya’s DCR by tuning calibration values in the latest TI build :: 0.25 hrs 
08-06:Worked on bench testing and log analysis of DOC CSERS diagnostic — 7.5 hrs
05-06:Worked on the bench testing log of DOC OECS daig:: 4.5 hrs 
02-06:Worked on the screen file creation of SCROECS diag:: 7.75 hrs 
29-05:Worked on the screen file creation of SCROECS diag:: 7.75 hrs
25-05:Worked on the screen file creation for the DOC OECS diagnostic of component AftElecHtrDiag..:: 7.75 hrs
22-05:Worked on the estimation activity for DCRs 17270728 and 18919143, Initiated the DCR  analysis, the requirements, and gathering necessary inputs.:: 7.75 hrs.</t>
    </r>
  </si>
  <si>
    <t>11-06:Started the analysis of the model changes (2.75hrs) &amp;  connected with the sindhu for her evaluation dcr.( 1hrs)</t>
  </si>
  <si>
    <t xml:space="preserve">Waiting for TRB_ECM_Testing </t>
  </si>
  <si>
    <t>Status is same as DCR 17270728</t>
  </si>
  <si>
    <t>Update in the global input name from ppNvReactRegenTrigRqstBtmp to ppNvSCRReactRegenTrigRqstBtmp in AftDPFTimeBasedRegenTrigProc component.</t>
  </si>
  <si>
    <t>CSAR: AftDiesOxidCatParamDet: Create VCOND and P-Port for ppDiesOxidCatTotInlHydroCarbnFlowRateVal.deVal in OBDM File</t>
  </si>
  <si>
    <t>18-06:CDS task validation is completed, Submitted DCR for closure on integrity by filling all required fields, Closed KAP tasks, informed Akshay for closure of inspection task  (0.5hrs)
17-06:Sent check in details to CDS team for CDS task validation (0.25hrs)
16-06:Check in is completed, subfunction mapping is done, attached all mails/docs on integrity, KAP work, prepared impl notes, updated impl checklist (2hrs)
15-06:Received CDS pass, Updated the review feedback in technical checklist, Closed KAP task by attaching TCL, assigned inspection to Akshay, Raised OBDM merge request (0.5hrs) &amp; Latest toolbox utilities download and setup (0.75Hr)
12-06:Discussion with Anil Parge over teams regarding his CDS query (0.5hrs)
11-06:Received L2 feedback from Dhanraj, Updated technical checklist with l2 feedback, updated KAP task, Sent for CDS review by attaching all reports to CDS task (0.5hrs)
03-06:CCB review is completed, received comment to confirm whether we use limiter word in certdoc with CDS team, pinged Anil, chris, matthew to confirm and updated certdoc without limiter word as confirmed by CDS team, regenarated reports , verified with Kunal and sent for L2 review (1.5hrs)
29-05:Sent mail to sheetal for docgen report generation, artefacts preparation for review, Peer review completed, Planned for CCB (2hrs)
28-05:Analysis completed, Updated certdoc, generated reports, created CDS task, artefacts preparation/KAP tasks for review (4hrs) &amp;  Support for sindhu for certdoc update (0.5Hr)
27-05:Cloning, prepared all artefacts required for review, submitted DCR for approval on integrity by filling all required fields, Analysis in progress ( 2hrs)</t>
  </si>
  <si>
    <t>CSAR: AftPartMatSenCProc: Create VCOND and P-Port for ppPartMatSysOutDefStatFlag.deVal &amp; ppPartMatSysOutMdlStatFlag.deVal in OBDM File</t>
  </si>
  <si>
    <t>23-06:CDS task validation is passed, Submitted DCR in verify state on integrity, closed KAP tasks, informed Akshay to close inspection task (0.5hrs)
19-06:Comp merge request is approved by Yue, Sent check in details to CDS team for CDS task validation, updated impl notes &amp; impl checklist with commit ID, attached on integrity (0.5hrs)
16-06:Comp merge request is yet to approve by Yue, subfunction mapping is done, attached all mails/docs on integrity, KAP work (0.75hrs)
15-06:OBDM is merged, raised comp merge request, prepared Impl notes, updated impl checklist (0.5hrs)
12-06:Received CDS pass, Updated the review feedback in technical checklist, Closed KAP task by attaching TCL, assigned inspection to Akshay, Raised OBDM merge request (0.5hrs) &amp; Support for Manaswi on how to update certdoc for SysIO3 impl, what to include in app guide, and gave basic idea on how to update test vector (0.75Hr)
11-06:Attended meeting for CDS comment discussion, connected with Swayang for CDS comment query, Updated certdoc, generated reports, re-sent mail for CDS verification with updated files. (2hrs)
10-06:Worked on CDS comment, Updated certdoc, Pinged CDS reviewer on teams for verification, Guinevere Meadows has setup meeting for 10/06 for better clarification, Pinged swayang for verification (2hrs)
04-06:Received L2 pass, Updated L2 feedback in technical review checklist, Sent to CDS review by attaching all files to CDS task (0.5hrs)
28-05:Peer and CCB are completed, received minor comment in CCB, worked on it and verified with kunal and sent artefacts for L2 review, KAP tasks updated ( 3hrs)
27-05:Artefacts preparation for peer review, peer review to be continued, worked on comments, discussed with chris on teams related to OBDM queries and sent MOM, Peer continuation and CCB is planned. (2.5hrs)
26-05:Connected with Varun, Yashwanth, Sowjanya on how to write status parameters and data states conditions in certdoc, updated certdoc, generated reports, planned peer review
25-05:Sent mail for No RRB tag to Yogesh, Submitted DCR for approval by filling all required fields, Updation of OBDM in progress
22-05:Cloned component, Initial Analysis of OBDM changes. (1.5hrs)</t>
  </si>
  <si>
    <t>CSAR: AftDiesPartFiltSysOutPrSenProc: Creation of OBDM for creating VCOND and P-Port for ppDiesPartFiltOutGaugePrDefStatFlag.deVal &amp; ppDiesPartFiltOutGaugePrMdlStatFlag.deVal in OBDM File</t>
  </si>
  <si>
    <t>08-06:Asked amit whether to include the logic in certdoc and as he suggested to connect with Srinadh, connected with srinadh and included the logic. Created 2 local VCONDs and updated corresponding global VCONDs and regenerated the reports (3hrs) &amp; KPIT mandatory course completion EOHS - E Learning Module (1hrs)
04-06:Updated certdoc, generated reports. Roadblock: Active branch of Datta S Zadape might be closed once Dhanraj is back from vacation. So will keep this DCR on hold as of now. (1.5hrs)
03-06:Analysis done, Updation in progress, (5hrs) &amp; Roadblocks: DCR_19340781: AftDiesPartFiltSysOutPrSenProc: There is an active branch of Datta S Zadape, once his checkin is completed then software team needs to create OBDM repository and then I need to incorporate my changes and have to proceed for reviews after that
29-05:DCR_19340781_19340986: Both DCRs are submitted for approval by filling all required fields/checklists in integrity. All artefacts are prepared required for review ( 2hrs)
27-05:Sent mail to Sushma for OBDM repository creation for DCR_19340781: AftDiesPartFiltSysOutPrSenProc and DCR_19340887: AftDPFLoRngHiResDltPrSenProc. There was an active branch of Datta S Zadape for AftDiesPartFiltSysOutPrSenProc, so discussed with him when it can be closed. (0.25hrs)</t>
  </si>
  <si>
    <t>CSAR: AftDPFLoRngHiResDltPrSenProc: Creation of OBDM for creating VCOND and P-Port for ppDiesPartFiltLoRngDltPrDefStatFlag.deVal &amp; ppDiesPartFiltLoRngDltPrMdlStatFlag.deVal in OBDM File</t>
  </si>
  <si>
    <t>29-05:As discussed with Dhanraj over teams, this DCR will be kept open. And 3rd and 6th points in DCR_19340986 will not be required and sent MOM (0.5hrs) &amp; 0.5Hr- Support for Sindhu for certdoc update</t>
  </si>
  <si>
    <t>CSAR: AftPartFiltSysDataStatBtmp: P-Port bitpacking for ppAftPartMatFiltSysSenFailStBtmp.deVal in OBDM File</t>
  </si>
  <si>
    <t>08-06:Updated Certdoc and generated reports, Will keep this DCR also on hold until Datta's branch is closed as this DCR also have an impact from AftDiesPartFiltSysOutPrSenProc
05-06:Updation in progress (3hrs)
04-06:Cloning and analysis in progress (2hrs)</t>
  </si>
  <si>
    <t>MY27 Fracas160849MY27: DPSLE Ash Adjustment increasing during the LLC cycle #8944</t>
  </si>
  <si>
    <t>27-05:Discussion with Akash regarding branch renaming not reflecting on gitlab, Check in is done, prepared artefacts needed for closure with check in details, closed all 3 DCRs in verify state on integrity ( 3.5hrs)
26-05: For DCR_19748464: Sent mail to Aishwarya regarding status note given by John (0.25hrs) &amp;  0.5Hr- Meeting on function mapping/SRS authorize changes on integrity by Swayang
14-05:Evaluation: Defect_19459316_19552762_DCR_19572045: Updated KAP tasks with L2 feedback filled technical checklist and closed all tasks of eval, Re-sent mail to Yogesh for NO RRB as TRB tags are added now, NO RRB tag received, Submitted Defect_19459316_19552762 for approval in integrity by filling all required checklists/tabs and attached all Eval artefacts, Sent for authoring, received comment from Sunidhi to update correct runnable name for i/o, updated IFS again and re-sent for authoring
13-05:Defect_19459316_19552762_DCR_19572045: Sent MOM to Yue regarding unused V_ parameter, Eval PPT updation is completed, planned peer+CCB, filled required checklists for review, discussion with aishwarya and included her changes as well in my PPT, Peer+ CCB completed, fixed comments, sent for Eval L2 review to Yue, received Eval L2 Pass, TRB tags are added by Yue.
12-05:Defect_19459316_19552762: Interface Sheet update is completed, Eval PPT in progress, Initiated a grp chat to take followup from Yue for clarification of TRB tag required and regarding unused V_ parameter in interface sheet, received confirmation for removal of V_ parameter, filled defect checklists for 2 DCRs. &amp; Road Blocks: Defect_19459316_19552762: Awaiting for TRB tag confirmation from Yue.
11-05:Defect_19459316_19552762: Analysis done, Interface Sheet update in progress, Sent mail to Prasanta regarding input description confirmation from providing component, Analysis for TRB tag done and sent mail to Yue for clarification of TRB tag required
08-05: Defect_19459316_19552762: Initial Analysis in progress, Estimation for both the defects along with additional changes to implement ISMs for all V_ parameters, Cloning (6Hrs ) &amp;  2Hrs- DCR_19340545_19340781_19340887_19340986_19340756: Estimation for all 5 Certdoc DCRs raised by me</t>
  </si>
  <si>
    <t>AftSootFiltMgrDeepCleanAdj Change the input port name from ppCaDiesPartFiltRstrcTestToolEnbl_deVal to ppCaFtis5492DPFRstrcTestDispEnbl</t>
  </si>
  <si>
    <t>Status is same as DCR 19459316</t>
  </si>
  <si>
    <t>AFT Dual electric heater service test related changes for AftDualHtrCtrl component</t>
  </si>
  <si>
    <t>25-05:Received approval from Todd. Updated technical review checklist with L2 and DRB feedback. Updated all applicable tasks on KAP, Updated impl checklists, impl notes, did function mapping for all 3 DCRs (3hrs)
22-05:Generated all reports of re-migration, updated PPT, received reqif from Amit, requirement mapping done, re-ran whole VnV again as reqif is updated. Received L2 pass from Yue. (5hrs) &amp; 0.5 - Estimations discussion with Amit. Roadblocks: DCR_19748464: Still in assess state, need to be in progress inorder to checkin(pending from Aishwarya as she didn’t received RRB pass tag from yogesh). Need to take DRB_IMPL_PASS tag from Todd for Defect_19459316_DCR_19748464
21-05:MCDC covered for the updated logic, re-ran whole VnV, updated PPT, DRB/L2 review completed, received minor comments, Aishwarya updated SRS again, discussion with yue on teams, fixed comments and sent for reverification, Did re-migration as I found descrepancy for 1 input naming.(9hrs). Today: Need to re-run whole VnV again as reqif will be updated.
20-05:Impl PPT completed, Artefacts preparation for review, peer+CCB completed, working on comments, MCDC in progress, planned for online DRB L2 (10hrs)
19-05:VnV completed, Impl PPT in progress (8.5hrs)
18-05:VnV in progress (8.5hrs)
15-05:Model update completed, Harness is updated, Connected with Amit for Lib Data report issue, performed whole migration twice due to lib data report issue, Migration is completed. ( 8.5hrs)
14-05:: Defect_19459316_19552762_DCR_19572045: Created KAP feature, WP, Taks, Self Review for implementation, Updated appguide, received arxml, model update in progress (6 hrs) &amp;  Worked on Estimations and Planned dates of assigned DCRs (0.5HRS)</t>
  </si>
  <si>
    <t>Prathyusha Guttapalem (ag14k) / Arpitha  K</t>
  </si>
  <si>
    <t>25-06:Prathyusha Support for arpitha to raise design merge request for AftDiesOxidCatPIDFdbkCtrl (0.25hrs)
22-06:Fixed L2 comments and connected with shraddha for reverification and queries on L2 comments, Updated the artefacts and connected with Prathyusha to resend the L2 mail – 8hrs &amp; Prathyusha Support to arpitha to resend for L2 verification by discussing justification for flowchart comment (0.5hrs)
19-06:Working on L2 comments &amp; Had a discussion with swayang and harshal regarding flowchart and added entry for CCB with shraddha for one level review - 8.5hr
18-06:Worked on L2 comments – 8hrs &amp; Connected to Dhanraj call for queries -0.5
04-06:Sent for L2 , Faced issue in Git extension ,Filled checklist and artefacts : (4hrs) &amp; Prathyusha Support for Arpitha to send for L2 review, Discussion regarding branch renaming (0.5hr)
03-06:CCB review for Temperature flow request AppGuide Completed : 7.25 Supported jayat for boundary diagram : 0.5
02-06:CCB review for Temperature flow request AppGuide in progress and worked on comments : (7.75hrs)
01-06:CCB review for Temperature flow request AppGuide is still in progress and worked on comments : (4.5hrs)
29-05:CCB review for one AppGuide has been completed, and the comments need to be fixed today. One more AppGuide review will be taken care today: (4hrs) &amp; KAP &amp; checklist updation -0.5 &amp; Training : 3
28-05: CCB review in Progress and updated 2 Appguides : 3.5 &amp;  HSC training : 1 &amp; Training: 3
27-05:Appguide updation and CCB review in Progress - 8
26-05:Appguide updation and CCB review in Progress - 7.5 &amp; Function, Subfunction and Requirement Mapping on Integrity - 0.5 hrs
25-05:Appguide updation and CCB review in Progress- 8
21-05:Appguide update in progress- 7hr &amp; Added entry for CCB review &amp; Filled RCA : 0.5hr
20-05:Appguide update in progress- 6.5hr &amp; Added entry for CCB review today &amp; Filled RCA : 1.5hr
19-05:Appguide update in progress- 8hr &amp; Connected with amit regarding RCA : (0.5hrs)
18-05:Appguide update in progress and connected with sheetal and iram regarding estimation hours : (8hrs)
15-05:Appguide update in progress- 7.75hr
14-05:Appguide update in progress- 8hr
13-05:Appguide update in progress- 6hr &amp; Updated technical checklist had a call with amit and sheetal regarding L2 comment -1 hr &amp; Retrospective Meeting - 1hr
11-05:Appguide update in progress- 8hr
08-05:Appguide update in progress- 7hr
07-05: Appguide update in progress- 6hr &amp; KAP Closure: 1hr
06-05:Initial analysis- 3hr &amp; HSE induction -1hr, &amp; Kap closure and updated Technical review checklist - 3hr</t>
  </si>
  <si>
    <t>Status same as DCR 17625100</t>
  </si>
  <si>
    <t>E-heater Stuck on error diagnostic logic update</t>
  </si>
  <si>
    <t>25-06:Worked on analysis of Heater1 ECM testing DCR changes(18901997,18929504,18622558,16824279): 6.5 hrs &amp; Worked on estimation of DCR 20189478: 1 hr</t>
  </si>
  <si>
    <t>Titanium AftElecHtrDiag: Heater 48V 48V IRL diagnostics false fault.</t>
  </si>
  <si>
    <t>TD9310 - HCU FET Temperature too High fault for DOC HCU Functionality Issue</t>
  </si>
  <si>
    <t>Pre DOC heater disable logic update required as it needs to be considered only when eheater service test is triggered</t>
  </si>
  <si>
    <t>19-05 :  Eval submited
13-05 : Internal review is completed, CCB is completed. DRB review is plan today
08-05 : HTR Proc, HTR proc 1 and AftDualHtrCtrlIPwrD. Eval in progress
06-05 : analysis to be started today</t>
  </si>
  <si>
    <t>20-05 : Plan for Peer+CCB review today
19-05 : Impl in progress</t>
  </si>
  <si>
    <t>26-05:regarding feedback mismatch error action item yesterday tried to connect with snehal but she had suggested to connect ion next week (0.25min)
18-05: discussion and analysis of feedback mismatch error action item (3hrs)
15-05: as per the snehal's inputs did analysis of titanium log data for both feedback mismatch error  (Htr1 Doc, Htr2 SCR), observations need to be discussed with snehal. Yesterday didn’t get chance to discuss with her since she was busy in reviews (8hrs)
14-05: Documentation go though for forum presentation, discussion with snehal on feedback mismatch action item, appeared for OBD Forum. ( 8hr)
11-05:analysis and discussion regarding heater feedback mismatch error is in progress
08-05:Pre OBD PPT updates, appeared for pre OBD.
discussion and analysis of feedback mismatch error action item with snehal, based on snehal's input need to test and take plot according to titanium program tuning, we have requested cal tunings from shreyas( cal tuining engineer) and need to analyse plotting based on that. (8hrs)
07-05:Completed Replotting and testing of dmAftElecSCRHtr2FETTmptrTooHiErr as per swayang's inputs, Testing and Plotting of dmAftElecSCRHtr2FETTmptrPlausErr completed. PPT update completed for
dmAftElecSCRHtr2FETTmptrTooHiErr. Discussion about action item regarding feedback mismatch with swayang and shravan. Analysed data with sharavan, suggested to check few points (integrated powers update) with component owner.  Today (7-06-2026): PPT update for dmAftElecDOCHtrNotRespErr, dmAftElecSCRHtr2NotRespErr. Regarding action item Will have discussion about suggested points with snehal. And as discussed yesterday keeping on hold the MS4_5 review of dmAftElecSCRHtr2FETTmptrPlausErr, dmAftElecDOCHtrFETTmptrPlausErr, dmAftElecHtr2HCURetOpenCktErr (HCU testing is pending). Planning to appear for Pre-OBD for 3 Diags (dmAftElecSCRHtr2FETTmptrTooHiErr, dmAftElecDOCHtrNotRespErr, dmAftElecSCRHtr2NotRespErr)
06-05:testing and plotting completed for dmAftElecDOCHtrFETTmptrPlausErr. Discussion regarding actiopn item received for feedback mismatch error is in progress with swayang and shravan(as yesterday didn’t get shravan's time to discuss few points need swayang's support on the same)Today: Scheduling meeting with swayang to discuss on action item, Testing of dmAftElecSCRHtr2FETTmptrPlausErr, PPT update for dmAftElecSCRHtr2FETTmptrTooHiErr, dmAftElecDOCHtrNotRespErr, dmAftElecSCRHtr2NotRespErr, dmAftElecDOCHtrFETTmptrPlausErr.
05-05:in Forum PPT missed to add some points in FPCM so update PPT for the same and appeared for Forum. Regarding dmAftElecDOCHtrFETTmptrPlausErr query resolution regarding timer update is in progress.
Today: feedback mismatch errors action items resolution. dmAftElecDOCHtrFETTmptrPlausErr query resolution</t>
  </si>
  <si>
    <t>Indumathi M</t>
  </si>
  <si>
    <t>Create missing OBD Capability Parameters for Titanium/Legend/DAF</t>
  </si>
  <si>
    <t>18-06 : Completed the L2 comments verification and send for RRB review
17-06 : L2 review and comments fix
16-06 : Fixed L2 comments from alex and sent for verification
12-06 : CCB comments verification done and send for L2
10-06 : DCR_19553713_19656622_19577109 : Working on addition changes in evaluation
09-06 : Evaluation of additional changes
08-06 : Peer review is completed, CCB is in progress
05-06 : Work done on 03.06.2026 : DCR_19553713_19656622_19577109: SRS update and PPT update completed
03-06 : Interface sheet compeleted working on SRS. PlAN FOR PEER REVIEW tomorrow
02-06, 01-06 :  Initial Analysis in progress
29-05 : analysis in progress</t>
  </si>
  <si>
    <t>19-06 : Application guide update
18-06 : Updating model
16-06 : Implementation : Updated Application guide and OBDM</t>
  </si>
  <si>
    <t>AftElecHtrIPwrDDiag: Analysis of E-heater IPD stuck-on error diagnostic</t>
  </si>
  <si>
    <t>25-06:connected with dhanraj about the feedback on my analysis(1hr) &amp; supported madhura for dummy dcr ( 0.75)
22-06:completed the analysis ppt and sent to masod, shreyas, juan for their feedback.(7hr) &amp; supported madhura for dummy dcr ( 0.75)
17-06:verified the data again according to shreyas suggestion (1hr)
15-06:Run the simulation for other test data , seeing same issue in that (5hr) &amp;  13079054: discussed with dhanraj and Rejected the dcr as it is duplicate (0.5) &amp;  0.75- supported madhura for dummy dcr.
12-06:Performed simulations using the newly proposed logic and reviewed the results with Dhanraj. but the same false pass behavior is still observed with the new logic. Further discussion with Shreyas and Masood is required to identify a suitable solution. (4hrs) &amp; 0.75- Supported Madhura with her dummy DCR-related queries. &amp; 0.5- Connected with Shradha regarding XEV bitmap parameter-related queries
11-06:Discussed with the dhanraj about the new logic which was created accodingly juan statement. he is ok with logic and asked to do the simulation. Once i completed the other aecd dcr action items will start this one. (1hr)
10-06:done the discussion with dhanraj and sent the dummy logic to dhanraj according to the juan statement(1hr) &amp;  2.75 - connected with madhura for dummy dcr queries, and sindhu , vishnu for their queries
08-06:discussion on the fall rate of IPD with juan (0.5) &amp; 1hr- certdoc review  &amp; 2hr- Connected with Madhura regarding her dummy DCR and supported Sindhu with queries related to her DCR.
05-06:send the mail to juan about the required details on IPD fall rate (0.5) &amp;  1hr- Certdoc review  &amp; 0.25- Supported to Vishnupriya for her MCDC coverage 
04-06:Discussed with Chad to understand how the HCU uses the fall rate. After that, checked with Juan regarding the IPD behavior and initiated a group chat discussion. but, I have not yet received a response from Juan and will follow up today.(1hr)
01-06:done the discussion with Dhanraj (0.5hr)
28-05:Verified the interface agreement outside of CES, but did not get the required inputs. Connected with Swati regarding the receiver components of ppAftElecHtrGen2PwrFallRate_deVal. I received one input, and I will discuss it with Dhanraj and proceed further.(1hr)
27-05:connected with the Dhanraj and shared the analysis point. and he given one point to check with swati. so i will work on that point(3hrs) &amp; 1.75- Connected with Madhura and Vishnupriya regarding their dummy DCR queries and model compilation errors.
22-05:done the analysis on Juan feedback mail (2hrs) &amp; 0.75- Connected with Sandhya to discuss her implementation-related queries.
19-05:done the analysis and setup the meeting with yuan, but he didn't joined the meeting due to his meetings. started mail chain, but didn't got the inputs.(2hrs)
14-05:Created group chat with Juan regarding the fall rate input, discussed with the Dhanraj same. he mentioned that we have to wait for Juan reply otherwise we will setup meeting again
13-05:Done the analysis on EhtrPwrCtrl component for one of the fall rate parameter(0.5)
11-05:Discussed with chad but didn't required inputs, planned one more discussion with Juan and Chad(1hr)
06-05:done the analysis for required inputs and discussed with Dhanraj about gen2fall rate input. he said that he have to discuss with chad and will share the details (2hrs)
05-05:Initial analysis</t>
  </si>
  <si>
    <t>AECD Interface Flags for HCU2 AECDs - Current Prot AECD 14 1b - improvement</t>
  </si>
  <si>
    <t>Please add any other releated DCRs in the relationship</t>
  </si>
  <si>
    <t>Status is same as DCR 19515995</t>
  </si>
  <si>
    <t>Re-opened due to Failed Validation in both Ti and LG builds.</t>
  </si>
  <si>
    <t>13-05:DCR_18860603_19614838: submitted the dcrs on integrity (1hr)
11-05: 19614838,18860603: completed the certdoc update, L2, cds review and checkin of the document.(5hr)
08-05:Done the discussion Vidhusheidhaa, Dhanraj and swati about commit id for considering the baseline and i Got L2 and CDS pass. started the checkin process(1hr) &amp; 19625028 : Done the discussion with the developers who are worked previously on the AftDiesOxidCatHCDosEffCalc component regarding missing commit changes, after i done the bumpout work and generated the 3 step report. then i send the certdoc to L2 and CDS review. (6hrs)
07-05:chris suggested to do the 3 step report after fixing the error. so i connected with Anil for 3 step report. after that i completed the L2 review and cds review. got L2 and CDS pass. but there is some discussion with Vidhusheidhaa about the branching the changes. once discussion is completed i will start checkin process. (6.5hrs)
06-05:worked on 3 step error and tried to generate report and connected with chris and Dhanraj for verification. (4hrs)
05-05:tried to generate the 8 step report with new change still im getting same error. for resolution i tried to connect with Charlie but i didn't get any solution
04-05:connected with Dhanraj and chris for certdoc error, they suggested one approach i have to tried to generate the report.(1hr)</t>
  </si>
  <si>
    <t>AECD Interface Flags for HCU AECDs - Current Prot AECD 14 1b- improvement</t>
  </si>
  <si>
    <t>SRB Linked DCR 1922410, please add anyother DCRs in the relationship</t>
  </si>
  <si>
    <t>25-06:completed the proposal ppt for new requirement. connected with vaibhav and verified the model change. and sent for review to other stakeholders.(6hrs)
24-06:Completed the interface sheet updates for two impacted components. Also connected with Vaibhav to discuss his review comments. During the discussion, he provided an additional requirement to update the AECD state when HCU errors are activated. I am currently working on this requirement.(7hrs) &amp; supported madhura and arpitha on their queries and connected with Omkar to explain the bench testing process.(0.75hrs)
23-06:srs and interface sheet update is in progress and connected with vaibhav for his comments. but he have a doubt on one of the requirement which was presented in AHCC component. today i will try to connect with snehal regarding the AHCC logic.(6hrs) &amp; done the review of the dummy dcr implementation ppt of U Madhura ( 1.75hrs)
18-06:created the model according to vaibhav suggestion and sent for review.(6.5) &amp; connected with madhura and arpitha for their queries (1.25hrs)
17-06:discussed with snehal and after discussed with vaibhav about the aecd port proposal(1hr) &amp; 0.5- PFS Discussion &amp; 0.75- connected with madhura for dummy dcr and sindhu for their queries &amp; 18849299 , 18622558 , 18111626 : gone through this dcr changes for testing(1hr)
15-06:Done the discussion with alex about the new AECD number but she suggested to check with the AECD team.(1.25hr)
12-06:Completed the two action items during the concept review meeting. but, there is one remaining point that requires Dhanraj's input and further discussion with Alex regarding the two AECDs. Depending on the outcome, we may need to present it in the PCRA meeting. (2hrs)
11-06:Completed the concept review got approval for second proposal. there are 2 action items, i will work on that and sent the updated ppt to stakeholders for approval. In this dcrs there are two more components Htrproc and HtrProc2 are impacting please plan the implementation.(3hrs)
10-06:completed the concept ppt need to scheduled the concept proposal review.(4hrs)
08-06:updating the concept proposal ppt for review. (2.75)
05-06:Interface sheet update is completed for impacted components , PPT and SRS update is in progress (6)
04-06:Started implementing the proposed model changes and updating the evaluation PPT(5.5hrs)
03-06:completed the discussion with chad and Snehal, got the required confirmation and inputs and ran the vnv for the new logic(6hr) 
02-06:discussion happened with the Snehal about the requirements(0.5) &amp; supported Madhura for her dummy dcr. (0.75hrs)
01-06:PPT reviewed with the lead(1hr)
29-05:Discussion ppt with proposals is created for chad meeting, need to verify once with lead(5hrs)
28-05:Updating the requirement PPT for the discussion with Chad. I have one doubt regarding the model design, which I will discuss with the lead before completing the PPT.(3hrs) &amp;  1 hr HSC training
27-05:done analysis on the requirements for ppt preparation.(3hrs)
26-05:connected with lead and component owner, i shared my analysis point to component owner, she asked me to create a ppt and setup discussion with chad(3.25hrs).
25-05:doing the analysis on the requirements, i have a doubt in that, need to discuss with lead and component owner.(7hrs) &amp; 0.75- Connected with Madhura, Sindhu, and Yashwanth to discuss their queries.
21-05:Initial analysis in progress (1hrs) 
20-05:initial analysis in progress (2hrs)</t>
  </si>
  <si>
    <t>AECD Interface Flags for HCU AECDs - Current Prot AECD 14 1b</t>
  </si>
  <si>
    <t>05-05:completed the checkin and dcr closure (3hrs)
connected with Dhanraj for AftHCDosDiag component app guide changes verification (1hr)</t>
  </si>
  <si>
    <t>26-05:completed the L3 review and submitted the artifacts on integrity. (2hrs) &amp;  2.5- Attended the training plan meeting and Function Subfuntion meeting. Also supported Madhura, Sindhu, and Vishnu with their queries, and connected with Shradha regarding the bench issues she was facing.
22-05:completed the internal review and sent for L3 review (1hr) &amp; 19515995: worked on estimation of impacted components(4hrs)
21-05:completed the plotting, once it is reviewed with Swayangdipta. will send to L2 review. 19515992 : For these DCR, Nileema asked me to work on the estimations, so I completed the analysis of the impacted components. Today, I will start working on the estimations for the impacted components. (3hrs)
20-05:Completed the testing. Currently facing an issue with converting the log file to a .mat file and working on resolving it. (4hrs)
19-05:started bench testing, got bench upto 2 hrs only. so didn't spend much time. (2hrs) &amp; session on CSAR Bench Testing Overview  (1hrs)
06-05:worked on 3 step error and tried to generate report and connected with chris and Dhanraj for verification. (4hrs)</t>
  </si>
  <si>
    <t>SAIPD: DOC OECS diagnostic improvement</t>
  </si>
  <si>
    <t>18-05: completed the reviews and done the analysis on SIL issue and the checkin (8hrs)
15-05:completed the updation of implementation artifacts and completed peer+ccb review. for SIL issue i asked akash but didn't get any reply. (8hrs)
14-05:completed vnv and ppt updation is in progress, planned peer+ccb review (8hrs)
13-05:migration completed(5hr)
11-05:created the branch and sent for authoring request.(0.5)
04-05:connected with Dhanraj and chris for certdoc error, they suggested one approach i have to tried to generate the report.(1hr)</t>
  </si>
  <si>
    <t>18-06:worked on the Coil Swap calibration (CaFtis65697DualElecHtrTestCoilSwapEnbl – false scenario). As per the observed results, when this calibration is set to false, the service remains in mode 6 until timeout. After that, the service gets aborted, and the test exceeds the allowed time.:: 4.5 hrs &amp; Bench testing KT :: 1.25 hrs
17-06:Discussed with Snehal; took logs and tried to run the service, but the input service was in a prohibited condition. Attempted to manipulate the good parts, but no changes were observed – 1.5 hrs. &amp; Worked on screen file creation in DAF Build Tried manipulating some inputs on the DAF bench, but need to understand the backtracking – 3.25 hrs.
16-06:Worked on screen file creation. 5.25 hrs
15-06:Worked on Screen file creation in DAF Bench. :: 5 hrs
12-06:Conducted comment closure discussion with Snehal; additional test scenarios were provided, which will require extra effort – 1 hr &amp;  Started DAF testing; checked prerequisites and login process – 2 hrs
10-06:For comment closure, connected with Snehal, but she is quite busy with work. Will verify with her today. :: 0.25 hrs
04-06:Attended the planned comments closure meeting. Additional comments were provided by the component owner; worked on them and shared for verification. — 3.5 hrs
20-05:Worked False scenario of DOC,SCR and Both heater service test , Log was teken, And worked on plotting.:: 6.5 hrs 
19-05:Worked on bench testing; took logs for the pre-DOC service test and generated plots. For SCR, work will be continued today. - 6 hrs. &amp; Support to Jayant for SIL issue.. 1.5 hrs.
15-05:Worked on the additional scenario. One plot was taken and discussed with Snehal. :: 7.75 hrs
14-05:Worked on testing the additional scenario suggested by Snehal on CSAR03; however, the correct behavior was not observed on this bench due to the smart simulator. :: 5 hrs &amp; Worked on ECM test DCR analysis. :: 2.5 hrs
13-05:Planned review with snehal, Required to do test with other cal tunning and New scenario. :: 2.5 hrs &amp; Worked on ECM test DCR analysis :: 4 hrs &amp;  Retrospective meeting ;:1 hr
05-05:Worked on plotting for the Coil Swapping logic and service test; also updated the presentation. ::6 hrs</t>
  </si>
  <si>
    <t>Waiting for TRB_ECM testing.
Request to Reopen DCR_17728109 for TRB Test Failure Observed
Waiting for TRB_ECM testing.</t>
  </si>
  <si>
    <t>Urgent Bench Testing work for AftDiesPartFiltDltPrProc and AftDiesPartFiltSysOutPrSenProc component for Barracuda 9.0 Build</t>
  </si>
  <si>
    <t>08-05:Worked on ECM test DCR analysis and gathered information related to the impacted architecture and build: 7 hrs ( efforts not added here)
07-05:Worked on Power down testing of AftDiesPartFiltDltPrProc and AftDiesPartFiltSysOutPrSenProc component, and updated the ppt and shared with dhanraj :: 8 hrs
06-05:Worked on testing of AftDiesPartFiltDltPrProc and AftDiesPartFiltSysOutPrSenProc component for Barracuda 9.0 Build and updated the ppt and shared with dhanraj :: 9 hrs
05-05:Urgent Bench Testing work :: Worked on Screen file creation of AftDiesPartFiltDltPrProc and AftDiesPartFiltSysOutPrSenProc component for Barracuda 9.0 Build :: 6 hrs</t>
  </si>
  <si>
    <t>Team Support and Discussion Activity - Q3'26 PFS</t>
  </si>
  <si>
    <t>No Evaluation presaentation, Please submit the CR only when the evaluation review is completed.</t>
  </si>
  <si>
    <t>18-06 : Efforts tracked under DCR_17803153</t>
  </si>
  <si>
    <t>Request to disable heater power on SAIPD Architectures (AftDualHtrCtrlIPwrD)</t>
  </si>
  <si>
    <t>Submit the CR only after there is evaluation done. Please attach Evaluation slides along with the DD Decision matrix.</t>
  </si>
  <si>
    <t>Shradha M/Uttam</t>
  </si>
  <si>
    <t>23-06 : Testing of AftDualHtrCtrlIPwrD</t>
  </si>
  <si>
    <t>18-06 : DRB review of SRS and Inteerface sheet
12-06 : Appguide and Analysis of port name changes
10-06 : MS 1-3 ppt update
09-06 : IPD model update according to the MS1-3 comment and review comment self verification
08-06, 05-06 : MS 1-3 review is completed, working on actionitems closure
04-06, 03-06 : DRB and Pre OBD plan today
02-06 : review and rework in progress
01-06 : PD resistance diag DCR rework
29-05 : internal review is in progress. 
20-05 : working on PPT and feature sim
08-05 : Analysis completed and done the model changes for feature sim
06-05 : Analysis is in progress</t>
  </si>
  <si>
    <t>19-06 : Document update in progress
18-06 : Test vector creation in progress
16-06 : Completed Appguide for b0th the component of Heater DCR and cert doc
15-06, 12-06, 10-06, 09-06 : Application guide and certdoc update in progress</t>
  </si>
  <si>
    <t>Status is same as DCR 18986418</t>
  </si>
  <si>
    <t>13-05-2026</t>
  </si>
  <si>
    <t>18-05-2026</t>
  </si>
  <si>
    <t>29-05 : working on CDS verification. Applivcation guide is completed
28-05 : Appguide review completed.
20-05 : ready with MIL, SIL and regression is completed, DRB review is planned today. Appguide review except resistance peer is plan today. Certdoc review to be plan.
19-05 : CCB review in contimustiob
OBDM completed, internal review to be plan tomorrow . Application guid eupdate is in progress
13-05 : compleetd plotting for DCR &amp; SCR resistance diag. Peer review is plan today.
08-05  : Test data updation is in progress. Test vector is updated except 16816828. remaining 5 DCRs V&amp;V internal review to be plan in next week. Certdoc update is in progress</t>
  </si>
  <si>
    <t>HCU/MGU: DOC OECS diagnostic improvement</t>
  </si>
  <si>
    <t>Please provide system errors that are under bitmap SysIO3Btmp</t>
  </si>
  <si>
    <t>Incorrect description for CaAftElecHtrChnl2PwrGain &amp; CaAftElecHtrChnl2PwrOfst --- ElectHtrDiag</t>
  </si>
  <si>
    <t>There is request From Authoring team to have a separate DCR for ElectHtr and ElectHtr2. We can use this for ElectHtr</t>
  </si>
  <si>
    <t>Interface sheet update required for AftElecHtrProc2 component</t>
  </si>
  <si>
    <t>Evaluation submitted</t>
  </si>
  <si>
    <t>Update software so that Final Heater Power Request for Channel 1&amp; 2 will bezero when disable logic is true</t>
  </si>
  <si>
    <t>19-05 : Evalaution is completed and submited in integrity
13-05 : Internal review is completed, plan for DRB review
08-05 : SRS update in progress
06-05 : Analysis is in progress</t>
  </si>
  <si>
    <t>Addition of ppPartMatFiltSysInpOutpErrsBtmp2_deVal  in DOC Heater Disable - AftElecHtrProc Component</t>
  </si>
  <si>
    <t>19-05 : Impl in progress</t>
  </si>
  <si>
    <t>22-05 : 
20-05 : MIL is in progress. SIL and plotting is pending.
19-05 : Migartion is completed, working on V&amp;V.</t>
  </si>
  <si>
    <t>CES ATS 35.50.23.00 - 17458975</t>
  </si>
  <si>
    <t>Evaluate FTIS Support for HC Doser Pressure Fault Snapshot Mapping</t>
  </si>
  <si>
    <t>19-05 : evalaution compelted.
13-05 : Analysis and ppt is completed, Plan for internal review today, Anushka spend 2 hrs for Initial analysis on 12th May
11-05: Anushka spend 2 hrs for initial analysis</t>
  </si>
  <si>
    <t>04-06 : checkin completed,DCR to be submitted
03-06 : check-in in progress
29-05 : sent for L2 review impl
20-05 : impl and testing is completed.
19-05 : Peer review plan today for impl. DCR is still in submit state</t>
  </si>
  <si>
    <t>Creation of OBDM for AftDiesPartFiltEffDiag</t>
  </si>
  <si>
    <t>05-07:1.5Hrs - Defect_18430949 - Checkin is completed, Sent Commit IDs to Anil for CDS task validation, Updated impl checklist, impl notes, subfunction mapping, submitted DCR for closure.
1.5Hrs- DCR_19163955 - Checkin is completed, Sent Commit IDs to Anil for CDS task validation, Updated impl checklist, impl notes, subfunction mapping, submitted DCR for closure, updated technical checklist with L2 and CDS feedback, Closed KAP tasks.
5Hrs- Support for Arpitha for 6 DCR's closure and Cloned all 3 components and re-ran everything to make sure all are working properly.</t>
  </si>
  <si>
    <t>08-06:updated technical checklist for 19634192 ( 0.25hrs)
27-05:Sent for CDS Review ( 0.25hrs)
19-05:Sent DCR_19634192 For L2
18-05:resolved Doc gen errors
14-05:Done changes in OBDM and generated 8step,link report with all artifacts and Peer+CCB done DCR_19634192
facing error in DOC gen report (7.75hrs) &amp; will resolve it today and proceed for L2</t>
  </si>
  <si>
    <t>Anshul Upreti</t>
  </si>
  <si>
    <t>Dummy dcr</t>
  </si>
  <si>
    <t>24-06:Understanding the model AftDiesOxidCatHCSlipInjLim, SRS and App guide reading (8hr)
19-06:Understanding of AftPartMatSenCProc - Reading SRS, Appguide and model understanding (for DCR_19604793) (4hrs)  &amp; Revisited migration training ppt. ( 1hrs)
17-06:Analysis of DCR_1974767 and DCR_19824310 for Eval+Impl. (8hrs)
04-06:OBDM Training Doc reading (5hrs)
03-06:OBDM Training Doc Reading (8 hrs)
02-06:OBDM Training Doc Reading (8 hrs)
01-06:OBDM Training Doc Reading (8 hrs)
29-05:OBDM Training Doc Reading (8hrs)
28-05:PFS, iDFMEA and CERT doc understanding - 7.5hrs &amp; Assessment meeting with Amit - 0.5 hrs
27-05: PFS, iDFMEA and CERT doc understanding ( 8hrs)
25-05:PFS, iDFMEA and CERT Doc understanding. (8hrs)
22-05:Dummy DCR_14966080 final review points verification with Harshal.CCB is closed. (0.5HRS) iDFMEA Doc and CERT Doc understanding and PFS Doc reading ( 7.5HRS) 
21-05:iDFMEA and CERT doc understanding. (7hrs) &amp; 1 hr: CSAR Bench testing training
20-05:CCB Continuation meeting (1hr) &amp; Worked on 1 review point(0.5hr) &amp; iDFMEA Doc &amp; Cert Doc understanding(6.5hr)
19-05:Worked on the CCB review points 
18-05:PFS Document, Appguide &amp; iDFMEA document reading.(7hrs) &amp; 1 hr: Dummy DCR CCB Review Meeting.
15-05:PFS Document and App guide for AftDiesPartFiltAshMaintLampSttg reading. &amp; CCB is planned for today. 
14-05:4 hr: Required mapping error solving. &amp; 4hr: App guide reading for the component AftDiesPartFiltAshMaintLampSttg &amp; Peer review is closed.
13-05: Requirement mapping issue solving(In progress) -4hr &amp; PFS Document reading-3hr &amp; Retrospective meeting - 1 hr
12-05:4hr: Requirement mapping error solving &amp; 4hr: PFS Document Reading.
11-05: Dummy dcr peer review in progress</t>
  </si>
  <si>
    <t>25-06:CCB review for Implementation in progress - 1hr &amp; Reviewer asked me to hide the Look-up table block name, and reran the Migration - 4hrs &amp; Read the CertDoc training material - 3hrs
24-06:Peer Review for Implementation is completed and Planned for CCB review - 2hrs &amp; Learned about heaters (Srinadh explained) - 2hrs &amp; Read the CertDoc training material - 4hrs
23-06:Peer review for Implementation is in progress - 1.75hrs &amp; Checklists - 2.25hrs&amp; Read the CertDoc training material - 4hrs
17-06:Ppt and Checlists update in progress - 8hrs
16-06:App guide update completed and ppt in progress - 8hrs
15-06:DCR 12942271, 12942266, 14793569 (Dummy): App guide update in progress - 8hrs
12-06:Utilities update and re-migration completed &amp; Connected with Srinadh for doubts - 3hrs &amp; Attended the Virtual Onboarding - 5hrs
11-06:Preparation and attended the Interview with Komal - 8hrs
10-06:App guide update - 4hrs &amp; Read about OBDM and aftertreatment system - 4hrs
09-06:App guide update in progress - 4hrs  &amp; Attended Conversion to FTE meeting &amp; Mandatory, Building a Safe &amp; Professional Workplace Meeting - 2hrs &amp; Preparation for Interview - 2hrs
08-06: App guide update in progress - 7hrs &amp; Connected with Srinadh for doubts - 1hr
05-06: Implementation PPT in progress - 4hrs &amp; Connected with Pankaj for Interview preparation - 0.5hr &amp; Training for OBDM - 3.5hrs
04-06:Test manager settings, SIL, Regression test completed - 4hrs &amp; Connect with Srinadh for doubts in dummy DCR - 1hr &amp; Connect with Pankaj for Interview preparation - 0.5hr &amp; Training for CERTDOC - 2.5hrs
03-06:Completed MCDC and connected with Srinadh for doubts - 4hrs &amp; Training of CertDoc session by Jagadeesh V - 1hr &amp; Attended Kap01 user story Connect - 0.5hr &amp; Studying about Aftertreatment systems - 2.5hrs
02-06:Completed writing test vectors and MIL Execution Done - 6hrs &amp; Connected with Srinadh for queries - 1hr &amp; Reading the training material for CERTDOC -1hr
01-06:Writing test vectors - 4hrs &amp; Training: Discussion with Punkaj and studying about Aftertreatment - 4hrs
29-05:: Learning and writing test vectors. Connected with Srinadh for queries - 8hrs
28-05:Learning about test vectors and writing test vectors in progress. Connected with Srinadh for the doubts - 8hrs
27-05:Manual harness creation completed, Requirement mapping completed, Migration ppt preparation completed and Connected with Srinadh for queries - 8hrs
26-05:Harness creation, ppt preparation in progress, estimation for implementation is done &amp; connected with Srinadh for queries in harness creation - 8hrs
22-05:Updated the model and compiled it - 4hrs &amp; Model Advisory checks - 3hrs &amp; Connected with Srinadh for queries in implementation - 1hr
21-05:Downloaded and added necessary tool boxes, cloned the component repository, created component branch and design branch, checkout 1.2.18.0 version CSAR utilities, checkout latest version of data dictionary and did the changes in model - 7hrs
Attended 'CES CSAR Test Bench Training' session by Russell Slutz -1hr
20-05:Worked on comments and closed the CCB review, sent for L2 review with Iram, Cloned the component, attended the connect with Dhanraj and clarified some doubts with mentor - 8hrs
19-05:DCR_12942271 (Dummy): CCB Review Continuation - 1hr &amp; I was asked to create a excel sheet to compare all the descriptions which are updated by running Macros in the Interface sheet and worked on comments - 6hrs &amp; 
Training: Attended session on CSAR Bench Testing Overview by Srinadh - 1hr
18-05:DCR_12942271 (Dummy): CCB Review - 1hr &amp; Training: Completed the training videos on 'CES Specific CSAR Migration Workflow and Simulink Modelling (Part-2) and read the training materials of the same - 7hrs
15-05:DCR_12942271 (Dummy): Peer review closed &amp; Planed for CCB review- 1hr &amp; Training : Completed the training videos on 'CES Specific CSAR Migration Workflow and Simulink Modelling (Part-1)' and read the training materials of the same - 6hrs &amp;
 Attended CSAR VnV and Boundary Value Testing session by Swayangdipta and Iram. - 1hr
14-05: DCR_12942271 (Dummy): Peer Review Completed, Worked on comments &amp; Planned for CCB review - 5hrs &amp; Training: Read the training material of GITLAB Component Version and Configuration Management Processes - 3hrs
13-05: Training videos on GITLAB Component Version and Configuration Management Processes and reading the training materials for the same - 7hrs &amp; Retrospective meeting - 1hr
12-05:Training videos on CES Naming Conventions, Interface Sheet Creation and Update (Part-2) and reading the training materials for the same.
11-05:Completed the training videos on CES Naming Conventions, Interface Sheet Creation and Update. And reading the training materials for the same.</t>
  </si>
  <si>
    <t>Ms4-5 work of dmInhSwtTimeRegenErr</t>
  </si>
  <si>
    <r>
      <rPr>
        <sz val="11"/>
        <color rgb="FF000000"/>
        <rFont val="Calibri"/>
      </rPr>
      <t xml:space="preserve">24-06:New </t>
    </r>
    <r>
      <rPr>
        <b/>
        <u/>
        <sz val="11"/>
        <color rgb="FFFFC000"/>
        <rFont val="Calibri"/>
      </rPr>
      <t>DCR 20189478</t>
    </r>
    <r>
      <rPr>
        <sz val="11"/>
        <color rgb="FF000000"/>
        <rFont val="Calibri"/>
      </rPr>
      <t xml:space="preserve"> created to Ensure diagnostic documentation and model are fully aligned with OBD requirements and accurately reflect implemented behavior. :: 1.75 hrs 
23-06:Shared the PPT with Lynnd and explained the process of manipulating the application label input, including how we changed it to inhibit. :: 0.75 hrs
22-06:Worked on interface testing of ppNvDiesOxidCatRegenTrigSt_deVal and updated the PPT accordingly. Attended the OBD forum.:: 7.75 hrs 
19-06:Worked on the Interface testing of ppNvSelCatRednRegenTrigSt_deVal and ppNvDiesOxidCatRegenTrigSt_deVal on bench :: 6.75 hrs &amp; Attended Pre-OBD for dmInhSwtTimeRegenErr:: 1 hrs 
18-06:Discussion on DCR_19734138 for diagDmInhSwtTimeRegenErr with Lynnd and Dhanaraj. The sub-requirements, model, and plots were discussed. Additional plots need to be added to the PPT, &amp; Planning the pre-OBD for today .:: 2 hrs
16-06:Worked on failed part creation and showed it to Dhamraj, but he suggested updating it again. ::2.5 hrs
12-06:Updated PPT for dmInhSwtTimeRegenErr; worked on sub-requirement analysis and shared the updated PPT with Dhanraj – 3 hrs &amp; Worked on ECM test DCR analysis – 2 hrs
10-06:Discussed the failed part creation method with Dhanraj, along with iDFMEA, CertDoc, and the 2-trip plot. Need to work on the sub-requirement analysis of the diagnostic. :: 0.75 hrs
05-06:Worked on the MCID sub requirements and PPT in progress .( 3 hrs ) &amp; Blocker for DCR_19734138:: Need to be check failed part of diagnostic with dhanraj
04-06:Collected logs using the new build, and the expected results are being observed. PPT preparation is in progress. — 4 hrs
28-05: Worked on testing and captured logs; however, non-OBD results are being observed from the Bitmap component. We need to wait for the latest build. ::6.5  hrs &amp;  Hand safety training - 1 hr.
27-05:Worked on the screen file creation for dmInhSwtTimeRegenErr. Also backtracing of the input ppAftAutoStnryRegenPrmtSwtSt_deStatus  to manipulate it to DATA Valid.:: 7.75 hrs
26-05:Worked on the screen file for dmInhSwtTimeRegenErr.:: 7.75 hrs 
20-05:Created new DCR_19734138 is created to complete the  Ms4-5 work of dmInhSwtTimeRegenErr..:: 1 Hrs12-05: Worked on the screen file creation for the dmInhSwtTimeRegenErr diagnostic :: 7.5 hrs , &amp; Connected with Dhanaraj regarding the scope of testing. He mentioned that he will confirm in the second half today.
11-05:Worked on the dmInhSwtTimeRegenErr diagnostic. Gathered information for MS01 to MS05 and shared it with Dhanraj. Awaiting confirmation on whether to revisit MS01 to MS03 or proceed with a fresh forum. :: 7 hrs</t>
    </r>
  </si>
  <si>
    <t>AftElecHtr2Diag: E-heater Stuck On and IRL diagnostics logic update</t>
  </si>
  <si>
    <t>Status is same ad DCR 19442852</t>
  </si>
  <si>
    <t>Update heater diagnostic AftElecHtr2WakeInpOpenCktErr</t>
  </si>
  <si>
    <t>Pre DOC heater disable logic update required as it needs to be considered only when eheater service test is triggered - AftDualHtrCtrlIPwrD Component</t>
  </si>
  <si>
    <t>27-05:merge request approval, Checklists update with DCR submission in integrity. ( 2hrs)
26-05:dhanraj has accepted design branch merge request, send component branch merge request today.
25-05:: sent design branch merge request on 22nd may, waiting for approval
22-05:: peer and CCB completed. as per Dhanraj request sent for L2 offline, received feedback from Todd. waiting for feedback from Dhanraj. (10hrs)
21-05:Verified the plots with sheetal, Requirement mapping, VnV, PPT update. ( 8rhs) &amp; Today: As discussed previously appearing for peer in first half and CCB in second half.
20-05:Test vector update, Test manager setup, individual tests passed, simulation plotting.(8hrs)
19-05: Migration completed, AppGuide update completed. (8hrs)
Today: Requirement mapping, Test vector update is in progress.
Roadblock: SRS publish is in progress, cannot proceed for requirement mapping, VnV
18-05:started analysis and discussion about interface sheet mismatches, previous branch merge (4hrs)</t>
  </si>
  <si>
    <t>Incorrect fault read in AftOpModePrmt for HC errors</t>
  </si>
  <si>
    <t>24-06:Evaluation done and going for CCB review today-3.75hr
09-06:updated technical checklist for 18795425 and replied back to swapnil email (0.5hrs) &amp; discussion regarding the CCB review and emailed regarding the same (0.5hrs)
08-06:Discussion with iram and Srinadh about DCR_18795425 and 18795484 . Today need to discuss with Dhanraj about it (1hr)
28-05:send for L2 review (0.25hrs)
26-05:CCB and function sub-function mapping done ( 1.75hrs)
25-05:peer review completed for DCR_18795425 (0.75HRS) &amp;  1hr: Plan completion sheet - to update completion date  &amp; 0.5 : bandwidth and estimation discussion
22-05:prepared artifacts , peer review and comments fixing &amp; 1 hr : prepared estimation sheet and planned date &amp; Today peer continuation
20-05:Evaluation completed with interface sheet , SRS Updation and PPT &amp; going for peer review today (8hrs)
19-05:started evaluation &amp;  3hrs: DCR_19572045 initial analysis &amp; 0.5hr: connected with Alexandra regarding the mentioned path in the DCR_18795425 &amp; 1hr: connected with mentor regarding query and RCA &amp; 0.5hr: filled RCA
18-05:initial analysis and need to take confirmation regarding the MissionRegen/MissionRegenOff path as the HydroCarbnDosSysLeakErr is not being used there.</t>
  </si>
  <si>
    <t>28-05:application guide and OBDM changes done (2hrs)</t>
  </si>
  <si>
    <t>DOC maintenance required monitor specifically for B100 fuel applications</t>
  </si>
  <si>
    <t>25-06:DCR_18505556 FeatureSim ( 3hrs) &amp; Team support and calls (2.5hrs &amp; Review ( 1hrs)
24-06:DCR_18505556 FeatureSim (6hrs) &amp; Team support and calls (1hrs) &amp;  Review (1hrs) 
23-06:DCR_18505556 FeatureSim (3.5hrs) &amp; Review (1hrs) &amp; Team support and calls (1.5hrs)
19-06:DCR_18505556 Evaluation (3hrs)
15-06:DCR_18505556 Evaluation (5 hr) &amp; Team support and calls (1.5 hr) &amp; Review (1.5 hr)
12-06:DCR_18505556 Evaluation (5hrs) &amp; 2 hr. Team support and calls &amp; 1.5 hr Review
11-06:DCR_18505556 Evaluation (5hrs) &amp; 2 hr. Team support and calls &amp; 1 hr Review
10-06:DCR_18505556 FeatureSim setup creation (5.5hrs) &amp; 1.5 hr. Team support and PFS call &amp; 1 hr Review
05-06:DCR_18505556 Evaluation ( 3.5hrs) &amp; 2 hr. - Team support and call &amp; 1.5 hr - CCB Review &amp; 1 hr. - iDFMEA Discussion
04-06:DCR_18505556 Evaluation 4 hr &amp; Review 1 hr &amp; Team support 2 hr.  and calls &amp; iDFMEA Discussion 1 hr.
03-06: 1 hr Review 1.5 hr. iDFMEA Discussion 30 min. Kap01 user story call 1 hr. Team support ( iram only worked 4hrs on 02june, half day leave, ) ( no efforts added here)
02-06:DCR_18505556 Evaluation ( 6hrs) &amp; 1 hr. team meetings and support &amp;   1 hr Review
01-06: DCR_18505556 PPT updation (3 hrs) &amp; Daily connect 2 hr.  &amp; PFS connect 1 hr. &amp; Review 2 hr Open DCR analysis
27-05: DCR_18505556 PPT creation/updation ( 1.5 hr) &amp;  2 hr. Daily connect and PFS connect &amp; 4 hr Open DCR analysis &amp; 1 hr. Defect injection sheet update
26-05:DCR_18505556 PPT creation ( 2hrs) &amp; 5 hr. Open DCR analysis &amp; 1 hr. Review &amp; 2 hr. Discussion for Training plan finalization and Discussion - Function and sub function mapping
25-06:DCR_18505556 Analysis (6hrs) &amp; 1 hr. New team member support &amp; 23-05-2026: 5 hr. DCR_18505556 Analysis 
22-05:DCR Analysis in progress ( 3hrs) and  Defect injection sheet update ( 4hrs)
20-05:Defect injection sheet update ( 4hrs) &amp; DCR Estimation/review ( 2hrs) ( no efforts added here )
19-05:DCR Analysis in progress ( 4hrs) &amp;  2 hr. - Defect injection checklist update &amp; 1 hr. - Estimation update and review
18-05: DCR Analysis in progress ( 5.5hrs) &amp; 2 hr. DCR Estimation Review and team connect &amp; 1.5 hr. Review
15-05: DCR Analysis in progress ( 4hrs) &amp; 2 hr. DCR Estimation and team support &amp; 1 hr. Review</t>
  </si>
  <si>
    <t>next Sprint</t>
  </si>
  <si>
    <t>Electric Heater 2   Diagnositc For ECM</t>
  </si>
  <si>
    <r>
      <rPr>
        <sz val="11"/>
        <color rgb="FF000000"/>
        <rFont val="Calibri"/>
      </rPr>
      <t>24-06:Verified comments with Snehal for iDFMEA. Created new 4 CR's to migrate SRS to latest template. Submitted the 2 CR got approved by john. (3.5h)
20-06:DCR_19538930: Attended forum got MS 1-3 pass (1hr)
19-06:Verified MS1-3 PPT with Swayang. Connected with Indu to update MS1-3 PPT. Attended Pre-OBD forum(1.25hr)</t>
    </r>
    <r>
      <rPr>
        <sz val="11"/>
        <color rgb="FFFFC000"/>
        <rFont val="Calibri"/>
      </rPr>
      <t xml:space="preserve"> Only iDFMEA comments needs to verify for this DCR_19538930. &amp; If Snehal approves all the SRS requirements &amp; provide feedback Interface sheet, Model Changes &amp; SRS are looks good. So that we can send it for RRB review and submit the DCR's, proceed for ARXML authoring.
</t>
    </r>
    <r>
      <rPr>
        <sz val="11"/>
        <color rgb="FF000000"/>
        <rFont val="Calibri"/>
      </rPr>
      <t>18-06:Closed all the comments. iDFMEA review completed and fixed the comments, verification is pending(1hr)
17-06:DRB/L2 review completed. Working on comments(1.5hr)
12-06:DRB/L2 review with Snehal is in-progress.(0.5hr)
10-06:Received feedback from Todd &amp; Alex. Updated the enable conditions after discussing with Swayang.(0.75hr) 
09-06:As Shradha received comment on special denominator. I've included special denominator changes in current DCR &amp; updated SRS accordingly. Connected with Chad regrading timeout error. CCB review completed &amp; send for L2/DRB review (4.5hr).
08-06:CCB review in-progress&amp; working on comments(3.5hr).
05-06:CCB review in-progress(1.5hr). DCR_19538930: updated calibration section in SRS as per Swayang inputs (1hr)
04-06:DCR_19538930: Peer review completed &amp; send mail to DL team (1.5hr) DCR_19392732_19442852_19657044: CCB review completed(1.25hr) DCR_19538930: Going for CCB review today. DCR_19538930: working on SRS(3hr), 
03-06:Peer review in progress(1hr) DCR_19392732_19442852_19657044: CCB review in progress(1.25hr) &amp; Working on SRS(5hr)
02-06:DCR_19538930: Peer review in progress(1hr) 
01-06:DCR_19392732_19442852_19657044: Peer review completed(0.75hr) DCR_19538930: Peer review in progress(1hr) 
29-05:Peer review in progress(1.5hr) &amp; DCR_19538930: Working on MS1-3 PPT(5.5hr) &amp; Connected with Indumathi for DCR discussion(0.75hr)
28-05:Peer review in progress(1.75hr) &amp; DCR_19538930: Working on MS1-3 PPT(6hr)
27-05:prepared artifacts for Peer review. Peer review in progress(7hr) &amp; DCR_19538930: Completed Internal discussion with Swayang(0.75hr)
26-05:::iDFMEA Completed, Eval PPT in progress &amp; going for peer review today(8hr)
25-05:Working on iDFMEA(8hr)
22-05:Imported SRS to integrity and completed formatting changes &amp; Working on iDFMEA(8hr)
21-05:SRS creation completed &amp; Imported SRS to integrity. Working on formatting changes(7hr)
20-05:Working on SRS creation(7hr)
19-05:Working on SRS creation(6.5hr) &amp; Training on Bench testing(0.75hr)</t>
    </r>
  </si>
  <si>
    <t>24-06:Updated the CertDoc(2.5hr) 
23-06:Updation of test vectors Completed(7.5hr)
22-06:Updation of test vectors in progress (8hr)
20-06:Updation of test vectors in progress (6.75hr)
19-06:Updation of test vectors in progress (6.75hr)
18-06:Updation of test vectors in progress (6.75hr) &amp; Training - 1hr
17-06:resistance diagnostic app guide completed. Updation of test vectors in progress (4.75hr)
16-06:Working on resistance diagnostic app guide. For resistance diagnostic created a CR for New AID. Also attended forum (7.75hr)
12-06:Working on resistance diagnostic app guide(7hr) 
11-06:Appguide changes completed for 2 DCR's. Working on resistance diagnostic app guide(6.75hr) 
10-06:CertDoc changes Completed for all DCR's (7hr)
09-06:Completed CertDoc changes for 2 DCR's &amp; Working on CertDoc remaining one DCR.(3hr) &amp; Created a DCR to work on open ports &amp; send mail to Ankit (0.5hr)</t>
  </si>
  <si>
    <t xml:space="preserve">HCU Diganostics OBDM File Inconsistencies - Cert doc missmatch infotmation
</t>
  </si>
  <si>
    <t>19-05:Regenerated 8 step report and send mail to Kevin regrading Htr1 CertDoc DCR(1hr)</t>
  </si>
  <si>
    <t>CSAR certDoc : VCOND creation  for AftDiesOxidCatHCH2OAdsrbDsrb component</t>
  </si>
  <si>
    <t>16-06 : DCR to be submitted for rejection
15-06 : Dhanraj has asked to add more details in presentation for rejection of DCR
10-06 : Peer +CCB review completed, discusison is planned today
09-06 : Peer+CCB in progress ,had discussion with swapnil ,working on Proposal for discussion with Todd
08-06 : Peer + CCB review request plan today
04-06 : had call with swapnil, workingon discussed action item
03-06 : working on pppt
02-06, 01-06 : Testing in progress ,call setup with swapnil for wednesady-spent 
01-06 : ,build is in progress ,once finished will start testing
29-05 : facing issue with build
28-05 : build is in progress ,once finished will start testing</t>
  </si>
  <si>
    <t>Update VCOND_PMSC_Dewpoint_Not_Met and VCOND_Start_Stop_Enable as per logic in CertDoc_CES_PMSC.OBDM</t>
  </si>
  <si>
    <t>19-06:completed checkin and submited DCR and Task(1.5hr)
10-06: Send email for cds review
01-06:CCB completed sent it for l2(1.5hr)
29-05:CCB is in progress, working on comments(4hr) &amp; Support and estimations(0.5 hr)
27-05:Peer completed(1.5hr)
26-05:Peer comment verification is pending, working on comments(4hr)
25-05:Peer is in progress, KAP activities, checklist(2hr)
22-05:updated cert doc, did an internal review with Yashwanth, waiting for Yue's reply &amp; Added entry for peer today(7.5hr) &amp; estimations(0.5) 
20-05: Worked on Certdoc ( 3.5hrs)</t>
  </si>
  <si>
    <t>Amit Support Activities</t>
  </si>
  <si>
    <t xml:space="preserve">25-06:Review- 1hr &amp; Support , Meeting and PFS connect -1.75hr
24-06:Two review- 1.75hrs &amp; Support, Meeting and PFS meeting-1.75
23-06:review-1.25hr &amp; support (DRB sheet comment varification)-1hr &amp; PFA connect and meeting-0.75hr
22-06:Review -1hr &amp; Support (DRB sheet comment verification), PFS connect and Meeting-2.75hr
19-06:REview-1hr &amp; Support, meeting and PFS connect-1.75hr
18-06:Two review -2hr &amp; Support and meeting and training regarding MS1-3 ppt -2.25hrs
17-06:Support and Meeting:1.25hr &amp; Two review-2hr
16-06:Review-1.5hr &amp; Support (DRB sheet comment verification) and PFS connect and meeting-1.75hr
15-06:two review- 2.25hrs &amp;  Support, Meeting and PFS connect:1.75hr
12-06:Review and support-2hr &amp; PFS connect and meeting-0.75hr
11-06:Review- 1hr &amp; Support, PFS connect and meeting= 2.75 hr
10-06:Review and support-2hr &amp; PFS connect and meeting- 0.75hr
09-06:review, support and meeting-2.5hr
08-06:Review and support- 2.5hr
05-06:Review and support-2.5hr
04-06:review and support-2.5hr &amp; DCR estimation support-1.5hr
03-06:support, meeting and PFS connect -1.75hr &amp; Kap01 user story call-0.5hr &amp; DCR_19469754: Today i will ping to Vikram for Scope &amp; Process Clarification,
02-06:Peer and CCB Review-2hr &amp; Support and meeting , PFS Connect-1.75
28-05:Review, Support and PFS connect and Meetings-3.25hr
27-05:review, support and PFS connect and Meetings: 3.25hr
26-05:2 Review-2.5hr &amp; Support and meeting- Discussion for Training plan finalization and Discussion - Function and sub function mapping-1.75hr 
23-05:Plan completion sheet - to update completion date  and RCA call and preparation- 4hr &amp; 2 Reviews, Support, Meeting and PFS connect-4.5hr
22-05:Working on Estimation sheet preparation with Swayang- 4.25hr, &amp; Review 2.5hr &amp; Support for reqif , PFS connect and meeting- 1.75
19-05:Working DRB/L2 comment sheet - to verify the comment and Plan completion sheet - to update completion date- 4hr, &amp; Review- 2.5hr
Support, PFS connect and meeting- 1.75hr
15-05:Working on DRB/L2 comment sheet verification and updating the planned completion date sheet.-4hr &amp; Review -3.5hr &amp; Support , meeting - 1.25
07-05:working on Estimation-4hr &amp; Support, PFS Connect, Meeting-1.75hr
</t>
  </si>
  <si>
    <t>Shrutika Shete / Prathyusha Guttapalem (ag14k)</t>
  </si>
  <si>
    <t>Add time in motoring as an enable/pause condition in AftDiesOxidCatPresDiag</t>
  </si>
  <si>
    <t>25-06:CCB comment fix regarding iDFMEA, appeared for DRB, review comment fix and sent for reverification (8hrs) &amp; Today:19415928: will work on the simulation by referring provided data set by jose.
24-06:appeared for CCB review. Comment fixing is in progress(Technical profile update in iDFMEA:Additional scope). ( 8hrs)  &amp; Today:19415928:CCB review comments fixing, as I am appearing for DRB today to fix the comment before DRB, Need support in updating the iDFMEA technical profile as never worked before on the same.
23-06:Peer Review Completed. Raised DCR_20143680 for SRS template update. (8hrs)
22-06:interface sheet update, SRS update, PPT update (8hrs)
19-06:Interface sheet update is in progress and ISM implementaion requirement confirmed with dhanraj, timer reset condition proposal is in discussion with dhanraj. (8hrs)
18-06:MIL plotting and discussion about requirement clarification (5.5hrs)
17-06:discussion with dhanraj, scheduled meeting today with DCR creator ( 1.5hrs)
16-06:analysis is in progress ( analysis as per the dhanraj's inputs, due to zoom connection issue couldn’t able to connect with dhanraj in PFS Connect, once zoom issue resolved tried connected but since he was busy in reviewes requested to connect today) (7hrs)
15-06:analysis is in progress (internal discussion on points shared by jose) (8hrs)  &amp; Support to sumit for DAF queries (0.5hrs)
12-06:analysis and query resolution regarding issue, requirement is in discussion with iram (5.5hrs)
11-06:analysis is progress (self analysis and discussion with jose over teams)(4hrs)
09-06:discussion with DCR creator on requirement (0.5hrs)
29-05:analysis and discussion about requirement clarification, DCR creator scheduled meeting on Monday to clarify on the issue and requirement (7hrs)
22-05:Tried understanding requirements by cloning component, I couldn't be able to do Eval, instead I will do impl if required. (1hrs)</t>
  </si>
  <si>
    <t>AftDPFSootMDS - altitude correction to prevent under-estimation</t>
  </si>
  <si>
    <t>22-05:Initial analysis ( 2hrs)</t>
  </si>
  <si>
    <t>Need to add Reactive Regen to dmDiesPartFiltTmptrTooFreqRegenErr model</t>
  </si>
  <si>
    <t>23-06:Resubmitted the DCR. (0.15hrs)
18-08:Submitted Eval  (0.5hrs) &amp; 1hr: DDP training
17-06:new RRB sign up sheet update, waiting for the tag from Yogesh (1.5hrs) &amp; 4hr:18901997, 18929504: CSAR bench availability checking, DCR go thorugh
16-06:Mail to yogesh for RRB tag (0.15hr) &amp; Support to jayant for DAF queries (0.15hr)
12-06:Eval submit is in progress, waiting for the TRB tag from yue. &amp; 0.5hr: support to sumit for DAF queries.
11-06:CCB review comment verification, sent for L2. (4hrs)
10-06:peer review comments closure with shivaji, appared for CCB, CCB comment fixing and verification is in progress.(7.75hrs) &amp; 1hr: discussion with managers
09-06:CCB review not planned. analysis and discussion of queries with yue. (1hrs) 
08-06:peer review comments discussion, fixing, peer review continuation (8hrs)
05-06:Peer review artifacts preparation, appeared for peer review, peer review comments fixing and discussion is in progress, waiting for the feedback from yue regarding SRS template usage, (7hrs)
04-06:interface sheet updated, iDFMEA Updated, Eval PPT creation, clarification of queries in Eval checklist (7hrs) &amp; Roadblock: Need to confirm with yue on below points: 1.regarding appearing for Forum as per my understanding it wont be required, as no update in Abort, pause, enable conditions.  &amp; 2.regarding SRS template still the discussion is in progress but as per iram's input need confirmation from yue. &amp; 3.one eval checklist point regarding new DD matrix form is in discussion with iram as not able to filled form. &amp; 
With these open points I am appearing for Peer Review today with updated artifacts.
03-06:Based on yue's input started working on evaluation, reverted back to her with pending queries, SRS update completed (7HRS)
28-05: as per the analysis and discussion with dhanraj sent and mail to yue, waiting for her feedback. &amp;  1hr: CTCI hand safty training
27-05:No response from yue for queries, discussed with dhanraj but he has asked to connect today if yue doesn’t reply. ( 5hrs)
26-05:clarified few points of analysis with swayang, based on inputs prepared one proposal need to discuss with yue to proceed furthur with evaluation.
Roadblock: Yue was not available yesterday to discuss. 
25-05:analysis is in progress, had few roadblocks in reuirement understanding, for analysis need core 2 model. (8hrs)</t>
  </si>
  <si>
    <t>shrutika shete (ac06r) / Prathyusha</t>
  </si>
  <si>
    <t>25-06:Prepared 1 level of impl PPT for all 3 DCRs, received updated eval PPT from Jayant and Shrutika, and interface sheets from jayant ( 1 hrs)
24-06:DCR_19499649: checked expected outputs (7.5hrs)
19-06:Sent mail to Dileep regarding branch closure (0.25hrs)
18-06:Updated 1 level of test vectors. Created KAP feature, user story, task. (4hrs)
17-06:Connected with Shrutika regarding few queries, Updated appguide, based on analysis no impact on certdoc, test vector update in progress (7.5hrs)
16-06:Initial analysis in progress, there is an active branch of Dileep D for AftSootFiltFrqntRegenDiag (4hrs)</t>
  </si>
  <si>
    <t>Update Application Datatype of Calibration CaSFMStpRegenTimeRstBtmpMask present in Component AftDPFTimeBasedRegenTrigProc</t>
  </si>
  <si>
    <t>12-06:resubmitted the DCR 0.25 &amp; PFS connect 0.5
09-06:updated technical checklist and Sent No RRB mail to Yogesh, Submitted DCR for approval,(1hrs)
02-06:Received eval pass for DCR_19129965 
28-05: CCB review completed &amp; send for L2 review (0.75hrs)
27-05:peer review completed ( 0.5hrs)
26-05:eval done and  function sub-function mapping done &amp;   going for peer review  ( 3.5hrs)
25-05:initial analysis and started eval for DCR_19129965 (5.5hrs)</t>
  </si>
  <si>
    <t>PM Sensor Post-Engine Shut Down Protective Heating (CSAR, MY31)</t>
  </si>
  <si>
    <t>19-06:rework based on ver002(3hr) &amp; Support for DL diag (1hr)
11-06:Worked on eval submission, RRB checklist and Completed function subfunction mapping &amp; Connected with dhanraj for interface sheet confirmation (3.5hr)
10-06: DRB Evaluation review email (0.75hrs)
02-06:verified comments, had some issue with SRS, solved it (2.5hr)
01-06:CCB is in progress, updated comment(4hr) &amp; Self assessment (1hr)
29-05: Peer review completed with comments(3.5hr)
28-05:Peer review is in progress, completed model changes(4hr) &amp;  1 hr HSC training &amp; 2 hr estimations and support &amp; 1hr : Connected with Yue and CDS team(Chris)
27-05:SRS had some changes, it is completed, PPT is completed planned Peer review today(6.5hr)
26-05:SRS and Interface sheet migration to ver 20 is completed(4hr)
25-05:Evaluation in progress</t>
  </si>
  <si>
    <t>Anushka P Gaikwad (wf298) / Anshul Upreti</t>
  </si>
  <si>
    <t>25-06:Model preperation, arxml update, model simulation, code compilation (7.75hrs)
16-06:Impl ppt preperation. Waiting for arxml. (4hrs) &amp;  Analysis of DCR_19824310 and DCR_19747467 for Eval and Impl.(4hrs) &amp; Anushka sent for ARXML update(facing issue with git)2hr
15-06:VnV test case preperation and Implementation ppt preperation. Waiting for arxml to start the implementation.(8hrs)
12-06:VnV analysis and test case and scenario preperation. Waiting for the arxml to start the implementation. (8hrs)
11-06:VnV Analysis and test case preperation. Waiting for arxml to start the implementation (7.25 hr) &amp; CES Architecture Training (0.75 hr)
10-06:VnV Analysis and test case preperation. Waiting for arxml to start the implementation. (8hrs)
09-06:VnV Ananlysis and test case preperation. Waiting for arxml to start the implementation. (8hrs)
08-06:Analysing VnV and preparing the testcases and scenarios ( 7hrs) &amp; 1hr: DAF Bench KT
05-06:Analysis, Requirement and SRS document reading
04-06:Analysing DCR_19604793</t>
  </si>
  <si>
    <t>Change status of DPF deltaP and first catalyst in pressure when DPF deltaP sensor is near saturation - action item from  GPRP RC228-34600 - Ph35</t>
  </si>
  <si>
    <t>02-06, 01-06, 29-05 : analysis in progress</t>
  </si>
  <si>
    <t>DOC In Temp Regression model not considering both HCU architectures - AftVirHtrInlTmptr2</t>
  </si>
  <si>
    <t>28-05 : Analysis and Requirement discussion with Alex and Yue</t>
  </si>
  <si>
    <t>04-06 : during disucsion it is confimed that DCR to be rejected
03-06 : CCB is completed, after query resolution it will be send for L2
01-06 : Analysis and Requirement discussion with Alex and Yue
29-05 : analysis and PPT is completed, Peer review is plan today</t>
  </si>
  <si>
    <t xml:space="preserve">	
8-Step documentation needed for heater degraded OECS for dual coverage on the swapped wiring-HCU Program</t>
  </si>
  <si>
    <t>18-06 : CCB review plan today
16-06 : Peer review is planned today
10-06 : docs in progress, SRS AND IDFMEA is in progress. Appguide needs be updated.
08-06 : Impl to be started
03-06 : document needs to be updated
=N203</t>
  </si>
  <si>
    <t>8-Step documentation needed for heater degraded OECS for dual coverage on the swapped wiring- SAIPD Programs</t>
  </si>
  <si>
    <t>10-06 : Effrots tracking under DCR_19659117
08-06 : Impl to be started
03-06 : document needs to be updated
=N203</t>
  </si>
  <si>
    <t>26-05 : Initial analysis in progress</t>
  </si>
  <si>
    <t>File missing from clear case path for ATS - ATM Extension - PFS CES</t>
  </si>
  <si>
    <t>03-06 : 02-06, 29-05 : analysis in progress</t>
  </si>
  <si>
    <t>zameer shaik (au51w)/Uttam Mishra</t>
  </si>
  <si>
    <t>Incorrect Fault Read - AftDiesPartFiltOutGasPrSenOORH &amp; AftDiesPartFiltOutGasPrSenOORL</t>
  </si>
  <si>
    <t>09-06, 08-06 : Peer review is plan today
05-06 : Complete the Eval PPT.
29-05 : analysis in progress</t>
  </si>
  <si>
    <t>Incorrect Get error and IUPR APIs for HC Doser Pressure OOR Diags</t>
  </si>
  <si>
    <t>15-06 : To be send for rrb REVIEW
10-06 : waiting for TRB tag
08-06 : Sent for L2 review today
05-06 :  Comments Verification and iDFMEA confirmation
01-06 : Internal review plan today
29-05 : analysis in progress</t>
  </si>
  <si>
    <t>sheetal Vishwakarma (wa663)/Swayangdipta</t>
  </si>
  <si>
    <t xml:space="preserve">	
Request to implement a diagnostic that detects loose connections in the 48V wiring to the aftertreatment E-Heaters</t>
  </si>
  <si>
    <t>23-06 : Worked on plotting and discussion
22-06 : Worked on Plots and PPT creation and setup call for concept discussion
19-06 : Working on loose cinnection DCR, discussion with Chad and Dhanraj 
18-06  :Working on feature simulation , Discussion with Snehal and Dhanraj regarding error name
16-06 : Working on feature Simulation
15-06 : I have started working on feature simulation, Rene given one data based on that I started
12-06  :Working on model preparatio
09-06 : Working on Loose Connect diagnostic
08-06, 05-06 : Working on loose connection diagnostic
04-06    : evalaution is in progress
03-06 : Analysis is completed.
01-06, 29-05 : analysis in progress</t>
  </si>
  <si>
    <t>Request to implement a diagnostic that detects loose connections in the 48V wiring to the aftertreatment E-Heaters - Titanuim HCU System</t>
  </si>
  <si>
    <t>05-06 : efforts tracked under DCR_19689311
03-06 : Initial analysis compelted
01-06, 29-05 : analysis in progress</t>
  </si>
  <si>
    <t>Need to analyze impact of ppAftElecHtrSysIO3ErrsBtmp_deVal bitmap</t>
  </si>
  <si>
    <t>19-06:Eval Submit in integrity (1 hrs)
18-06:L2review rework and Discussion with Dhanraj regarding interface sheet comments and Duygu (1 hrs) &amp; Sending mail to Yogesh for RRB review and Child DCR created for all component (0.75 hrs) &amp; DDP training (1 hrs)
17-06:L2review rework and Discussion with Dhanraj regarding SRS comments(1 hrs)
12-06:L2 review with Snehal and discussion start with Chad regarding AftDualHtrCtrl Component (1 hrs) 
09-06:CCB review completed and sending L2 Review (1 hrs)  &amp; CCB review rework(1 hrs)  &amp; Arpitha spend 1hrs for ccb review and  0.7hrs for supporting Jayant for Visio Diagrams for SRS
08-06:CCB review is in progress. Model changes and interface sheet reviews have been completed. Reviews of the SRS and iDFMEA are still pending. (1 hrs) 
05-06:Peer review, rework activities, and KT provided to Manswi and Arpitha. (2 hrs) 
04-06:working on the EvaL PPT, Technical review checklist and SRS discussion with Yogesh and Peer review (7.75 hrs)
03-06:working on the SRS and iDFMEA and EvaL PPT (7.25 hrs) &amp; 0.5- kap session &amp; Roadblocks - The SRS documents need to be updated according to the new template. A total of 7 components are impacted, and there are 8 SRS documents that require updates. 
02-06:working on the interface sheet and SRS and iDFMEA and EvaL PPT (7.75 hrs)
01-06:working on the interface sheet and SRS and iDFMEA and EvaL PPT (7.75 hrs)
28-05:working on the interface sheet  (7.75 hrs)
27-05:initial analysis is in progress and sending mail to Swayangdipta (7.75 hrs)
26-05:initial analysis is in progress (6.25 hrs)</t>
  </si>
  <si>
    <t>jayant patil (wl795) / Arpitha K</t>
  </si>
  <si>
    <t>24-06:Updated test vector AftDiesOxidCatClsLoopDiag - 7.75hrs
23-06:Cert doc updation and test vector updation in progress - 5.5hrs &amp; Filled KAP and Updated Estimation sheet for Implementation DCR's - 1.25 &amp; KT on Bench testing - 1hrs.
17-06:AftExtnIdleHtrOnActTechIndc : Updated Appguide – 5hrs &amp; Connected with sindhu regarding cert doc and need to rework on cert doc – 3hrs &amp; Updated utilities - 0.75hrs
16-06:connected with indumathi regarding cert doc updation ,Visio Diagrams updated and Cert Doc updation in progress - 6.5hr &amp; KAP update and Git clone of AftExtnIdleHtrOnActTechIndc comp - 1hr 
15-06:Appguide updation completed for AftDiesOxidCatClsLoopDiag and AftExtnIdleHtrOnActTechIndc Initial analysis in progress - 7.75
12-06:Analysis on Interface sheet changes AftDiesOxidCatClsLoopDiag and AftExtnIdleHtrOnActTechIndc , Appguide updation in progress – 6 &amp; Training- style guide CertDoc PDF - 1.5
10-06:Connected with jayant regarding component Implementation queries and prepared estimation for components AftExtnIdleHtrOnActTechIndc and AftDiesOxidCatClsLoopDiag – 6hrs &amp; Connected with indumathi for Certdoc KT -1.5hr
09-06:Analysis on Eval PPT and model changes- 6hr
08-06:Analyse on AftDiesOxidCatClsLoopDiag Model working – (4hrs) &amp; Organization activities: Attended session on world environment kickoff- 0.5 &amp; Supported manswi for visio diagrams - 1.5 &amp; DAF Bench KT - 1hr
05-06: Arpitha Connected with Jayant regarding evaluation changes in the heater component, cloned the AftDiesOxidCatClsLoopDiag, and started understanding its working – 7.5 hrs</t>
  </si>
  <si>
    <t>AftSootFiltMgrDeepCleanAdj : CSAR Implementation for inclusion of a service-based reset condition</t>
  </si>
  <si>
    <t>Incorrect fault read in HC Doser bitmap Component</t>
  </si>
  <si>
    <t>19-06:Evaluation in progress-4hr
18-06:Discussed with veronica about 6 dm she told that only 3 are in production-0.25hrs &amp; Discussion with nileema , iram and zameer about bit map componnets-0.5hr &amp; DDP session-1hr
17-06:Discussed with dhanraj about the dm's and he is suggesting to add all the 6dm's and create new 6 ports but ashish told to use only 3 STB, STG, OL. So Dhanraj said he will connect with ashish and will confirm about the dm's &amp; Sent MOM to dhanraj about the discussion with ashsih.&amp; Defect checklist filled and ppt in progress.-3hrs
16-06:connected with ashish halade got clarification on (STB, STG, OL, OV, UV,) errors he gave the provider SAC SacAftHcDosInjVlvActr component initial analysis completed and need to create 3 new ports so will connect with Dhanraj regarding the bit positions and its impacting components AftHCDosCmd-7.75
15-06:Discussed with chaitail and connected with ashish halade for the dm port 1hr  &amp; PFS connect 0.75
10-06:Connected with Dhanraj regarding the 18795425 and 18795484 he suggested to connect with chaitali and ashish halade and need to complete 18795484 1st and then 18795425 (0.75)
26-05: initial analysis done and connected with amit and Iram and concluded that this DCR_18795484 need to be taken care by software team (2hrs) &amp; 0.5hr:Training  Function, Subfunction and Requirement Mapping on Integrity</t>
  </si>
  <si>
    <t>AftDPFIneffRegenTrigProc: CSAR Implementation for inclusion of a service-based reset condition</t>
  </si>
  <si>
    <t>28-05:application guide done (1hrs)
27-05: Initial analysis in progress (2hrs) &amp;  0.5hr: checked all 9 components if there is any active branch and observed that 4 components are having active branch . And sent mail to that developer regarding the check-in date confirmation.
This child DCR is raised for Implementation purpose for AftDPFIneffRegenTrigProc component
Refer DCR_19572045 for Evaluation and change details.</t>
  </si>
  <si>
    <t>AftDltPrRegenTrigProc: CSAR Implementation for inclusion of a service-based reset condition</t>
  </si>
  <si>
    <t>28-05:application guide done ( 1hrs)
27-05: Initial analysis in progress (2hrs)
This child DCR is raised for Implementation purpose for AftDPFIneffRegenTrigProc component
Refer DCR_19572045 for Evaluation and change details.</t>
  </si>
  <si>
    <t>AftDPFSootPlgDet :CSAR Implementation for inclusion of a service-based reset condition</t>
  </si>
  <si>
    <t>27-05: initial analysis and started updating test vector (2.5hrs)
This child DCR is raised for Implementation purpose for AftDPFIneffRegenTrigProc component
Refer DCR_19572045 for Evaluation and change details.</t>
  </si>
  <si>
    <t>AftSelCatRednRctRegenAllw:CSAR Implementation for inclusion of a service-based reset condition</t>
  </si>
  <si>
    <t>28-05:application guide done &amp; done analysis for OBDM but no impact for my change</t>
  </si>
  <si>
    <t>Cert Doc error for dmPartMatSenCPCBTmptrTooHiErr and dmPartMatSenCSuppVoltHiErr</t>
  </si>
  <si>
    <t>25-06:Followup with Yue and Elizabeth regarding certdoc changes, Yue agreed that she is okay with changes suggested by Elizabeth at late night (0.25hrs)
24-06:Followup with Datta, Dhanraj, Yue, Elizabeth for respective pending approvals of different components (0.25hrs)
23-06:Received comment in CDS and worked on it, analysis done for over temp event. Discussion with Elizabeth, Yue, Eduardo on teams grp regarding over temp event. Yue sent justification mail to Eduardo &amp; Elizabeth (4hrs)
18-06:Worked on L2 comment, regenerated reports, attached updated reports on b-drive &amp; CDS task, pushed updated artefacts, sent mail for reverification, again worked on comment and sent for reverification, received L2 pass, updated technical checklist with L2 feedback, closed L2 KAP task, created CDS KAP task, Sent to CDS review (2hrs) &amp; 1Hr- Filled defect matrix shared by sumit pande
10-06:DCR_19658083_DCR_19864244: CCB Review completed, worked on minor comments, pinged Yue for 1 comment confirmation, Updated certdoc, generated reports, Sent to L2 review (3hrs)
09-06:DCR_19658083_DCR_19864244: Artefacts preparation for review, Peer review completed, Creation and updation of KAP tasks, Planned for CCB review (3hrs)
08-06:Sent No RRB mail to Yogesh, Submitted DCR for approval, Pinged John to approve the DCR in progress, Sent mail to Sheetal for docgen report generation with cals and tuned values, Peer review is planned, Updating artefacts for review in progress (1.5hrs)
05-06:Pinged Yue for the information related to OBDC parameters, received inputs, updated certdoc, generated reports ( 2.5hrs)
04-06:Created child DCR_19864244 for AftPartMatSenCVoltDiag component to address issue no:2. Analysis in progress for FMI related inputs (3hrs)
03-06:Connected with swayang, checked logic and estimated hours, pinged Yue for PMSC sheet but as confirmed by her we will get OBDC parameters in core2 OBDC file and we need to make 1.3 as 2 and need to check logic for 1.4 as it is existing in the current software
29-05:Based on analysis, 2 components AftPartMatSenCTmptrDiag, AftPartMatSenCVoltDiag are impacted under this DCR. So we might need to raise child DCR as well. Cloned both components and did analysis. For issue 2 mentioned in DCR I have discussed over teams with DCR creator and scope is confirmed(minor change). For issue 1 mentioned in DCR, we need inputs from Yue and Chris. PMSC sheet is required to map the hardware values which we need take from Yue today.</t>
  </si>
  <si>
    <t>Create iDFMEA for Heater Resistance Diagnostics - AftElecHtrDiag</t>
  </si>
  <si>
    <t>16-06 : Worked on idfmea
15-06, 12-06, 09-06 : Working on Idfmea</t>
  </si>
  <si>
    <t>V&amp;V testing required for special denominator renamed ports under DCR_18919143 for AftElecHtrDiag component</t>
  </si>
  <si>
    <t>Need to implement HC Air Purge Regen Request in CSAR</t>
  </si>
  <si>
    <t>Anushka</t>
  </si>
  <si>
    <t>Phase 35 OBD REAL Regen Trigger Issue</t>
  </si>
  <si>
    <t>18-06:Anlysis is in progress (4hr) &amp; support, discussion regarding ARXML and session(4hr)</t>
  </si>
  <si>
    <t>AftFtis65697DualElecHtrTest: Need to include OECS &amp; CSERS diagnostic in Dual eHeater service test</t>
  </si>
  <si>
    <t>10-06 : SRS is in progress
09-06 : Interface sheets are updated. Today: Need to start working on SRS. Also, need to include recently developed Heater resistance and loose connection diags Time spent
08-06 : working on interface sheet update. 
05-06 : Model changes are completed
04-06   : model chnges are in progress
02-06 : analysis in progress</t>
  </si>
  <si>
    <t>Sheetal Vishwarkma</t>
  </si>
  <si>
    <t>Evaluation combined with DCR 19564373</t>
  </si>
  <si>
    <t>23-06 : Peer review in progress, working on SRS,CCB planned for today
17-06 : SRS ins progress ,Peer review planned for today
16-06 : working on evaluation presentation, adding scope for additional model changes for different component,sent mail to john for access to update SRS in integrity
15-06 : working on evaluation presentation
12-06  :Analysis in progress,working on interface sheet migration and changes
10-06 : Analysis is in progress
09-06 : Eval to be started today</t>
  </si>
  <si>
    <t>08-06 : Impl in progress</t>
  </si>
  <si>
    <t>Update heater diagnostic AftElecHtrWakeInpOpenCktErr</t>
  </si>
  <si>
    <t>16-06 : Efforts tracked under DCR_19553713</t>
  </si>
  <si>
    <t>Efforts tracked under DCR_19553713</t>
  </si>
  <si>
    <t>Electric Heater Diagnositc For ECM - for 2HCU Dual eHTR Architecture</t>
  </si>
  <si>
    <t>04-06:: Initial analysis is progress : (2.5hrs) Training : 1.25
01-06:Initial analysis is progress : (2.5 hrs)</t>
  </si>
  <si>
    <t>23-06 : Appguide, Model changes, Test Case update and VnV. Authoring request initiated
12-06 : Test Vector has been updated. AppGuide updated. Functional understanding of DCR component.</t>
  </si>
  <si>
    <t>23-06 : Impl in progress</t>
  </si>
  <si>
    <t xml:space="preserve">Anushka </t>
  </si>
  <si>
    <t>PM sensor Multicycle Dew point lost Calibration removal due to redundancy in application</t>
  </si>
  <si>
    <t>10-06:Send email for DCR Required or rejected, got confirmation from Mohammad Sadiq for DCR Rejection (0.5hrs)
09-06:completed eval peer (1hr)
04-06:completed PPT, completed dataspec and model changes, yesterday Yue was on leave so could not connect with her (5hrs) &amp; applied for VOB access for common component and connect with IT suopport for MATLAB 2022a ver8 installation.(3hr)
03-06:Completed working on 13753424, have some queries need to discuss with Yue(5.5hr) &amp; Session on User stories(0.5hr) &amp; support(2.5hr)
02-06:Working on eval(5.5hr)
01-06:Started with analysis on core 2 DCR_13753424(2hr)</t>
  </si>
  <si>
    <t>09-06:Facing issue for build creation, working on documentation(6hr)
08-06:working on implementation and build issue(5hr)  &amp;  Session on DEF bench testing(1hr) &amp; Completed download setup for MATLAB 2022a latest version(2hr)
05-06:working on Build creation, Started with implementation(8hr)</t>
  </si>
  <si>
    <t>Need to check and update correct Error Bitmap Inputs present in SCR Heater Disable - AftElecHtrProc2 Component</t>
  </si>
  <si>
    <t>22-06:Send for L2 review (0.25hr)
17-06:CCB review completed. Working on comments(1.5hr)
11-06:peer review completed(1hr)
08-06:SRS updated(0.5hr) &amp; Training on DAF bench(0.75hr) &amp; Attended OBD forum(1hr) &amp; Estimation for DCR_19817158(2hr)
05-06:working on Eval PPT &amp; Interface sheet update completed &amp; need to raise new DCR(5hr)
04-06:Connected with John &amp; working on PPT creation &amp; Interface sheet update(1.5hr) &amp; 0.5- kap session
02-06:DCR_19673670: Analysis is Completed &amp; Need to confirm few points with Snehal(6hr)
01-06:Analysis in progress (5.5hrs)</t>
  </si>
  <si>
    <t>24-06:DCR_19516003: Gone through the model changes for AECD improvements for Proc 2(1hr)</t>
  </si>
  <si>
    <t>Remove duplicate lines in dmPartMatSenCSuppVoltHiErr monitor of AftPartMatSenCVoltDiag component</t>
  </si>
  <si>
    <t>25-06:Checkin is completed, need to send check in details to CDS team for CDS task validation. (0.25hrs) &amp;  Went through recording and material related to DDP training - MS reviews by Swayang, as I was absent when training was initiated.(1.5hrs)
23-06:Received CDS pass, updated feedback in technical checklist, closed CDS KAP task, prepared impl notes, updated impl checklist, subfunction mapping done, attached L2/CDS confirmation emails on integrity, L2/DRB tags added by Nileema, raised OBDM merge request to Yue (1hrs)
18-06:Received L2 pass, updated technical checklist with L2 feedback, closed L2 KAP task, created CDS KAP task, Sent to CDS review (0.25hrs)
08-06:Sent No RRB mail to Yogesh, Submitted DCR for approval, Pinged John to approve the DCR in progress, Sent mail to Sheetal for docgen report generation with cals and tuned values, Peer review is planned, Updating artefacts for review in progress (1.5hrs)
05-06:Pinged John to approve the DCR in assess state, updated certdoc, generated reports (2hrs)
Child dcr created</t>
  </si>
  <si>
    <t>18-06:AftDiesOxidCatHCDosEffCal - Updated the test vector (6.5 hrs) &amp; DDP training (1.25 hrs)
17-06:AftDiesOxidCatHCDosEffCal - test vector updation in progress (2.5 hrs)
15-06:AftDiesOxidCatHCDosEffCal - completed certdoc updation, started with test vector update (6.5 hrs)
12-06:AftDiesOxidCatHCDosEffCal - Connected with Prathyusha for CertDoc and test vectors, Updated the Application Guide, Certdoc updation in progress. (5hrs)
10-06:initial analysis in progress for component AftDualHtrCtrl, prepared estimation for components AftDiesOxidCatHCDosEffCalc and AftDualHtrCtrl (4.5 hrs)
09-06:initial analysis in progress for component (AftDiesOxidCatHCDosEffCalc) : (5 hrs) &amp; CCB review for eHeater components (1 hr)</t>
  </si>
  <si>
    <t>Prathyusha Guttapalem</t>
  </si>
  <si>
    <t>20071796
20071718</t>
  </si>
  <si>
    <t>25-06:Prepared 1 level of impl PPT for all 3 DCRs, received updated eval PPT from Jayant and Shrutika, and interface sheets from jayant  (2hrs)
23-06:checked expected outputs for both components AftDOCPIDFdbkUsedUpDiag, AftPartFiltSysPasvDestAsstProc (1.75hrs)
19-06:AftDOCPIDFdbkUsedUpDiag, AftPartFiltSysPasvDestAsstProc: Connected with Jayant regarding master and current version interface sheet comparison, prepared artefacts for review for both components, ran 1 level of MIL/SIL and checking expected output in progress 
15-06:AftDOCPIDFdbkUsedUpDiag and AftPartFiltSysPasvDestAsstProc: Updated test vectors for both components (6hrs)
12-06:AftDOCPIDFdbkUsedUpDiag and AftPartFiltSysPasvDestAsstProc: Traceability analysis, Scenario finding, test vector update in progress for both components
11-06:AftDOCPIDFdbkUsedUpDiag : Updated appguide and certdoc. AftPartFiltSysPasvDestAsstProc : Connected with jayant for additional component impl, initial analysis done, estimated hours for implementation, KAP tasks creation, updated appguide (5.5hrs)
10-06:Analysis completed, Appguide &amp; certdoc will be impacted, estimated hours for implementation, KAP tasks creation (2.5hrs)
09-06:working on implementation of this component AftDOCPIDFdbkUsedUpDiag as discussed with Jayant once child DCR is raised. Cloned component and initial analysis in progress</t>
  </si>
  <si>
    <t>Enable calibration for Timer based Non-Mission regen</t>
  </si>
  <si>
    <t>24-06:Observed mismatch between SRS and Application guide &amp; sent MOM to yue about the Proposed logic and peer review in continution and worked on comments-4hr
19-06:completed updating all artifacts and planned peer review today-3.25hr
18-06:discussed with swayang about the logic and eval ppt in progress .planning for internal reviews tomorrow :6hr
17-06:Checked the previous Commits when the persistent block was added as it was not in the Core2 but present in the current CSAR model ,but it was there from the beginning of the core2to csar migration. Tried to find out in which DCR the persistent block was removed in core2 did not get it.so connected with alex for the approach to change the execution order but she declined as they cannot the change it now as T1 and DAF is about to launch so connected with the Yue with the logic proposal she gave inputs on it-4hrs &amp; Utilities update-0.75hrs
15-06:DCR_19817158 : initial analysis 2hrs
12-06:Estimation of all Yue DCR'S ( 4hrs) and done initial analysis 3hrs ( sindhu's effort) &amp; Analysis done by Anushka and shared all the details to sindhu
11-06:came up with 2 logics and done plotting to verify it, connected with amit to discuss about it and reached out to yue about the 2 proposals 5hrs
10-06:checked core2 model for this component and did not find the solution, done plotting for all impacting inputs and output to check which parameter is effecting the nvwPartFiltTimerRegenRqst_nvdVal connected with Harshal to discuss regarding the same and came up with new logic need to verify the same with amit 5.5hr
09-06:connected with amit and srinadh to discuss the proposing logic . And analysed timer conditions and the DCR_13530028 implementation ppt for which defect is raised 
08-06:Initial analysis on DCR_19682810 (5hrs ) &amp; KT ( 1hrs)</t>
  </si>
  <si>
    <t>Iram / Anushka</t>
  </si>
  <si>
    <t>NM Desoot Regen can be triggered by driver when 'Conditions not met'</t>
  </si>
  <si>
    <t>24-06:completed CCB and sent for l2(3.5hr)
22-06:As per Yue's suggestion did anlysis on appguide to check any update is there in SRS(2hr) &amp; Support : 1.5hr
19-06:had a discussion with Yue,Alex (2hr)
17-06:completed evaluation PPT , model changes and interface sheet waiting for Yue's approval if the proposed changes are correct.(8hr)
16-06:eval proposal in progress(2hr) &amp; 19572045 : analysis in progress(2hr) &amp; support and KAP activities : (2hr)
15-06:Anushka started analysis on this DCR ( 7hrs)
09-06: Iram spend 3 hr -DCR_19682373 Analysis &amp; 2.5 hr. Team support and Team calls &amp;1.25 - hr Review &amp; 0.5hrs.-Mandatory KPIT call by Sameeksha
08-06: Iram spend DCR_19682373 Evaluation (3hrs ) &amp; 2.5 hr. Team support and discussion &amp; 1.5 hr Review &amp; 1 hr. KT session</t>
  </si>
  <si>
    <t>24-06:Updated test vector (5.5 hrs) &amp; Estimation for DCR: 0.75 hrs
23-06:test vector update in progress (4.75 hrs) &amp; Bench testing training (1 hr)
22-06:Implementation of sysIO3 input : AftDualHtrCtrl - done initial analysis, started with the application guide update (6.5 hrs) &amp; KAP activities and meetings (0.75 hrs)
19-06:AftDualHtrCtrl - Discussion with Omkar and Jayant for active branch (0.75)
AftDualHtrCtrl - On hold, one other branch is open, Discussion in progress.</t>
  </si>
  <si>
    <t>Anushka / Danduboyina Sindhu</t>
  </si>
  <si>
    <t>AftDPFTimeBasedRegenTrigProc - 'Time Since Act Regen' is accumulating during active regen - TD3891</t>
  </si>
  <si>
    <t>12-06: Analysis done by Anushka and shared all the details to sindhu ( 8hrs)
11-06:Anushka started  analysis, connected with Alex(4.5)
10-06: Anushka spend 5.5hrs on this DCR Initial analysis and Sindhu will do the combined evaluation along with DCR 19682810</t>
  </si>
  <si>
    <t>Danduboyina Sindhu</t>
  </si>
  <si>
    <t>Sindhu will do the combined Implementation along with DCR 19682810</t>
  </si>
  <si>
    <t xml:space="preserve">AftDPFTimeBasedRegenTrigProc - ppNVPartFiltTimeSinceActRegen getting reset at end of DeSOx Regen while tuned to bypass
</t>
  </si>
  <si>
    <t>Sindhu will do the combined evaluation along with DCR 19682810</t>
  </si>
  <si>
    <t>23-06 : Replied to Todd's query. Discussion calls with Snehal, Kushal &amp; Chaitanya
19-06 : Concept PPT completed. Concept PPT review. DRB discussion &amp; updated PPT sent to Todd.
18-06  :Worked on feature sim. Concept PPT is in progress
12-06 : Analysis in progress</t>
  </si>
  <si>
    <t>AftDiesOxidCatHCSlipInjLim - pp removed that was used by other components.</t>
  </si>
  <si>
    <t>25-06:Evaluation submission and authoring request ( 2hrs)
23-06:Eval submit and checklist update 19824310 ( 2.5hrs)
19-06:CCB review and Eval for 19824310 (3hrs)  &amp; Team support and calls 2hrs &amp; Review 1 hr
18-06:Evaluation ( 5hrs) &amp; Team support, PFS connect and team meetings (2hrs) &amp; Review (1.5hrs)
17-06:Evaluation (5hrs) &amp; Team support, PFS connect and team meetings (2hrs) &amp; Review ( 1.5hrs)
16-06:DCR Analysis and Evaluation (3hrs)</t>
  </si>
  <si>
    <t>iram nazneen (wa667)/ Anshul</t>
  </si>
  <si>
    <t>23-06:Test case preperation and Migration ppt slides prepration (3hr) &amp; Understanding the model AftDiesOxidCatHCSlipInjLim, SRS and App guide reading (5hr)
22-06:App guide Update and test vector update in progress (7.75 hrs)
19-06:Understanding of AftDiesOxidCatHCSlipInjLim - Reading SRS, Appguide and model understanding (for DCR_19824310) (3hrs)
18-06:Anshul started analysis Analysis for Implementation (6.75 hrs) &amp; DDP Training and MS reviews (1.25 hrs)</t>
  </si>
  <si>
    <t>18-06:Performed ECM testing, prepared the presentation, and submitted it for L2 review -4hr</t>
  </si>
  <si>
    <t>AftDPFTimeBasedRegenTrigProc: CSAR Implementation for inclusion of a service-based reset condition</t>
  </si>
  <si>
    <t xml:space="preserve">Evaluation completed </t>
  </si>
  <si>
    <t>18-06:Done interface sheet changes and created branch-0.5hrs</t>
  </si>
  <si>
    <t xml:space="preserve"> dmDiesPartFiltTmptrTooFreqRegenErr Failure to Clear</t>
  </si>
  <si>
    <t>25-06:Confirmed Yue regarding all the changes, I will share the MOM for the same.&amp; She only wants simulation result for eval so we can complete eval in 27hr &amp; and for implementation 30hr &amp; Yesterday checked for proposed Model if we are having any issue in MA, Polyspace, Codegen with latest toolbox(installed it on Lavanya's WS as in my system Polyspase toolbox is not available) we are not having any checks.(4.5hr) &amp; Discussion and support(3hr)
24-06:working on defect DCR, after doing complete analysis only we can proceed further as we did completed testing for this logic and now for DAF they are facing issue so need to check that and also need to do simulation testing.(4hr)
22-06:New Eval DCR, started with model analysis(4hrs)</t>
  </si>
  <si>
    <t>Total</t>
  </si>
  <si>
    <t>hi</t>
  </si>
  <si>
    <t>DCRID-PTC</t>
  </si>
  <si>
    <t>Priority</t>
  </si>
  <si>
    <t>DCR timelines</t>
  </si>
  <si>
    <t>Type</t>
  </si>
  <si>
    <t>OBD Forum Required</t>
  </si>
  <si>
    <t>Dependency with Cross team</t>
  </si>
  <si>
    <t>Component onwer review support (Hrs)</t>
  </si>
  <si>
    <t>KPIT User</t>
  </si>
  <si>
    <t>Estimator</t>
  </si>
  <si>
    <t>Program</t>
  </si>
  <si>
    <t>DRB/L2 review</t>
  </si>
  <si>
    <t>component owner</t>
  </si>
  <si>
    <t>Eval Estiamtion</t>
  </si>
  <si>
    <t>MS 1-3 Estimated efforts</t>
  </si>
  <si>
    <t>Impl estimation</t>
  </si>
  <si>
    <t>MS 4-5 Estimated efforts</t>
  </si>
  <si>
    <t>Total Efforts</t>
  </si>
  <si>
    <t>Estimation reviewed</t>
  </si>
  <si>
    <t>Remarks</t>
  </si>
  <si>
    <t>Status</t>
  </si>
  <si>
    <t>Peer Eval - 
DD-MM-YY</t>
  </si>
  <si>
    <t>CCB Eval - 
DD-MM-YY</t>
  </si>
  <si>
    <t>L2/DRB Eval Send dates
DD-MM-YY</t>
  </si>
  <si>
    <t>Eval completion date, (if it is evaluation)
DD-MM-YY</t>
  </si>
  <si>
    <t>Peer Impl send dates
DD-MM-YY</t>
  </si>
  <si>
    <t>CCB Impl send dates
DD-MM-YY</t>
  </si>
  <si>
    <t>L2/DRB Impl send dates
DD-MM-YY</t>
  </si>
  <si>
    <t>CDS review send dates
DD-MM-YY</t>
  </si>
  <si>
    <t>Impl completion date,(if its eval+impl or Impl)
DD-MM-YY</t>
  </si>
  <si>
    <t>22nd May</t>
  </si>
  <si>
    <t>Eval+Impl</t>
  </si>
  <si>
    <t>N</t>
  </si>
  <si>
    <t>Yue Cao</t>
  </si>
  <si>
    <t>There are additional 9 ISM implementations required, which will have impact on VnV.</t>
  </si>
  <si>
    <t>Eval COmpleted</t>
  </si>
  <si>
    <t>Impl</t>
  </si>
  <si>
    <t>Efforts are combined with DCR 19459316</t>
  </si>
  <si>
    <t>Documentation</t>
  </si>
  <si>
    <t>Prathyusha (Arpitha)</t>
  </si>
  <si>
    <t>Iram</t>
  </si>
  <si>
    <t>Dhanraj Aderao</t>
  </si>
  <si>
    <t>A</t>
  </si>
  <si>
    <t>SCR Htr  OECS counter reset logic change for equal pass/fail criteria</t>
  </si>
  <si>
    <t>30th May</t>
  </si>
  <si>
    <t>Yashwanth</t>
  </si>
  <si>
    <t>Snehal Naikwadi</t>
  </si>
  <si>
    <t>Instead of using Fuel System Failure Flag directly use ppAftPartMatFiltSysInSenFailStBtmp for DOC OECS Intrusive – Ti</t>
  </si>
  <si>
    <t>Implement New EDL for DOC OECS Intrusive</t>
  </si>
  <si>
    <t>15th May</t>
  </si>
  <si>
    <t>Aishwarya</t>
  </si>
  <si>
    <t xml:space="preserve">Impact for Proc 2 </t>
  </si>
  <si>
    <t>Sheetal/Zameer</t>
  </si>
  <si>
    <t>AftElecHtrProc2
AftDualHtrCtrlIPwrD
AftElecHtrProc</t>
  </si>
  <si>
    <t>14-05-2026</t>
  </si>
  <si>
    <t>Combined efforts for Implementation is mapped with  DCR 19564373</t>
  </si>
  <si>
    <t>To be discuss with Dhanraj, Juan, IPD Team</t>
  </si>
  <si>
    <t>Evaluation efforts are tentative, might change based on requirement confirmation.</t>
  </si>
  <si>
    <t>AftFtis65697DualElecHtrTest</t>
  </si>
  <si>
    <t>If New changes will come then the estimation will be increased
During the L2 review,comp onwer asked to rewrite 3 to 4 incorrectly written test cases. Additionally, she asked to add new scenarios in the PPT, including 2 out-of-scope scenarios. Therefore, the estimation has increased by 20 hours.</t>
  </si>
  <si>
    <t>Migration is complete, working on V&amp;V</t>
  </si>
  <si>
    <t>2 hrs Internal Reivew support required for Peer+CCb on 2 days</t>
  </si>
  <si>
    <t>Indumathi</t>
  </si>
  <si>
    <t>AftDualHtrRegenCtrl</t>
  </si>
  <si>
    <t>In Eval - Only interfcae sheet update is considor</t>
  </si>
  <si>
    <t>14-06-2026</t>
  </si>
  <si>
    <t>Zameer</t>
  </si>
  <si>
    <t>AftElecHtrProc2</t>
  </si>
  <si>
    <t>Sheetal</t>
  </si>
  <si>
    <t>yue cao</t>
  </si>
  <si>
    <t>This is sync up DCR for core 2 19393554,under this DCR impact is on SRS ,appguide ,intercae sheet ,model changes</t>
  </si>
  <si>
    <t>Varun</t>
  </si>
  <si>
    <t>Certdoc</t>
  </si>
  <si>
    <t>AftDiesOxidCatParamDet</t>
  </si>
  <si>
    <t>AftDiesPartFiltSysOutPrSenProc</t>
  </si>
  <si>
    <t>AftPartFiltSysDataStatBtmp</t>
  </si>
  <si>
    <t>AftPartMatSenCProc</t>
  </si>
  <si>
    <t>Heater Related Parameters: Create OBD Capability Parameters for Titanium/Legend</t>
  </si>
  <si>
    <t>TBD with Swayangdipta</t>
  </si>
  <si>
    <t>HTR Diag 1 - Indumathi</t>
  </si>
  <si>
    <t>8th may</t>
  </si>
  <si>
    <t>CDS</t>
  </si>
  <si>
    <t>DAF</t>
  </si>
  <si>
    <t>AftElecHtrDiag, AftElecHtr2Diag</t>
  </si>
  <si>
    <t>Completed</t>
  </si>
  <si>
    <t>Eval+Impl consider under DCR_19459316</t>
  </si>
  <si>
    <t>DDP work: dmAftElecIPwrDSCRHtrPwrDgrdCSERSErr MS 4-5 review</t>
  </si>
  <si>
    <t>Without any buffer, considering bench test, one level feature simulation, PPT creation, MS review efforts, comments closure.</t>
  </si>
  <si>
    <t>To be discussed with Snehal</t>
  </si>
  <si>
    <t>AftElecHtrAecdIntf</t>
  </si>
  <si>
    <t>AftElecHtr2AecdIntf</t>
  </si>
  <si>
    <t>Sindhu</t>
  </si>
  <si>
    <t xml:space="preserve">need to discuss with DCR Creator to understand the requirement </t>
  </si>
  <si>
    <t>Dependacy with 3 step Owner, he will back 27 may, @Sindhu- could you please provide your dates</t>
  </si>
  <si>
    <t>TBD with Omkar/ harshal and  Dhanraj</t>
  </si>
  <si>
    <t>AftDPFTimeBasedRegenTrigProc</t>
  </si>
  <si>
    <t>CR</t>
  </si>
  <si>
    <t>Amit Matale (Manswi)</t>
  </si>
  <si>
    <t>LG/Barracuda</t>
  </si>
  <si>
    <t>Initial creation Cert doc and update in existing FMEA and Application guide document</t>
  </si>
  <si>
    <t>Support required for 4hrs for Internal reviews for 3 days to meet the timelines</t>
  </si>
  <si>
    <t>Eval</t>
  </si>
  <si>
    <t>AftDPFMissDiag</t>
  </si>
  <si>
    <t>After initial analysis this DCR is to be rejected, so no implementation effort added.</t>
  </si>
  <si>
    <t>This DCR to be rejected post evaluation.</t>
  </si>
  <si>
    <t>TBD with Snehal</t>
  </si>
  <si>
    <t>Complex</t>
  </si>
  <si>
    <t>yes</t>
  </si>
  <si>
    <t>CDS, Dependcy with Chad</t>
  </si>
  <si>
    <t>iDFMEA initial creation.</t>
  </si>
  <si>
    <t>6th May</t>
  </si>
  <si>
    <t>Cert doc</t>
  </si>
  <si>
    <t>AftDiesOxidCatHCDosEffCalc,AftDiesOxidCatNonMthnHCEffDiag</t>
  </si>
  <si>
    <t>Simple</t>
  </si>
  <si>
    <t>10 components impact</t>
  </si>
  <si>
    <t>Aishwarya/Sindhu</t>
  </si>
  <si>
    <t>AftRegenCtrl, AftSootBasedRegenTrigProc, AftDltPrRegenTrigProc, AftDPFTimeBasedRegenTrigProc, AftSootFiltMgrDeepCleanAdj, AftSelCatRednRctRegenAllw, AftSCRRqstDOCRegenAllw, AftDPFIneffRegenTrigProc, AftDPFSootPlgDet, AftSCRDeSOxRegenTrig</t>
  </si>
  <si>
    <t>Shraddha/Anushka</t>
  </si>
  <si>
    <t xml:space="preserve">	
Since last active regen interval resets outside of a regen due to AftOperModeMgr.ppAftOpModeMgrCtrlCmd.deStruct.RegenRqstID not reseting after a regen</t>
  </si>
  <si>
    <t>ECM_Testing</t>
  </si>
  <si>
    <t xml:space="preserve">AftDiesOxidCatHCDosEffCalc:: Removed the targest temp shared calibration from component </t>
  </si>
  <si>
    <t>Dhanraj Aderao, Sw Team</t>
  </si>
  <si>
    <t>Swayang is working on Evalution</t>
  </si>
  <si>
    <t xml:space="preserve">Tentetive  date  depend on Evaluation </t>
  </si>
  <si>
    <t>EBU Test Cell Team, Program Team</t>
  </si>
  <si>
    <t>CES is working on DCR_19579019 and target 4.11.7 for integration.</t>
  </si>
  <si>
    <t>XEV Team</t>
  </si>
  <si>
    <t>ECM Test</t>
  </si>
  <si>
    <t>14468900/17808035</t>
  </si>
  <si>
    <t>AftDualHtrCtrl</t>
  </si>
  <si>
    <t>80% testing is already completed</t>
  </si>
  <si>
    <t>Estimation is done for 5 diagnostics along with HCUTest, other 11 are still on hold</t>
  </si>
  <si>
    <t>DAF Team Feedback</t>
  </si>
  <si>
    <t>afthcdoscompnusedupdiag</t>
  </si>
  <si>
    <t>TI/LG/Barracuda/DAF</t>
  </si>
  <si>
    <t>Ti Testing in progress, DAF Bench KT included in this time.</t>
  </si>
  <si>
    <t>Q3 LOB</t>
  </si>
  <si>
    <t>Yue/Srinadh</t>
  </si>
  <si>
    <t>New concept for DOC and SCR heater-
Need discussion for AID,MCID,MMDL with component owner and DSME
and update is required for AftElecHtr2ErrsBtmp
MS4-5 - added tentetive hrs</t>
  </si>
  <si>
    <t>Duygu/Sindhu</t>
  </si>
  <si>
    <t>AftDPFSootMDS</t>
  </si>
  <si>
    <t>This DCR needs a 2-D look up table. During evaluation default values to be finalised.
Baseline will have impact during VnV.</t>
  </si>
  <si>
    <t>For MS4-5 need integrated build, So efforts are only added for MS1-3</t>
  </si>
  <si>
    <t>Considering update in diagnostic, this will require change in SRS, iDFMEA, MS3 document, Will require forum review as a revisit.</t>
  </si>
  <si>
    <t>TBD with Dhanraj</t>
  </si>
  <si>
    <t>Sheetal V</t>
  </si>
  <si>
    <t>AftVirHtrInlTmptr2</t>
  </si>
  <si>
    <t xml:space="preserve">Swapnil </t>
  </si>
  <si>
    <t>DCRtoberaise</t>
  </si>
  <si>
    <t>Defect  </t>
  </si>
  <si>
    <t>Defect </t>
  </si>
  <si>
    <t>This is sync up DCR for core 2 19026292,under this DCR impact is on SRS ,appguide ,intercae sheet ,model changes and certdoc</t>
  </si>
  <si>
    <r>
      <rPr>
        <sz val="11"/>
        <color rgb="FF000000"/>
        <rFont val="Calibri"/>
        <family val="2"/>
      </rPr>
      <t xml:space="preserve">
</t>
    </r>
    <r>
      <rPr>
        <sz val="11"/>
        <color rgb="FF000000"/>
        <rFont val="Calibri"/>
        <family val="2"/>
      </rPr>
      <t>AftPartMatSenCMeasDemd</t>
    </r>
  </si>
  <si>
    <t xml:space="preserve">
Testing involves prototype build creation and testing on bench</t>
  </si>
  <si>
    <t>Risk, Testing failed on proto build</t>
  </si>
  <si>
    <t xml:space="preserve">Core 2 DCR shared by Dhanraj, </t>
  </si>
  <si>
    <t>Change status of DPF deltaP and first catalyst in pressure when DPF deltaP sensor is near saturation - action item from  GPRP RC228-34600 - Ph35</t>
  </si>
  <si>
    <t>ATS DSM - PM Sensor - C</t>
  </si>
  <si>
    <t xml:space="preserve">Under this DCR need to  chek after removing calbration existing design works properly and also verify the solution through testing </t>
  </si>
  <si>
    <t>Duygu/Anushka</t>
  </si>
  <si>
    <t>Dharaj confirmed Dugyu will do the evaluation and Implementation and as a trade of we need to do testing of core 2 DCR</t>
  </si>
  <si>
    <t>GIVEN BY Dhanraj</t>
  </si>
  <si>
    <t>AftDiesOxidCatDtrDiag</t>
  </si>
  <si>
    <t>8-Step documentation needed for heater degraded OECS for dual coverage on the swapped wiring-HCU Program</t>
  </si>
  <si>
    <t>AftElecHtrDiag::Changes are did I DOC OECS ,SCR OECS, SCR CSER diagnostic, Total 9 changes are made.</t>
  </si>
  <si>
    <t>Shrutika Shete / Sumitkumar</t>
  </si>
  <si>
    <t>DAF / Ti</t>
  </si>
  <si>
    <t>AftElecHtrDiag:: We can merge this DCR with 16824279</t>
  </si>
  <si>
    <t>Consider instead of DCR 17551019: Reset the Diagnostic counter when OECS &amp; CSERS diagnostics take PASS/FAIL decision</t>
  </si>
  <si>
    <t>Amit matale</t>
  </si>
  <si>
    <t>Baracudda</t>
  </si>
  <si>
    <t>Please consider DCR 18664459 for testing instead of DCR 17649144.</t>
  </si>
  <si>
    <t>Swayang dipta</t>
  </si>
  <si>
    <t>HCU Diganostics OBDM File Inconsistencies - Cert doc missmatch infotmation</t>
  </si>
  <si>
    <t>Ti</t>
  </si>
  <si>
    <t>This most probably will be rejected. Spent 3 hours to analyse the need of any change.</t>
  </si>
  <si>
    <t>Juan</t>
  </si>
  <si>
    <t>Eval: 25 Hrs Draft Model, 40 Hrs 2 SRS+2 iDFMEA, 8 Hrs 2 Interface sheet, 40 Hrs Feature simulation, 15 Hrs PPT+Checklists+Reviews+DCR submission+ MCID selection+AID Creation, 10 Hrs MS3 PPT+Forum Efforts
Impl: 25 Hrs Model Prep+Till Polyspace completion, 10 Hrs App Guide, 20 Hrs Cert Doc, 12 Traceability+Testcase Creation, 12 SIL setup+MIL Run, 8 MCDC+Testability+Regression, 30 Hrs PPT+Checklists+Reviews+DCR Closure</t>
  </si>
  <si>
    <t>Chad</t>
  </si>
  <si>
    <t>Eval: To be considered under DCR 19689311.
Impl: 25 Hrs Model Prep+Till Polyspace completion, 20 Hrs App Guide, 10 Hrs Cert Doc, 8 Traceability+Testcase Creation, 8 SIL setup+MIL Run, 4 MCDC+Testability+Regression, 30 Hrs PPT+Checklists+Reviews+DCR Closure</t>
  </si>
  <si>
    <t>AftDiesOxidCatHCH2OAdsrbDsrb</t>
  </si>
  <si>
    <t xml:space="preserve">AftFtis65697DualElecHtrTest: Software testing for Dual eHeater service test for DAF architecture along with MCDC coverage
</t>
  </si>
  <si>
    <t>Dhanraj provided urgency</t>
  </si>
  <si>
    <t>DDP work (MS4-5) - dmInhSwtTimeRegenErr diagnostic of AftLampDrvOutIntf component</t>
  </si>
  <si>
    <t>AftLampDrvOutIntf</t>
  </si>
  <si>
    <t>Tagged to Release</t>
  </si>
  <si>
    <t>Date</t>
  </si>
  <si>
    <t>Week No</t>
  </si>
  <si>
    <t>Baseline Plan</t>
  </si>
  <si>
    <t>Revised basline plan ( excluding Rejected / Transferred/ Moved to next quarter)</t>
  </si>
  <si>
    <t>Cumulative Rejected / Transferred/ Moved to next quarter</t>
  </si>
  <si>
    <t>Cumulative (Baseline Plan)</t>
  </si>
  <si>
    <t>Cumulative Revised basline plan</t>
  </si>
  <si>
    <t>Cumulative (Completed)</t>
  </si>
  <si>
    <t>Cumulative Revised basline complted</t>
  </si>
  <si>
    <t>Eval In Progress</t>
  </si>
  <si>
    <t>DRB /l2 Reviews &amp; Rework  in progress</t>
  </si>
  <si>
    <t>% Completion Confidence - Overall</t>
  </si>
  <si>
    <t>% Actual weekly completion wr.t Baseline</t>
  </si>
  <si>
    <t>% Actual weekly completion wr.t  revised Baseline</t>
  </si>
  <si>
    <t>Q3-2026
Evaluation</t>
  </si>
  <si>
    <t>DCR 19226704 Rejected</t>
  </si>
  <si>
    <t>DCR 13753424 Rejected</t>
  </si>
  <si>
    <t>DCR 19828476 Deferred</t>
  </si>
  <si>
    <t>Implementation</t>
  </si>
  <si>
    <t xml:space="preserve"> Cumulative Rejected / Transferred/ Moved to next quarter</t>
  </si>
  <si>
    <t>Cumulative Revised basline  complted</t>
  </si>
  <si>
    <t>Impl In Progress</t>
  </si>
  <si>
    <t>% Actual Completion - Weekly</t>
  </si>
  <si>
    <t>Q3-2026
Implementation</t>
  </si>
  <si>
    <t>DCR 19688476 Rejected</t>
  </si>
  <si>
    <t>DCR 18733228 Rejected</t>
  </si>
  <si>
    <t>DCR 19023103 Rejected</t>
  </si>
  <si>
    <t>DCR 18505556-Implementation deferred to Q4</t>
  </si>
  <si>
    <t>DCR 13753424 Rejected &amp; DCR 18922156 Impl Deferred</t>
  </si>
  <si>
    <t>CES CSAR V002.0 01.26.06.00</t>
  </si>
  <si>
    <t>STLA MY30 PU : Port Sabre specific OCM A core2 component to CSAR: SYNC-UP: DOCA Processing component</t>
  </si>
  <si>
    <t>20-05 : Reecived confirmtion from Amit. Awaiitng confirmation from Dhanraj
19-05 : migration and V&amp;V is completed, and send for veirfication
13-05 : M (8) - Testability and MCDC part PPT.
S (15) - All arfefacts to be ready by tomorrow and send it for review tomorrow.
08-05  : H(13) -  Migration Commnets fix, SIL, Accl and regression testing. Migartion PPT is upadted for rework changes
M (12 Hrs) - MCDC coverage compeletd, tesatbility is in progress. Open item sheet is completed. PPT to be updated 
06-05 : impl in progress</t>
  </si>
  <si>
    <t>amancharla v priya (au70g)</t>
  </si>
  <si>
    <t>CES CSAR V002.0 01.26.09.00</t>
  </si>
  <si>
    <t>STLA MY30 SyncUp: Pause Regen and Doser Protection Check logic migration from ATM2/3</t>
  </si>
  <si>
    <t>23-06  :AftOperModeMgr : Updated the Tools and run Migration and VnV MA checks resolved , PPT update , Checklist filled for DCR closure
22-06 : Awaiting L2 verification
12-06   : Peer VnV done - comments fixed , CCB Migration done , Comments fixed , DRB Migration done with Todd
10-06 : Peer migration is completed, V&amp;V plotting is in progress
09-06 : MCDC done Peer for Migration in progress and some comments fixed and recent for offline review
08-06 : MCDC covergae is completed, testability is completed.. Peer review is planned todat
05-06 : Total MCDC and Testability sheet , Requirement mapping 
04-06 : Worked on TC1 - Sc1-Sc2 -Sc3 work done and MCDC coverage done and Regarding TC2 disscuusion happend with Swapnil he gave approval to proceed with All TC1 so for 50 %MCDC coverage done
03-06 : SC 1,2,3  are completed. SC 4 and 5 is in progress.
02-06  :(SC 1 is in progress70% done )(3TC and 5 SC). 
01-06 : For OperModeMgr Harness Errors resolved and started VnV Scenario 1 is in progress
29-05 : working on V&amp;V. 
28-05 : Resolved Errors ,MA,Polyspace  migration for AftOperModeMgr is done start with harness updates
27-05 : model preparation is completed,  working on simualtion.
26-05 : Model changes are completed, 
20-05 : Appguide changes are completed,
19-05 : Appguide and test vector creation is in progress. 
08-05 : Analysis is completed. Plan to send it for L2 review by 11th June</t>
  </si>
  <si>
    <t>Balraj S Malage (wf327)</t>
  </si>
  <si>
    <t xml:space="preserve">STLA MY30 PU : Update AftOpModePrmt component for Sabre specific regen permit bits </t>
  </si>
  <si>
    <t xml:space="preserve">29-05 : design merge request approved, component merge is initited
27-05  : CCB verifiaction to be done today and semd for L2 review 
26-05 : CCB is in progress 
20-05 : Plotting is in progress. MIL AND SIL is in progress
13-05  : Analysis is completed, working on test vectore update. Application guide is completed.
08-05 : Analysis is completed. </t>
  </si>
  <si>
    <t>Global Input port name update in AftOperModeMgr</t>
  </si>
  <si>
    <t>STLA MY 30 PU: Update the software to support DOC HC Desorb request with respect to changes made to VER002 of AftOpModePrmt in CR18678710</t>
  </si>
  <si>
    <t>23-06, 22-06 : Rework in evaluations
09-06 : RRB review in progress
08-06, 05-06 : DRB review is plan today
04-06 : CCB review in conitinuation
02-06 : Peer review in progress
01-06 : PPT interfacesheet and Review artifacts
29-05  : Awating confirmation on proposed concept.
28-05 : model discussion with Leads and PPT creation for todays call
27-05 : Proposal is finalized. Plan to setup a call tomorrow 
20-05  :Awaiting inputs from component owner
19-05 : Analysis is completed, 1 level of analysis to be dicuss with Dhanraj
13-05 : Analaysis is completed.
06-05 : Initial analysis is in progress</t>
  </si>
  <si>
    <t>22-05-2026</t>
  </si>
  <si>
    <t>Sabre CSAR Syncup AftPartFiltRegenProc - STLA: Need SOR Regen Trigger for Opportunity Desoot</t>
  </si>
  <si>
    <t>12-05 : worked on Yue comments and sent for reverification
27-05 : Sent for RRB review
26-05 : Need TRB and RRB
20-05 : CCB review is compelted and sent for L2
19-05 : ccb review is in continuation
13-05 : Interface sheet is compeletd for analyzed model</t>
  </si>
  <si>
    <t>15-05-2026</t>
  </si>
  <si>
    <t>STLA MY30 PU: Update AftDiesOxidCatHCH2OAdsrbDsrb with DOC Oper mode request instead of SelIntlOpMode</t>
  </si>
  <si>
    <t>01-06 : ppt updated and received confirmation for concept
29-05 : working on L2 review comments, to be send for verification
26-06 : Awaiitg L2 review
20-05 : CCB review is completed sent for L2 review today
19-05   :Peer review is completed, CCB plan today
08-05 : PPT, interface sheet and SRS is updated, Need confirmation from component owner
06-05 : Initial analysis is in progress</t>
  </si>
  <si>
    <t>STLA MY30 PU : Port Sabre specific changes in HIM core2 component to CSAR: SYNC-UP</t>
  </si>
  <si>
    <t>CDS Rev
Waiting for TRB_ECM testing</t>
  </si>
  <si>
    <t>STLA MY30 : Update AftExhDataPipeRoutingMgr component for STLA( Dual SCR and Dual DOC) architecture</t>
  </si>
  <si>
    <t>28-05 : Analysis in progress</t>
  </si>
  <si>
    <t>STLA MY30 : Update AftPrProc component for STLA( Dual SCR and Dual DOC) architecture</t>
  </si>
  <si>
    <t>STLA MY30 : Need to update AftDiesOxidCatHCDosEffCalc component as per STLA requirement</t>
  </si>
  <si>
    <t>STLA related changes to be implemented in AftDiesOxidCatClsLoopDiag component</t>
  </si>
  <si>
    <t>STLA MY 30: Assess the usage of ppAftProcExhDataToSctn_deStruct in AftDiesOxidCatHCSlipInjLim</t>
  </si>
  <si>
    <t>STLA MY 30: Assess the usage of ppAftProcExhDataToSctn_deStruct in AftDiesPartFiltParamDet</t>
  </si>
  <si>
    <t>STLA MY 30: Assess the usage of ppAftProcExhDataToSctn_deStruct in AftDiesOxidCatHCDosEffCalc</t>
  </si>
  <si>
    <t>STLA MY30 PU : Port Sabre specific PFS AECD Core2 component to CSAR: SYNC-UP</t>
  </si>
  <si>
    <t xml:space="preserve">Waiting for TRB_ECM testing
</t>
  </si>
  <si>
    <t>STLA MY30 PU: Create Regen control component for STLA Sabre architecture</t>
  </si>
  <si>
    <t>22-06 : CCB review - 1.5 - Application Guide and sent for L2 review
18-06  :Model changes, re-run vnv, reports
16-06 : VNV rerun, TC1 update and Application guide review
12-06 : Re-run reports, updating ppt, final push after L2 review
10-06 : CCB review completed, changes to be push in git and plan for L2 review today. Application guide review in progress
05-06  : CCB review completed today
04-06 : CCB is in continaution
03-06 : working on PPT and remaining points
02-06 : Peer review is in progress
01-06 : PPT creation is completed, Peer review in progress
29-05 : PPT creation will be completed, Peer review in progress
28-05 : implementation ppt creation, open item, readme 
27-05 : Migration is completed, working on PPT creation
26-05  :Model migration and MA is completed. Working on Code gen and Polyspace
19-05 : Model prepation will be completed today, Tracebility document completed.
13-05 : model preparation is in progress
08-05 : Analysis in in progress. Task created for Migartion</t>
  </si>
  <si>
    <t>Harshal Tayade (uq969) / Manswi</t>
  </si>
  <si>
    <t>Application Guide initial creation for AftDOCAProc for VER2 branchs (SABER)</t>
  </si>
  <si>
    <t>24-06:CCB Review in progress (1.5 hr)
23-06:CCB review in progress (2 hrs)
19-06:peer review completed (1 hr) &amp; Understanding of AftDOCAProc (5.5hr- this effort not added here)
17-06:peer and CCB in progress, working on comments (5 hrs)
16-06:peer review in progress, worked on comments (7.75 hrs)
15-06:peer review continuation (1hr)
12-6:Peer and CCB review in continuation and working on comments (2.75 hrs)
11-06:peer review and CCB review in progress, working on comments (7.75hrs)
10-06:peer review in progress, worked on comments(3.5 hrs)
09-06:peer review in progress (1.5 hrs)
08-06:worked on comments and application guide update (6 hrs) &amp; KT session and KAP: (1.75 hrs)
05-06:peer review in progress (2.5hrs) &amp; application guide in progress (4.5hrs) &amp; DCR Discussion (0.75 hrs)
04-06:application guide in progress (7.75 hrs)
03-06:application guide in progress (7.5 hrs) &amp; KAP session (0.5 hr)
02-06:application guide in progress (7.75 hrs)
01-06:application guide in progress (7.0 hrs) 
30-05:application guide in progress (7.75 hrs) 
29-05:application guide in progress (7.75 hrs)
28-05:application guide in progress (6.5 hrs) &amp; Hand Safety Training (1 hr)
27-05:application guide in progress (7.75 hrs)
26-05:application guide in progress (6 hrs) &amp; RCA sheet preparation (1.75 hrs) &amp; Training : Function, Subfunction and Requirement Mapping on Integrity (0.5 hrs)
15-05:application guide in progress (7 hrs) &amp; Worked on Estimations and Planned dates of assigned DCRs (0.5 hrs)
14-05:application guide in progress (5.5 hrs) &amp; estimations for DCR (2 hrs)
13-05:application guide in progress (6.5 hrs) &amp; Retrospective meeting : 1 hr
12-05:application guide in progress (7 hrs)
11-05:Application Guide initial analysis completed. (4.5 hrs)
08-05:Initial analysis ( 5.5hrs)
07-05:DCR Analysis and Discussion, &amp; 4hrs Training</t>
  </si>
  <si>
    <t>19-06 : CCB review compeletd
18-06  :(Test case update done)
16-06 : (Test plot for SC1 &amp; SC2 is completed, SC3 is in progress
15-06 : V&amp;V plotting, started testability doc support omkar. Testability, MCDC Coverage snaps to implementation ppt, SIL-Accel-Reg setup, git pushed. O- Test plot done for 3rd subsystem(TC1 = SC1 is cover 9%
12-06 :Plotiing is in progress, Subsystem 3 is completed, Description will udate ones plotting is done
10-06 : MIL is completed, working on plotting
05-06 : (TC1 test case 1 update is done, Need to start Test case 2 update)
04-06  : (TC1 test case 1 update is in progrerss, last subsystem is pending)
03-06  : 8 hrs(Test case 1 update is in progress, 3 subsytem are covered)
02-06 : (Test case 1 update is in progress, 3 subsytem are covered)
01-06, 29-05 : working on V&amp;V for 1 sc
28-05 : VnV update is in progress(Test case 1 is in progress) 
27-05 : Appguide is completed, working on V&amp;V. 2 test case and 4 SCs
26-05 : Application guide is in progress, V&amp;V to be started today
20-05 : Task created for V&amp;V</t>
  </si>
  <si>
    <t>Harshal</t>
  </si>
  <si>
    <t>22-06 : Impl ppt IN progress
19-06, 18-06 : Impl in progress with latest ARXML
03-06 : completed appguide and PPT
02-06  : Plotting is completed, updating ppt and appguide
01-06  : PPT creation and Migration reports verification and Test vector update
29-05 : Model migration is completed, working on reports. V&amp;V to be started
28-05 : Worked on Model preparation and done analysis of open item point for data type mismatch
27-05 : working on impl for Tool based ARXML</t>
  </si>
  <si>
    <t>STLA MY30 PU : Port Sabre specific OCM A core2 component to CSAR: SYNC-UP: DOCA Diagnostic</t>
  </si>
  <si>
    <t>15-06 : will continue with further analysis of model and model prepration</t>
  </si>
  <si>
    <t>23-06  :Discussed regarding model changes and worked on ppt updated and Started DRB review with Dhanraj
22-06 : Worked on CCB review comments and updated new model logic and done migration for the same to discuss with Dhanraj-
19-06 : Worked on Peer review comments and completed Peer review and CCB review is half completed
18-06 : Updated Plotting and Presentation and Started Peer review
16-06 : Worked on MIL SIL Execution part for all the changes
15-06 : Worked on harness creation and MIL Execution part
12-06  :Worked on test vector creation and model Implementation, Resolved MA checks and Data type mismatch changes from llibdata sheet
10-06 : out of 5, 3 TC and 5 sc are impacting. 2 SC were completed and Application guide is completed.
09-06 : Updated application guide for DCR_19307982 and testvectors of DCR_19578660
08-06 : working on Appguide  
04-06 : Analysis is completed, Appguide is in progress for this DCR
03-06 : Analysis is in progress</t>
  </si>
  <si>
    <t>eFForts tracked under DCR_19307982</t>
  </si>
  <si>
    <t xml:space="preserve">	
AftOperModeMgr - Improvement : Documentation update,MCDC Improvement and Requirement mapping as per latest checked In CSAR component.</t>
  </si>
  <si>
    <t>Efforts tracked under DCR_18479118</t>
  </si>
  <si>
    <t>STLA MY30 PU : Update AftOperModeMgr to handle Sabre architecture regen modes</t>
  </si>
  <si>
    <t>STLA MY30 PU: Update Regen control component AftRegenCtrl for STLA Sabre architecture</t>
  </si>
  <si>
    <t>23-06 : VNV, req mapping, started plotting
22-06 : model changes,MA,Polyspace,,code gen, harness update
19-06 : Received ARXML, started model changes
18-06  :Impl in progress</t>
  </si>
  <si>
    <t>STLA MY 30 Redfish PU 1.8.1 : Exhaust Flow Rate &amp; Status are not getting updated</t>
  </si>
  <si>
    <t>10-06 : DCR to be submitted and 
08-06 : CCB review plan today 
05-06 :  Interface sheet updation and Eval PPT creation
Analysis of STLA dcrs for 3 impacting</t>
  </si>
  <si>
    <t>Yashwanth/Uttam</t>
  </si>
  <si>
    <t>23-06 : Checkin progress
18-06 : Peer and CCB Review. All Review closure. Implementation, VnV and Imp PPT.
17-06 : VnV Completed. Implementation PPT is in progress.
16-06 : V&amp;V and impl PPT is in progress
15-06 : Impl in progress. Git Push. Model update is done.</t>
  </si>
  <si>
    <t>CSAR OBD REAL Regen Trigger Issue</t>
  </si>
  <si>
    <t>23-06  :Started Initial analysis, went through ppt and model proposed changes</t>
  </si>
  <si>
    <t xml:space="preserve">Port name update required for ppAftProcExhDataFromBankAOCM_deStruct, ppAftProcExhDataToBankAOCM_deStruct in AftPrProc component
</t>
  </si>
  <si>
    <t>23-06 : checkin in progress
22-06 : Working on VnV testing and Implementation PPT creation 
19-06 : Working on VnV testing to accommodate in exisitng scenario
18-06  : Working on VnV testing. In master BankA impact not shown. Need to proceed with new scenrio creation
16-06 : Arxml import, Model Changes and Working on MA checks
15-06 : Impl in progress</t>
  </si>
  <si>
    <t>STLA MY 30 Redfish PU 1.8.1: Exhaust pipe data is not routing correctly from SCR to HC Doser in AftHCDosCmd</t>
  </si>
  <si>
    <t>15-06 : Evaluation PPT updation and all artifacts preparation for Review
12-06  :Worked on Evaluation PPT, Interface sheet, SRS updation
10-06 : Analysis in progress</t>
  </si>
  <si>
    <t>Evaluate H2O Desorb request and Make changes done under DCR_18678710 in master of AftOpModePrmt</t>
  </si>
  <si>
    <t>18-06 : Yet to start</t>
  </si>
  <si>
    <t>Type of Contenet</t>
  </si>
  <si>
    <t xml:space="preserve">
DCR ID - PTC</t>
  </si>
  <si>
    <t>Impacted Components</t>
  </si>
  <si>
    <t>Planned Peer review dates</t>
  </si>
  <si>
    <t>Planned CCB Review</t>
  </si>
  <si>
    <t>Planned DRB/L2 Review send date</t>
  </si>
  <si>
    <t>Authoring Required</t>
  </si>
  <si>
    <t>C01.26.06.00</t>
  </si>
  <si>
    <t>10-04  :Worked on test vectors update for newly Created
09-04 : Worked on test vectors update for newly updated logic other then Subsystem. Analysis of model file for obdm
08-04 : Updating Test vectors as per new logical changes
07-04 : Finalized traceability after discussion with Dhanraj and updating test vectors as per new logic
06-04  :PPT is completed for migration, Test vector  update is started. out 18, 13 TS is getting updated.
03-04 : Tracebility is compelted, PPT update is in progress
02-04 : Worked Harness creation and Traceability sheet update
01-04 : Worked on Traceability sheet impact and vnv analysis.
31-03 : worked on model requirement mapping and discussed Certdoc Impact for updated changes and checking traceability sheet impact
30-03 : Migartion is completed. Working certdoc and report generation
27-03, 26-03 :  Worked on MOdel prepration and lib data type error
25-03, 23-03, 18-03 : model preparation is in progress. 
16-03 : Initial analsis is in progress</t>
  </si>
  <si>
    <t>21/22-04-2026</t>
  </si>
  <si>
    <t>23/24-04-2026</t>
  </si>
  <si>
    <t>V&amp;V is in progress</t>
  </si>
  <si>
    <t>STLA MY30 PU : Port Sabre specific OCM A core2 component to CSAR: SYNC-UP - OCPA – parameter det (Migration)</t>
  </si>
  <si>
    <t>out</t>
  </si>
  <si>
    <t>OCMA component</t>
  </si>
  <si>
    <t>03/09-04-2026</t>
  </si>
  <si>
    <t>10/15-04-2026</t>
  </si>
  <si>
    <t>17-04-2026</t>
  </si>
  <si>
    <t>Shraddha M</t>
  </si>
  <si>
    <t>STLA MY30 PU : Port Sabre specific OCM A core2 component to CSAR: SYNC-UP (Migration) - Processing</t>
  </si>
  <si>
    <t>10-04  :OCRA testing is in progress
09-04  :Completed OCLA testing, OCRA is in progress
08-04 : OCLA test vector creation and MCDC will be completed today
07-04 : working on 4th and 5th test case
06-04 : 3rd test case completed for DOCAproc
03-04 : Migration CCB review is planned today, Tracebilti review is going on. V7V 3 TC is in progress out of 11. Plan to complete the OCLA part by Tuesday 7th April
02-04 : VNV for first case completed
01-04, 31-03 : verification to be done for Peer review. 
30-03 : PPT is completed, TC- 12, SC 20.
27-03, 26-03 : fixed review comments for OCLA and strated working on traceability
25-03 : VnV for HC Adsorbtion Test vector creation, VnV for H20 adsorbtion is in progress
18-03 : Peer review is in progress. workign on V&amp;V in parallel.
16-03 : migartion is completed, polyspace issue is in progress
10-03 : Worked on DOCAproc component:MA issue fixing
09-03 : Worked on DOCAproc component:solved simulation issues.
06-03 : Worked on simulation issues
05-03 : Worked on simulation issues. Tracebility review is in progress
04-03, 03-03 : Simulation is in progress
02-03 : initial migation will be completed today
27-02 : issue is resolved, working on migration. Plan for peer review on 11th Feb
26-02 : block replacement script facing issue.
25-01 : block replacement scripit is not working.
23-02 : Migration is in progress. 
20-02 : ARXML received model preparation.
19-02 : model preparation is in progress
13-02 : brnach to be created. and Impl in progress
12-02, 11-02, 10-02 : Model preparation is in progress
09-02 : to be started from today for impl
06-02 : received details from Duygu
08-01, 07-01 : migrated SRS sent for review
06-01 : migration is completed for SRS, queries to resolved from Duygu side.
05-01 : SRS migration to be completed today
02-01 : 2 SRS completed for update, working on other 3 SRS.
01-01 : Total 10 SRS are there,  SRS update is in progress. To be discuss with Duygu
24-12 : SRS update is in progress</t>
  </si>
  <si>
    <t>Migration - NA
V&amp;V - 17/21-04-2026</t>
  </si>
  <si>
    <t>Migration - 6/9-04-2026
V&amp;V - 22/24-04-2026</t>
  </si>
  <si>
    <t>Migration - 15-04-2026
V&amp;V - 04/27/2026</t>
  </si>
  <si>
    <t>Shrutika shete</t>
  </si>
  <si>
    <t xml:space="preserve">STLA MY30 :Port Sabre specific changes in ATS DSM - Soot Filter Core2 component to CSAR: SYNC-UP - AftDltPrRegenTrigProc </t>
  </si>
  <si>
    <t>20-02 : DCR clsoed and checjlist updated
18-02 : sent for verification
17-02 : working on L2 review comments
16-02, 12-02 : Awaiitng L2 verification
11-02 : To be send for L2 verification
10-02 : received feedback from L2 review, working on it.
06-02 : CCB review comments fixed added continaution entry. 
05-02 : CCB review verification is in progress
02-02 : working on plotting.plan for CCB 
30-01 : Received the ARXML for DCR.
29-01 : awaiitng reply from software team to proceed further
28-01 : ework was happened, as requirement was not clear from component owner side. migration is completed, working on V&amp;V.
27-01 : Peer review is completed, CCB review is plan today
23-01, 22-01 : re-migration to be done, plan for Peer review tomorrow
21-01: V&amp;V and ppt can be completed, Plan for Peer review on Friday
20-01 : impl to start today. Plan to be share today
19-01 : Analysis is in progress</t>
  </si>
  <si>
    <t>CLOSED</t>
  </si>
  <si>
    <t>Manish Hariya (ag07c)</t>
  </si>
  <si>
    <t>10-04  : CCB review is in progress, Appguide 65 % completed
09-04 : CCB review in progress, working on Appguide
08-04 : Peer Review - 1Hr, Comments closing - 4Hr, Application guide - 3Hr
07-04 : appguide update in progress
06-04 : 3.5 Hr-Updating scenario 1,  2 Hr -Application guide
02-04  :Peer is in progress V&amp;V is in progresss
01-04, 13-03 : V&amp;V is completed, PPT review is in progress
25-03 : Testing is completed, awaiting latest model from Harshal
27-03 , 26-03 : PPT creation
24-03 : started regression testing, testability document completed
23-03 : SIL and Accel testing is completed. working on Regression testing.. 
19-03  :SIL and Accel testing is in progress
18-03   :MIL part is completed, working on SIL. PPT to be started. 
17-03 : scenario 4 is completed, scenario 5 is in progress
16-03 : SC 3 is completed, working on SC4
13-03 : working on SC 3
12-03, 11-03, 10-03 : Scenario 2 - functionality 02/06
09-03 : Worked on V&amp;V Scenario 1 (08/08 functionality is completed)
06-03 : Working on V&amp;V for AftDOCAParamDe comp (for scenario 1 - 06/08 functionality testing is completed
05-03 : Worked on Traceability doc and V&amp;V for AftDOCAParamDe comp
04-03 : CCB review is in progress for tracebility. 
03-03 : In V&amp;V currently working on 1st scenarios in that total 8 functionality are there, so completed 2 functionality
02-03 : Peer review completed, CCB review is plan today for tracebility. 
27-02 : Peer review in continuation. V&amp;V is in progress
26-02 : Peer review is in progress for tracebility. 1 test cases with 4 SC. 
25-02 : Peer review is plan today for tracebility
24-02 :Tracebility Peer review to be plan and continue for V&amp;V.
23-02 : Tracebility is completed, Need to verify with Harshal
20-02 : working on tracebility 
19-02, 13-01 : Analysis is in progress</t>
  </si>
  <si>
    <t>V&amp;V  - 6/9-04-2026</t>
  </si>
  <si>
    <t>V&amp;V  - 10/15-04-2026</t>
  </si>
  <si>
    <t>Internal review is in progress</t>
  </si>
  <si>
    <t>27-02  : DCR is approved
26-02 : DCR to be submiteed
25-02   :Received Approval from Dhanraj, DCR to be submitted
23-02, 20-02 : Sent for L2 review on 19th Feb
19-02 : CCB review is in progress
18-02 : CCB review is on hold today
17-02 : Received confirmation is received from Dhanraj, CCB review is plan today
13-02 : CCB review is plan today.
10-02 : Peer review is plan today
09-02 : evalution PPT and interface sheet is completed.
06-02 : analsysi is compelted, working on eval ppt
05-02 : awaitng inputs from Dhanraj
04-02 :Analysis is in progress</t>
  </si>
  <si>
    <t>08-04 : to be confirm on discussion
07-04 : Impl is in progress
23-03 : test vector is completed.
18-03  : working on test vector analysis.
16-03  : Model changes are compelted
06-02 : working on model changes and ppt
05-02 : Analysis is in progress</t>
  </si>
  <si>
    <t>Rework in evaluation</t>
  </si>
  <si>
    <t>Omkar shinde</t>
  </si>
  <si>
    <t>Sabre CSAR Syncup AftDiesPartFiltOpModeDet - STLA: Need filter conditioning logic for upstream DOCA similar to SFM</t>
  </si>
  <si>
    <t>03-04  :Eval submitted
30-03  : SRS to be updated and send for L2 review
23-03 : Take a confirmation from Lavanya and and continue with DRB review today
16-03 : Eval submit process to be done
05-03:meeting of quality issue observed during peer, ccb
24-02:CCB continuations,Working on change requests , Needs to update the Interface sheet, SRS, dcr descritpions updates.
23-02:Peer completed without comments, CCB planned today
20-02:All artifacts created ( POM Sheet- one calibration parameters in added) _ peer planned today
19-02 : Handover to omkar
18-02 : Evalaution completed, after disucsison with Yue, it is clear for 1 component is impacted and oper mode manager
17-02 : 4 components imapct is there, plan to discuss the query internal with Lavanay and required compoent owner by this week
14-02, 13-02 : analysis is in progress
12-02 : discussion is planned with Lavanya today
11-02 : To be check with Dhanraj
06-02: All the details attached in the ppt are of Core 2 and in the description in the dcr is also of Core 2
05-02: Initial analysis in progress</t>
  </si>
  <si>
    <t>23-03 : RRB tag update submit the eval today
18-03 : DRB review commnets to be fix and send for verifcation today
16-03 : DRB review is plan today
Requirement discussed with Dhanraj (Dhanraj will provide feedback some)
09-03 : Worked on First cat Eval (Optimization Points from Dhanraj)
06-03 : Discussion with Lavanya regarding First CAT in DCR. Updated PPT for Dhanraj (based on suggestions discussed earlier)
04-03 : PPT will be completed today and points will be discussed with Dhanraj today.
03-3 : Implementing the changes in the presentation as suggested by Lavanya to provide a clearer view of how deStructs are evolving with downstream components.
02-03 : working on eval ppt. planning to take internal call with Lavanya Today. plan to continue with internal peer reviw tomorrow
27-02 : Evalaution is in progress
26-02 : PPT to be craeted and we might reject this DCR
24-02 : discusison is plan with Lavanya
23-02 : Analysis is in progress
20-02 : Eval to be started today (Harshal started from 20th Feb)
19-02:Evaluation ppt in progress, Dependency with Sanjeevani regarding ppPorts
19-02: Evaluation in progress ( Handover to Harshal to take up further)
18-02, 17-02:Evaluation in progress
16-02:Initial analysis in progress
dcr created for cat 1 for all 4 compoents</t>
  </si>
  <si>
    <t>06-04 : check-in is in progress
03-04   : AECD bumpout today. and upadte the details on mOnday
26-03 : comments fixed and discussion with shradha , and Dhanraj about one comment got confirmation
25-03 : working on L2 rework feedback comments
23-03 : changes to be discss with Lavanya and and take a approval from component owenr today
18-03, 10-03, 09-03, 06-03 : CCB review continaution today
05-03 : Peer continuation done and worked on comments
04-03 : Peer review is in continuation
03-03 : Peer continuation and working on comments 
02-03 : Peer review is plan today
27-02 : plotting and Appguide is pending
25-02 : V&amp;V is in progress
24-02 : for issue found in impl, mode changes done. working on V&amp;V.
23-02 : V&amp;V analysis is in progerss
20-02  :Migration is completed, working on V&amp;V
17-02 : Received ARXML, Impl in progress
13-02 : sent for reauthoring request
12-02 : impl in progress
11-02 : Authoring request initiated</t>
  </si>
  <si>
    <t>PFS AECD</t>
  </si>
  <si>
    <t>27-02, 25-02, 23-02, 20-02 : sent for L2 review on 18th Feb
17-02, 16-02  : activity is on hold for Eval L2 
13-02 : To be send for L2 reviw today
12-02 : CCB review is plan today
11-02 : Peer review is plan today
10-02 : Peer review is planned tomorrow
09-02 : evalaution ppt is in progress. Plan for Peer review tomorrow</t>
  </si>
  <si>
    <t>STLA related changes to be implemented in AftDiesPartFiltEffDiag component</t>
  </si>
  <si>
    <t>01-04 : Merge request initiated to Akash
30-03  :L2 review is passed, check-in progress
23-03 : awaiitng L2 review. send the reminsed
18-03  : CCB erview comments to close and verify with Lavanya. and send for L2 erview
13-03 : Peer review is in progress
10-03 : Worked on MCDC coverage of newly implemented logic and MIL part as per updated test vector sheet
09-03 : Worked on MCDC coverage and MIL execution for the newly updated model logic.
06-03:Working on (VnV) MCDC Coverage and MIL Execution.
02-03:Test vector updatation and MIL Part is in progress
27-02:Migration completed, Harness update in progress
26-02,25-02:Migration in progress
24-02:Authoring received on 20/02/2026 evening,
13-02: SRS Update completed, send for authoring request
12-11:Analysis completed and Application guide also completed
11-02:Analysis in progress for this dcr aling with 18060099,( which will be working by Manish Later) waiting for Dhanraj reply</t>
  </si>
  <si>
    <t>STLA related changes to be implemented in AftDOCPIDFdbkUsedUpDiag component</t>
  </si>
  <si>
    <t>27-02:CCB completed and send to L2 Review with Dhanraj on 26
26-02: CCB Functional review completed and CSAR Review Pending.
25-02:Peer completed and Planned CCB today
24-02:Completed all artifacts, Self review completed, Peer planned today
23-02:Plotting completed, Presentation in progress
20-02: V&amp;V Completed, Plotting in progress
18-02:V&amp;V in progress, Completed MIL, 4 test cases are there , only 2 scenerios are updating.
17-02:Migration completed, Working on V&amp;V.
16-02: No need of authoring changes, Impl Started, Migration in progress
13-02: Status same as DCR 18054159</t>
  </si>
  <si>
    <t xml:space="preserve">05-03 : Evalaution submitted by Shraddha M
18-02: Sent for L2 review today
17-02:peer Review completed, CCB Planned today
16-02:Peer review in continuation,
13-02,12-02,11-02:Evaluation in progress, (The parameter ATS_REGEN_TRIGGER_STATE_DOC seems to be directly copied from Core 2, but the value does not look correct. We need to find the exact correct value of ATS_REGEN_TRIGGER_STATE_DOC and identify the list of components where this parameter is used.)
10-02:Initial analysis in progress ( DOC), need to do evaluation for 3 requirements as mentioned by Yue
09-02: Discussion with Yue for the clarification of the requirments
06-02:Ppt for migration completed, Testing is pending, </t>
  </si>
  <si>
    <t>18-02 : Analysis is in progress.Effrots tracked under 18680412</t>
  </si>
  <si>
    <t>STLA MY 30: Assess the usage of ppAftProcExhDataToSctn_deStruct in AftDiesOxidCatPIDFdbkCtrl</t>
  </si>
  <si>
    <t>18-02 : Analysis is in progress</t>
  </si>
  <si>
    <t>STLA MY 30: Assess the usage of ppAftProcExhDataToSctn_deStruct in AftDiesOxidCatParamDet</t>
  </si>
  <si>
    <t>AftDiesPartFiltParamDet</t>
  </si>
  <si>
    <t xml:space="preserve">STLA MY30 SyncUp: Pause Regen and Doser Protection Check logic migration from ATM2/3 - </t>
  </si>
  <si>
    <t>06-04 : awaiting confirmation from China team for rejection.
01-04 : Discussion is planned with Swapnil, Yue Dhanraj
30-03 : Discussion is planned with Swapnil. Working on inputs provided by Swapnil.
25-03 : working on analysis. 
16-03 : analysis to be initiated.</t>
  </si>
  <si>
    <t>Working on L2 review comments</t>
  </si>
  <si>
    <t>01-04  :Desogn merger  request raised 
30-03 : received L2 review feedback,  working on it.
25-03 : sent for L2 review
23-03 : CCB continuation today
18-03 : Peet review continuation
11-03 : V&amp;v IS IN progress, Plan for Peer rreview tomorrow
10-03 : Migartion is in progress
06-03:Appguide update in progress
24-02:Application guide update in progress
23-02:Test cases updated for procregion logic</t>
  </si>
  <si>
    <t>07-04 : Efforts tracked under DCR_18067411</t>
  </si>
  <si>
    <t>10-04 : L2 review complteed , ready for check-in
09-04 : worked on new scenarios as per CCB panel.
08-04 : L2 review plan today
07-04 : Peer done worked on comments
06-04. 03-04 : Peer revoew plan today
02-04 : MCDC done and  Tracebility  done
01-04  : V&amp;V is completed, wotking on tracebility and MCDC. Plan for Peer review tomorrw
30-03 : MA is completed, working on polyspace. Peer is plan on Wednesday
27-03 : Impl in progress
25-03 : Impl to be proceed further.</t>
  </si>
  <si>
    <t>Check-in progress</t>
  </si>
  <si>
    <t>10-03 : issue FOUND in ARXML, Awaiting inputs from authroing team
09-03  :Migartion is in progress
06-03 : working on model changes
05-03 : working on Analaysis for DCR-18139347
04-03 : received ARXML, Impl to be started
02-03 : awaiting for ARXML
27-02 : Authoring request to be initiated</t>
  </si>
  <si>
    <t>Rework due to previous check-in issue</t>
  </si>
  <si>
    <t>STLA MY30 PU : Create DOCA Oper Mode Manager Component</t>
  </si>
  <si>
    <t>10-04, 08-04, 07-04 : VnV is in progress. tracebility - 2 TC and SC 2
06-04  : Peer review is in progress. Tracenility sheet and requirement mapping is completed
03-04 : Peer review is plan today
02-04 : Migartion completed, Peer review is in progress for migration
01-04 : Polyspace is in progerss, SRS is published requreemnt mapping is in progtess
30-03 : MA resolution completed, working on polysapce checks
27-03, 26-03 : MA checks is in progress
25-03, 23-03 : migration is in progress.</t>
  </si>
  <si>
    <t>Migration - 06/07-04-2026
V&amp;V - 20/21-04-2026</t>
  </si>
  <si>
    <t>Migration - 08/10-04-2026
V&amp;V - 22/24-04-2026</t>
  </si>
  <si>
    <t>Migration - 13-04-2026
V&amp;V - 04/27/2026</t>
  </si>
  <si>
    <t>Migartion internal erview in progress</t>
  </si>
  <si>
    <t>06-04 : Appguide is in progress
30-03 : Appguide template is updated working on calibration tuning
23-03 : Appguide is in progress</t>
  </si>
  <si>
    <t>Migration - 02/27/2026
V&amp;V - 04/13/2026</t>
  </si>
  <si>
    <t>Migration - 03/13/2026
V&amp;V - 04/17/2026</t>
  </si>
  <si>
    <t>Migration - 03/14/2026
V&amp;V - 04/22/2026</t>
  </si>
  <si>
    <t>CSAR Implementation required for commented out block and Calibration values need to be updated in AftHCDosDiag component</t>
  </si>
  <si>
    <t>01-04 : Efforts tracked Under DCR_17492028</t>
  </si>
  <si>
    <t>Rejected / Transferred/ Moved to next quarter</t>
  </si>
  <si>
    <t>Cumulative Revised basline plan complted</t>
  </si>
  <si>
    <t>Sr No</t>
  </si>
  <si>
    <t>DCR</t>
  </si>
  <si>
    <t>Description</t>
  </si>
  <si>
    <t>OBD Forum required</t>
  </si>
  <si>
    <t>Impatced compoent</t>
  </si>
  <si>
    <t>Component owner</t>
  </si>
  <si>
    <t>Component owner review support</t>
  </si>
  <si>
    <t>Eval Estiamte</t>
  </si>
  <si>
    <t>Impl Estimate</t>
  </si>
  <si>
    <t>DCR owner</t>
  </si>
  <si>
    <t>AftDOCAProc</t>
  </si>
  <si>
    <t>28-05-2026</t>
  </si>
  <si>
    <t>29-05-2026</t>
  </si>
  <si>
    <t>It needs to be rejected</t>
  </si>
  <si>
    <t>Oper mode component</t>
  </si>
  <si>
    <t>For Regen Ctrl compoennt : SRS need to be update</t>
  </si>
  <si>
    <t>Regen ctrl</t>
  </si>
  <si>
    <t>Omkar</t>
  </si>
  <si>
    <t>DCR will get rejected. Need to raise separate DCR for 3rd component. Regen ctrl component</t>
  </si>
  <si>
    <t>For Regen Ctrl2 compoennt : SRS need for req mapping</t>
  </si>
  <si>
    <t>Regen ctrl 2 New component</t>
  </si>
  <si>
    <t>Manish /Omkar</t>
  </si>
  <si>
    <t xml:space="preserve">Migartion - 29-05-2026
V&amp;V - </t>
  </si>
  <si>
    <t xml:space="preserve">Migartion - 03-06-2026
V&amp;V - </t>
  </si>
  <si>
    <t xml:space="preserve">Migartion - 10-06-2026
V&amp;V - </t>
  </si>
  <si>
    <t>Regen ctrl 2</t>
  </si>
  <si>
    <t>For OperModeMgr compoennt : SRS need for req mapping</t>
  </si>
  <si>
    <t>inculding Estimation under this DCR for DCR_18652314_18479118_19038230</t>
  </si>
  <si>
    <t xml:space="preserve">STLA MY30 PU : Port Sabre specific OCM A core2 component to CSAR: SYNC-UP: DOCA Diagnostic
</t>
  </si>
  <si>
    <t>Impl_NA</t>
  </si>
  <si>
    <t>OCMA diag New component</t>
  </si>
  <si>
    <t>dhanraj/Amit</t>
  </si>
  <si>
    <t>STLA MY30 PU : Update AftOpModePrmt component for Sabre specific regen permit bits</t>
  </si>
  <si>
    <t>Balraj</t>
  </si>
  <si>
    <t>Completed. To be check with Sanjeevani, why it is marked as completed</t>
  </si>
  <si>
    <t>amancharla v priya (au70g)/Balraj</t>
  </si>
  <si>
    <t>25-05-2026</t>
  </si>
  <si>
    <t>1 open item is opened, need to take this in current DCR.</t>
  </si>
  <si>
    <t xml:space="preserve">	
STLA MY30 PU: Update AftDiesOxidCatHCH2OAdsrbDsrb with DOC Oper mode request instead of SelIntlOpMode</t>
  </si>
  <si>
    <t>Omkar/Balraj</t>
  </si>
  <si>
    <t>27-05-2026</t>
  </si>
  <si>
    <t>closed</t>
  </si>
  <si>
    <t>Harshal/Manswi</t>
  </si>
  <si>
    <t>03-06-2026 to 18-06-2026</t>
  </si>
  <si>
    <t>09-06-2026 to 24-06-2026</t>
  </si>
  <si>
    <t>25/06/2026</t>
  </si>
  <si>
    <t>3 appguide to work, and each Appguide takes around 8 hrs for peer and ccb reviews ( 3*8=24hrs Total required for reviews) and support required for plan 2 hrs per day for reviews.</t>
  </si>
  <si>
    <t>ECM Testing</t>
  </si>
  <si>
    <t>Testing for this can be combined with DCR_18067411 testing</t>
  </si>
  <si>
    <t>Testing for this can be covered with DCR_17492028 testing</t>
  </si>
  <si>
    <t>STLA MY30 : Update AftHwCfgInfo component for STLA( Dual SCR and Dual DOC) architecture</t>
  </si>
  <si>
    <t>Testing for this can be covered with DCR_17785160 testing</t>
  </si>
  <si>
    <t>STLA MY30 : Port Sabre specific changes in PM sensor core2 component to CSAR: SYNC-UP - AftPartMatSenCMeasDemd</t>
  </si>
  <si>
    <t>STLA MY30 PU : Port Sabre specific OCM A core2 component to CSAR: SYNC-UP (Open Port for AftDOCAParamDet)</t>
  </si>
  <si>
    <t>10% (Analysis, estimation and self review)</t>
  </si>
  <si>
    <t>BW plan</t>
  </si>
  <si>
    <t>Skip last week</t>
  </si>
  <si>
    <t>remaining available BW by Skip last week</t>
  </si>
  <si>
    <t>remaining BW by Skip last week</t>
  </si>
  <si>
    <t>Planned</t>
  </si>
  <si>
    <t>Risk</t>
  </si>
  <si>
    <t>13895158 DOC eHTR virtual inlet temperature
13064164 SCR eHTR virtual inlet temperature</t>
  </si>
  <si>
    <t>Vivek</t>
  </si>
  <si>
    <t>12874577 - FTIS - AFT Particulate Filter Regeneration (Batch 2)</t>
  </si>
  <si>
    <t>Rachna</t>
  </si>
  <si>
    <t>11000230 - FTIS - OOMT</t>
  </si>
  <si>
    <t>13389252 - New component creation</t>
  </si>
  <si>
    <t>Planned Completion Date</t>
  </si>
  <si>
    <t>Actual Cmpln Date</t>
  </si>
  <si>
    <t>Week</t>
  </si>
  <si>
    <t>(All)</t>
  </si>
  <si>
    <t>Row Labels</t>
  </si>
  <si>
    <t>Count of DCR ID - PTC</t>
  </si>
  <si>
    <t xml:space="preserve">
18-10-2024
</t>
  </si>
  <si>
    <t>04-09-2024
12-09-2024</t>
  </si>
  <si>
    <t>07-10-2024
15-10-2024</t>
  </si>
  <si>
    <t>08-11-2024
25-10-2024</t>
  </si>
  <si>
    <t>10-Oct-2024
20-11-2024</t>
  </si>
  <si>
    <t>13-09-2024
06-09-2024</t>
  </si>
  <si>
    <t>15-10-2024</t>
  </si>
  <si>
    <t>16-Oct-2024
25-09-2024</t>
  </si>
  <si>
    <t>20-09-2024
27-09-2024</t>
  </si>
  <si>
    <t>20-10-2024
20-09-2024</t>
  </si>
  <si>
    <t>27-09-2024
15-09-2024</t>
  </si>
  <si>
    <t>27-09-2024
17-09-2024</t>
  </si>
  <si>
    <t>27-Sep-2024
05-Sep-2024</t>
  </si>
  <si>
    <t>30-09-2024
06-09-2024</t>
  </si>
  <si>
    <t>30-Oct-2024
20-11-2024</t>
  </si>
  <si>
    <t>30-Sep-2024
10-sep-2024</t>
  </si>
  <si>
    <t>31-08-2024
06-09-2024
10-09-2024</t>
  </si>
  <si>
    <t>Grand Total</t>
  </si>
  <si>
    <t>PRCR State</t>
  </si>
  <si>
    <t>DCR Status</t>
  </si>
  <si>
    <t>Shraddha Arde (ul528)</t>
  </si>
  <si>
    <t>Sum of Estimated Hrs</t>
  </si>
  <si>
    <t>Sum of Actual Efforts (Hrs)</t>
  </si>
  <si>
    <t>Lavanya Nayak (ri652)</t>
  </si>
  <si>
    <t>Ashitosh Nilkanth (uh953)</t>
  </si>
  <si>
    <t>jyoti dongre (vu400)</t>
  </si>
  <si>
    <t>umesh borde (ad33c)</t>
  </si>
  <si>
    <t>vitthal shinde (xy599)</t>
  </si>
  <si>
    <t>Harshada Borude (ur897)</t>
  </si>
  <si>
    <t>Haridas Raut (vy322)</t>
  </si>
  <si>
    <t>Yogesh Yenorkar (vz001)</t>
  </si>
  <si>
    <t>Jagadeesh V (wt481)</t>
  </si>
  <si>
    <t>Shubham U Pansare (so150)</t>
  </si>
  <si>
    <t>Tejas T Salunkhe (ur770)</t>
  </si>
  <si>
    <t>Prasad Yesardekar (uh542)</t>
  </si>
  <si>
    <t>Prerana Ozarkar (vk686)</t>
  </si>
  <si>
    <t>Anjali Akuskar</t>
  </si>
  <si>
    <t>Lead</t>
  </si>
  <si>
    <t>date</t>
  </si>
  <si>
    <t>Lavanya</t>
  </si>
  <si>
    <t>1. Data analysis of DOC NMHC diagnostic is completed and shared with EBU team and other stake holders.</t>
  </si>
  <si>
    <r>
      <t xml:space="preserve">Discussion on same analysis is planned with </t>
    </r>
    <r>
      <rPr>
        <i/>
        <sz val="11"/>
        <color theme="1"/>
        <rFont val="Aptos"/>
        <family val="2"/>
      </rPr>
      <t>Jose D Moncada Diaz</t>
    </r>
    <r>
      <rPr>
        <sz val="11"/>
        <color theme="1"/>
        <rFont val="Aptos"/>
        <family val="2"/>
      </rPr>
      <t xml:space="preserve"> today at 5.30PM. This discussion would bring clarity if the analysis carried out so far is okay or need any further work in it.</t>
    </r>
  </si>
  <si>
    <t>2. DCR_14615781, evaluation artifacts are shared with Sumit, who would be completing its implementation.</t>
  </si>
  <si>
    <t>Count of DCR Status</t>
  </si>
  <si>
    <t>Column Labels</t>
  </si>
  <si>
    <t>(Multiple Items)</t>
  </si>
  <si>
    <t>(blank)</t>
  </si>
  <si>
    <t>Manager Name</t>
  </si>
  <si>
    <t xml:space="preserve">
PRCR ID</t>
  </si>
  <si>
    <t>Rachna Pawale</t>
  </si>
  <si>
    <t>CES CSAR 01.24.12.00 - 12962338</t>
  </si>
  <si>
    <t>CSAR Titanium/Legend: Service Test for AT Heater system</t>
  </si>
  <si>
    <t>18-09 : Model review discussion with stakeholders. IDA team would be creating the id 30 Sep
16-09 : Plan to complete the dummy model creation today. Concept disucssion to be plan on 18th Sep
13 Sep : dummy Model will be completed by 16 Sep
12 Sep : Discussion with Snehal is planned today
11 Sep : Comp owner Snehal unavailable till 13 Sep
09 Sep - dummy model completed 70% &amp; shared with Dhanraj, will be reviewed today 
05-09 : Plan to complete the dummy model by 06-sept
05 Sep : dummy model in progress
03 Sep : Eval in progress (New componenet)
28 Aug : Eval in progress</t>
  </si>
  <si>
    <t>CSAR - create SRS and application guide for AftEngIdleHiSLShtdwn component</t>
  </si>
  <si>
    <t>2024 Mar - CES PFS : 13241426</t>
  </si>
  <si>
    <t>Vivek Panigrahi</t>
  </si>
  <si>
    <t>TD4288: PFS ALT MIL diagnostic pass/fail counter reset over key cycle</t>
  </si>
  <si>
    <t>18-Sep: CCB is not planned today as well due to CSAR CCB reviewr not available.
16-Sep: CCB review is completed for functional end, fixed comments to be verified. CCb is planned CSAR prospective.
13-Sep: Peer review is completed. CCB is planned today.
12-Sep: Peer is in continiue, working on review comments.
11-Sep: Peer review is planned for Eval and Interface sheet.
10-Sep: Interface sheet updation is completed. PPT updation and SRS updation is in progres. Peer to be planned tomorrow.
09-Sep: Evalaution is completed. Interface sheet and PPT updation is in progress.
06-Sep: Evalaution is in progress.
27-Aug: Kpet on hold due to other prirority task.
26-Aug,22-Aug,21-Aug,20-Aug: Evalaution is in progress.
16-Aug: Initial analysis to be started today.</t>
  </si>
  <si>
    <t>AftRegenCtrl: Fix Datatype issue for constant by using updated Csar_CES_Data_Dictionary submodule</t>
  </si>
  <si>
    <t>18-Sep,16-Sep,13-Sep: As confirmed with Swapnil DCR to be rejected as requirement is already implimented.</t>
  </si>
  <si>
    <t>Short Regen Strategy Missing Separate Target Temperature</t>
  </si>
  <si>
    <t>18-Sep: Interface sheet L2 review is completed. DCR is submitted in Integrity.
16-Sep: Awaiting L2 confirmation for Interface sheet from Yue.
10-Sep: CCB review is completed for Interface sheet. To be send for L2 review for Interface sheet with DCR#13208634.
09-Sep: CCB reviewer not availbale hence reschedule to today.
06-Sep: Interfacesheet peer review is completed, working on review comments. CCB is planned today.
05-Sep: Received L2 confirmation ther is no review comments. To be sent AECD and RRB tag request. Peer review is in progress for Interface sheet.
04-Sep, 03-Sep: Awaiting L2 feedback from Yue for 12541182. Interface sheet was not preapared earlier DCR owner as a result specd 4 hrs to updated the Interface sheet and planned peer review today.
26-08 : Requirements to be confirm from Shubhangi
23-08 : Analysis to be started, Shubhangi handovered by sending L2 review.</t>
  </si>
  <si>
    <t>MY27 ALT MIL Strategy: NMHC</t>
  </si>
  <si>
    <t>26-Aug: Initial analysis is in progress. Kept on hold due to other prirority work(FIM DCR).
23-Aug: Analysis to be started.</t>
  </si>
  <si>
    <t>MCDC Coverage improvements for AftDiesPartFiltDltPrRatDiag component</t>
  </si>
  <si>
    <t>02-Sep: Initial analysis is in progress. Kept on hold due to FIM prirority DCR.</t>
  </si>
  <si>
    <t>Change required in AftDiesPartFiltOpModeDet component to overcome invalid shift warning</t>
  </si>
  <si>
    <t>18-Sep: Discussed with Swapnil with the testing analysis received few input working on this as an prirority.
16-Sep,13-Sep: Scope analysis with Swapnil is in progress as 10 component are impacting for this DCR. Trail testing is is progress as advised by Swapnil.
Assigned to Ashitosh to be analysed and update estimation.</t>
  </si>
  <si>
    <t>Nileema Pailwan</t>
  </si>
  <si>
    <t>Test vectors update is needed for AftDiesPartFiltCSLEProc component to improve coverage</t>
  </si>
  <si>
    <t>16-09 : Deferred for priorirty DCR_13047716
30-08- : On hold for other priority work DCR_13047716</t>
  </si>
  <si>
    <t>Change required in AftRegenCtrl component to resolve issue of global output signal going out of range in Regression Testing</t>
  </si>
  <si>
    <t>05-Sep: Effort  tracking on DCR14433414</t>
  </si>
  <si>
    <t>CSAR Sync-Up: low o2 HC dosing pause filter constant</t>
  </si>
  <si>
    <t>16-09 : Deferred for priorirty DCR_13047716
30-08- : On hold for other priority work DCR_13047716
26 Aug - Peer review - In progress</t>
  </si>
  <si>
    <t>CSAR Sync-Up: A more precise O2 correction during regen at high altitude__On behalf of ATI team to request this DCR, any question, please contact Aijing-PU423</t>
  </si>
  <si>
    <t>CSAR : Document creation/update required for AftDiesPartFiltOutDltTmptrDiag</t>
  </si>
  <si>
    <t>10 Sep : Peer +CCB Review is still in progress
27 Aug : SRS document update, eval peer review</t>
  </si>
  <si>
    <t>CSAR SYNC-UP: PFS: MY24 OBD OEM Requested General Strategies: Implement Rapid Response in alternative pass/fail counter strategy</t>
  </si>
  <si>
    <t>Effort tracking on DCR12295210</t>
  </si>
  <si>
    <t>CSAR Migration: Migrate PFS Delegated Assembly</t>
  </si>
  <si>
    <t>26 Aug : Understanding requirement                        30 Aug : Interface in progress 03 Sep : Nileema to review the scope of this requirement</t>
  </si>
  <si>
    <t>Need fix for the issues found in AftDPFExhThrotFailProt component</t>
  </si>
  <si>
    <t>16-09 : Deferred for priorirty DCR_13590634</t>
  </si>
  <si>
    <t>Need fix for the issues found in AftSwtIntf component</t>
  </si>
  <si>
    <t>12-Sep: To be analyzed on Core 2 model for golbal inputs. To be planned for peer review tomorrow.
11-Sep: As advised by Ashitosh updated Interfac sheet and SRS, to be verified with Ashitosh. To be planned peer review tomorrow.
10-Sep: Interface sheet updation is completed. SRS updation is in progress. To be discussed with Lavnaya as a DCR creator.
09-Sep: Awaiting input from Lavanya. Interface sheet and SRS updation to be satrted.
30-Aug: Awaiting input form Nileema and Lavanya kept on hold.
29-Aug,28-Aug: 3 DCRs Analysis is completed, to be discussed with Ashitosh.
27-Aug,26-Aug: Evaluation is in progress for 13153843.
22-Aug,21-Aug: Analysis is in progress.
20-Aug: Analysis is completed to be discussed with Ashitosh and priceed further with Evalaution.
16-Aug: As discussed with Ashistosh to be analyse the DCR details involved in CORE2.
09-Aug: Received confirmation from Dhnaraj on logic is not available in CSAR whereas it is available in CORE2. Awaiting confirmation from Nileema to raise new DCR to cover this logic. Kpet this DCR on hold due to DTR prirority work. 
08-Aug: To be discussed with Lavanya for query clarification.
07-Aug: Need clarification on requirement from Ashitosh or Lavanaya.
06-Aug:Evalaution is in progress.
05-Aug,02-Aug,01-Aug: Evalaution analysis is in progress. To be discussed with Ashitosh for query clarification.
31-July: Working on initial analysis for Evalaution.</t>
  </si>
  <si>
    <t xml:space="preserve">CSAR SyncUp: Enable condition Improvement for DPSLE low flow trust logic </t>
  </si>
  <si>
    <t>21-Aug: Kept on hold due to prirotiy DCR 14118970(DTR implementtaion).
05-Aug: Evalaution is in progress.
02-Aug: Initial analysis to be started.</t>
  </si>
  <si>
    <t>Need fix for the issues found in AftLampDrvOutIntf component</t>
  </si>
  <si>
    <t>30-Aug: Dcr is submitted in Integrity.
29-Aug: L2 review is completed for Evalaution and interface sheet. Awaiting confirmation from John for AECD and RRB passed tag from Yogesh.
28-Aug: Receieved L2 feedback and working on it to be sent for verification today. To be discussed with Dhanraj, Lavanya on rejection for DCR#13868570.
27-Aug,26-Aug: To be sent reminder mail to Dhanraj for L2 feedback. To be discussed with Lavanya and Anushka for the rejection part for DCR#13868570.
23-Aug: Awaiting L2 feedback from Dhanraj.
22-Aug,19-Aug: Awaiting L2 feedback from Dhanraj for Evalaution and Interface sheet.
16-Aug: CCB review is completed. Verification is in progress. To be sent for L2 review today.
14-Aug: Peer review is completed. CCB review is also completed and working on review comments.To be planned for L2 review tomorrow.
13-Aug: Peer review comments are fixed to be verified with Ankit. CCB is scheduled today.
12-Aug: Peer review is completed and working on review comments. To be planned for CCB tomorrow.
09-Aug: Peer review is in progress. Working on review comments.
08-Aug: Evalaution is completed. PPT updation is in progress. Peer review to be planned.
07-Aug,06-Aug,05-Aug: Evalaution is in progress.
02-Aug: Initial analysis is in progress.</t>
  </si>
  <si>
    <t>2024 Aug - CES PFS : 14503516</t>
  </si>
  <si>
    <t>Need fix for the issues found in AftDiesOxidCatDtrDiag component</t>
  </si>
  <si>
    <t xml:space="preserve">
16-09 : Deferred for priorirty DCR_13358711
05 Sep : Evalutaion to be started today
02 Sep : planned to start on 14 Oct</t>
  </si>
  <si>
    <t>Effort tracking on DCR13148021</t>
  </si>
  <si>
    <t>CSAR Sync - Up: Regen Inhibit Switch Reset After Key-off/on</t>
  </si>
  <si>
    <t>CSAR Sync - Up: Add De-bounce timer before setting INHIBIT_SWITCH_TIMED_REGEN_ERR</t>
  </si>
  <si>
    <t>CSAR Sync - Up: Add the switch to enable the setting  INHIBIT_SWITCH_TIMED_REGEN_ERR can choose the previous logic</t>
  </si>
  <si>
    <t>CSAR Sync - Up: OEM1 - Updated PATM Triggering for Soot Based Cleaning</t>
  </si>
  <si>
    <t>18-Sep: DCR is submitted in Integrity.
04-Sep: Tracking effort on DCR12541182.
 03-Sep: Awaiting L2 feedback from Yue .
26-08 : Requirements are cleard, workign on Interface sheet
23-08 : Analysis to be started</t>
  </si>
  <si>
    <t>Evaluate Protection based regen logic in AftSootBasedRegenTrigProc component</t>
  </si>
  <si>
    <t>18-Sep: DCR is submitted in Integrity.
16-Sep: Awaiting L2 feedback from Yue.
13-Sep,12-Sep: CCB review is compleetd. Sent for L2 review to Yue.
11-Sep: CCB is in continiouson for Interface sheet and Evalaution.
10-Sep: Received CCB review comments, connect with Swapnil and to be discussed with Ashitosh on this.
09-Sep: CCB reviewer not availbale hence reschedule to today.
06-Sep: Peer review is completed, working on review comments. CCB is planned today.
05-Sep: Peer review is in progress.
04-Sep: Received confirmation from Swapnil and peer review planned today.
03-Sep: As advised by Swapnil working on updated logic on 13208634
26-08 : To be discuss with Dhanraj
23-08 : Analysis to be started</t>
  </si>
  <si>
    <t>ISMs need to be implement for AftDiesPartFiltEffDiag component</t>
  </si>
  <si>
    <t>23-08 : Analysis to be started</t>
  </si>
  <si>
    <t>2024 Apr - CES PFS : 13371112</t>
  </si>
  <si>
    <t>AftDiesOxidCatPresDiag: CSAR SYNC-UP: PFS: MY24 OBD OEM Requested General Strategies: Implement Rapid Response in alternative pass/fail counter strategy</t>
  </si>
  <si>
    <t>18 Sep : Peer review is done, comment verfication to be done
16-09 : Peer review is planned today
13 Sep : peer review tomplanned on 16 Sep</t>
  </si>
  <si>
    <t>CSAR - Documentation for AftDiesPartFiltOutPrRatDiag component</t>
  </si>
  <si>
    <t>ISMs need to be implement for AftDiesOxidCatInlTmptrDiag component</t>
  </si>
  <si>
    <t>02-09 : To be rejected</t>
  </si>
  <si>
    <t>ISMs need to be implement for  AftLampDrvOutIntf component</t>
  </si>
  <si>
    <t>eHTR Power usage during regeneration - power splitting between locations</t>
  </si>
  <si>
    <t xml:space="preserve">SRS will be updated during implementation by Nileema's team </t>
  </si>
  <si>
    <t>18-09 : L2 feedback has been received, will be sent for authoring today
16-09 : Awaiitng L2 review since 29th Aug
23-Aug :Peer review - Done
26-Aug : CCB in progress                                               03 Sep : Eval is done , Intefacr &amp; SRS sent for L2 review</t>
  </si>
  <si>
    <t>CSAR SyncUp :- DTR replacement for AftDOCPIDFdbkUsedUpDiag</t>
  </si>
  <si>
    <t>03 Sep : Working on code complilation error, Peer review planned on 04 Sep</t>
  </si>
  <si>
    <t>VnV and Documentation for CSAR migrated component - ATS - ATM Extension - PFS CES AECD (AftPFSAecdIntfProc)</t>
  </si>
  <si>
    <t>09-Sep: SRS query resolved by Ashitosh and Tracebility creation to be started.
06-Sep: To be discussed with Dhanraj for SRS query resolution.
05-Sep: To be worked on SRS.
02-Sep: App Guide updation is in progress. Kept on hold due to prirority work.
30-Aug: App Guide creation to be started.</t>
  </si>
  <si>
    <t>Need fix for the issues found in AftDiesOxidCatPresDiag component</t>
  </si>
  <si>
    <t>Legend Gold VECU/PACCAR: SPN 523386 interface (CES)</t>
  </si>
  <si>
    <t>7/15/2024 Check in Required.</t>
  </si>
  <si>
    <t>18-Sep: As advised by Duygu to be discussed with Dhanraj for IDFMEA logic confirmation today.
16-Sep:  To be scheduled a meeting with Duyju to get the clarification on IDFME, new additional logic. CCB review is on hold. IDFMEA scope increased to be revised estimation.
13-Sep: CCB is planned today for Eval,Interface sheet and SRS.
12-Sep: CCB review is on hold due to ISM changes(DCR raised -14744133). To be planned for CCB tomorrow.
11-Sep: Peer review is completed, working review comments. CCB is planned today.
10-Sep:Interface sheet updation is completed. Peer review is planned for today.
09-Sep: Evalaution is completed. Interface sheet updation is in progress.
06-Sep: Evalaution is in progress.
05-Sep: Received input from Dhanraj and Evalaution to be started.
04-Sep: As advised by Dhanraj to be discussed with Chaitanya on component logic(CSAR Implementation).
03-Sep: Discussed with Devna and Chaitanya and got the clarification for requirements. Awaiting confirmation from Todd and Dhanraj for implimentation component details.
02-Sep: Meeting to be rescheduled with all due to US holiday.
30-Aug: As advised by Chaitanya to be scheduled a call with Devna, Chaitanya and Dhanraj, Ashitosh for scope clarification.
29-Aug: As advised by Todd Analysis is completed. Meeting is scheduled today to explaing the out put.
28-Aug: PPT updation is completed based on the input to be verified with Ashitosh and Prasad. To be discussed with Todd for the analysis output.
27-Aug: Discussed with Ashitosh and working on the input to update PPT.
26-AUg: To be discussed with Ashitosh and to be updated PPT and share with Todd.
23-Aug: As advised by Chaitanya and Dhanraj to  be prepared PPT and to be reviewed with Todd.
22-Aug: Call to be scheduled with Chaitanya and Dhnaraj.
19-Aug,16-Aug: To be analyzed on mode arbitration sub system check in offhighway and to be dicussed with Rohit F.
05-Aug: Kept on hold due to other prirority.
02-Aug,01-Aug,31-July: To be discussed with Todd and Dhanraj for new logic clairifcation. 
30-July,29-July: Awaiting input from Dhanraj to impiment new logc in component. Time lilne to be confirmed by Haridas.
26-July: Evalaution analysis is in progress.
25-July,23-July:  Initial analysis is in progress.</t>
  </si>
  <si>
    <t>Inhibit non-mission regenerations from being triggered when soot load is less than the start of regen</t>
  </si>
  <si>
    <t>7/31/2024 Check in Required.</t>
  </si>
  <si>
    <t>18-09 : Eval in progress16-09 : On hold for DDP priority DCRs
09-09 : Evaluation in progress
29-Aug,28- Aug: Working on DDP wotk. Kept on hold.
27-Aug: To be started intial analysis.
26-Aug: Yet to start.</t>
  </si>
  <si>
    <t>MCDC Coverage improvements for AftDiesOxidCatRvrsDiag component</t>
  </si>
  <si>
    <t>Implement EDL and Implement DTR blocks - AftDiesOxidCatOutTmptrDiag diagnostics</t>
  </si>
  <si>
    <t>03 Sep : Requrement analysis</t>
  </si>
  <si>
    <t>Need fix for the issues found in AftDualHtrCtrl component</t>
  </si>
  <si>
    <t xml:space="preserve">16-09 : Working on peer review comments
13 Sep : Peer review is in progress &amp; working on fixing the peer comments
11 Sep : Peer reciew to be planned on 12 Sep 
10 Sep : Eval ppt is done, Review to be planned on 11 Sep
30-08 : evaluation is in progress                                     03 Sep : To update the eval ppt </t>
  </si>
  <si>
    <t>Test vectors update is needed for AftDiesOxidCatInlTmptrDiag component to improve coverage</t>
  </si>
  <si>
    <t>10-09 : May Need to reject, No Scope for SIL coverage improvement in the component
02-09 : to be check for MCDC coverage</t>
  </si>
  <si>
    <t>Need to update aapguide from AftSwtIntf component</t>
  </si>
  <si>
    <t xml:space="preserve">DOC_IN_DeltaT: The CSAR translated System Errors still has some Core2 parameters </t>
  </si>
  <si>
    <t>Taken care underDCR_14329073</t>
  </si>
  <si>
    <t xml:space="preserve">DOC_Out_DeltaT: The CSAR translated System Errors still has some Core2 parameters </t>
  </si>
  <si>
    <t>18-09 : DCR rejected
16-09 : This DCR needs to be rejected</t>
  </si>
  <si>
    <t>DPF_Out_DeltaT: The CSAR translated System Errors still has some Core2 parameters</t>
  </si>
  <si>
    <t>10 Sep : Review is still in progress
27 Aug : SRS document update, eval peer review 03 Sep : Peer review planned for 04 Sep</t>
  </si>
  <si>
    <t>DeltaT harnesses have a Data Type error while Simulating in the Test Manager</t>
  </si>
  <si>
    <t>Std_Return_Type is an AUTOSAR standard datatype that is provided out from base software layer. Please consult with other taeam using this interface and return and how they have implemented the logic and adapt your logic accordingly.Assign CR back to tr112</t>
  </si>
  <si>
    <t>12-Sep: CCB review is completed, working on review comments. Kept on hold due to DTR prirority work.
11-Sep: CCB is in continious for Evalaution and Interfac sheet.
09-Sep: CCB is planned today for Evalaution. 
06-Sep: Peer review is completed. CCB to be planned after getting confirmation from Component owner for DCR 14329073
05-Sep: Peer review is completed. Working on Peer review comments. CCB to be planned tomorrow.
04-Sep:  PPT updation is completed. Peer review is planned for today.
03-Sep: Interfcae sheet updation is completed for DCR14329073. SRS is in progres. Interface sheet updation is not required for 13718960. PPT updation is in progress. To be planned for Peer review tomorrow.
02-Sep: Initial analysis is compleetd for 14329073. SRS and Interface sheet to be updated and PPT updation is in progress. To be ger clarification fior DCR 13718960.
30-Aug: Initial analysis is progress.</t>
  </si>
  <si>
    <t>Implement Capability Parameters and Implement DTR blocks - Tri EGTS FMI Based diagnostics</t>
  </si>
  <si>
    <t xml:space="preserve">05 Sep : Internal review in progress for migration and V&amp;V review in proggress. Regression and Accel to be completed. 
20 Aug : Evaluation Completed
27 Aug : VnV in progress
28 Aug : MIL completed
29 Aug : SIL in progress                                                  02 Sep : SIL rework in progress                                    
</t>
  </si>
  <si>
    <t>DCR to Implement DeltaP and OutP Parameters in CSAR to collect capability and IUPR data</t>
  </si>
  <si>
    <t>Service test for eHeater replacement.</t>
  </si>
  <si>
    <t>18 Sep : this dcr to be rejected, need confirmation from TOD
05 Sep : dummy model in progress
03 Sep : Eval in progress (New componenet)
28 Aug : Eval in progress</t>
  </si>
  <si>
    <t>Dual Htr Controller CSAR Only: Issue with AftDualHtrCtrl</t>
  </si>
  <si>
    <t xml:space="preserve">13 Sep : this dcr needs to be rejected, Confirmed by Monali
10 Sep : Eval ppt is done, Review to be planned 11 Sep
06 Sep : PPt to be reviewed today
30-08 : evaluation is in progress                                     03 Sep : To update the eval ppt </t>
  </si>
  <si>
    <t>Implement Capability Parameters - dmInhSwtTimeRegenErr diagnostics</t>
  </si>
  <si>
    <t>10-Sep: DCR is rejected.
09-Sep: Received input from Encodia to reject the DCR today.
05-Sep,04-Sep,03-Sep,02-Sep,30-Aug: As confirmed by Dhanraj he will confirm after getting input from Encodia.
29-Aug: Awaiting confirmation from Dhanraj and Encodia(3 steps owner) for the the rejection.
28-Aug: Analysis PPt shared with Dhanraj for the rejection.</t>
  </si>
  <si>
    <t>Update the Tuning Guide for CSAR Programs for DeltaP and OutP Diagnostics</t>
  </si>
  <si>
    <t>Need to Implement 'DEFRegenHistory' Feature in CSAR.</t>
  </si>
  <si>
    <t>The capability data is present in R connect (IsmAftDiesPartFiltDltPrRatDiagHiLog)  but no data is not coming up in the GUI.</t>
  </si>
  <si>
    <t xml:space="preserve">02-Sep:Rejected the DCR
30-Aug: As discussed with Encodia to be rejected 14114528 </t>
  </si>
  <si>
    <t>27 Aug : Understading the requirement</t>
  </si>
  <si>
    <t xml:space="preserve">13-Sep: Follow up is in progress with Ncodia to access the artifacts attached in the DCR and Rconnect tool teams POC required to undertsand requirement scope.
02-Sep: Awaiting artifact from Ncodia. </t>
  </si>
  <si>
    <t>IPD specific Heater controls changes since last CES handoff</t>
  </si>
  <si>
    <t xml:space="preserve">16-09 : Working on peer review comments
13 Sep : Peer review is in progress &amp; working on fixing the peer comments10 Sep : Eval ppt is done, Review to be planned on 11 Sep
06 Sep : PPt to be reviewed today
30-08 : evaluation is in progress                                     03 Sep : To update the eval ppt </t>
  </si>
  <si>
    <t>SW change related component AftDualHtrCtrl - (D phase work)</t>
  </si>
  <si>
    <t xml:space="preserve">16-09 : Working on peer review comments
13 Sep : Peer review is in progress &amp; working on fixing the peer comments
10 Sep : Eval ppt is done, Review to be planned on 11 Sep
06 Sep : PPt to be reviewed today
30-08 : evaluation is in progress                                     03 Sep : To update the eval ppt </t>
  </si>
  <si>
    <t>SW change related component AftDualHtrCtrlIPDExt (D phase work)</t>
  </si>
  <si>
    <t>17-09 : CCB review is planned today
16-09 : Peer review is completed. working on Peer review comments
13 Sep : Peer review is planned for today
05-09 : Plan for Peer review on 11 sept
Evalaution PPT in progress - 09-06
Interface sheet - 09-06
SRS - 09-06
30-08 : evaluation is in progress. Model changes is completed. Interface sheet is in progress</t>
  </si>
  <si>
    <t>VCOND creation for AftRegenCtrl component</t>
  </si>
  <si>
    <t>FIM interface update required in AftDiesOxidCatInlDltTmptrDiag</t>
  </si>
  <si>
    <t>16-09 : Deferred for priorirty DCR_XX (DCR to be raised for AftHCDosCmd component (Parent DCR_14395198))
12-Sep: CCB review is completed, working on review comments. Kpet on hold due to DTR prirority work.
11-Sep: CCB is in Continious for Evala and Interface sheet.
09-Sep: CCB planned for SRS, EValaution, Interface sheet today.
06-Sep,05-Sep: Peer review is completed, working on peer review comments. To be discused with Chaitali and to be planned CCB review tomorrow.
04-Sep: SRS is completed for one proposal. PPT updation is completed. To be discussed with Chaitali for other prorposal.
03-Sep: Interfcae sheet updation is completed for DCR14329073. SRS is in progres. Interface sheet updation is not required for 13718960. PPT updation is in progress. To be planned for Peer review tomorrow.
02-Sep: Initial analysis is compleetd for 14329073. SRS and Interface sheet to be updated and PPT updation is in progress. To be ger clarification fior DCR 13718960.
30-Aug: Initial analysis is progress.</t>
  </si>
  <si>
    <t>FIM interface update required in AftDiesOxidCatInlTmptrDiag</t>
  </si>
  <si>
    <t>16-09 : Deferred for priorirty DCR_14428693
13-Sep: Evalaution is completd. Interface sheet and SRS updation is in progress. To be worked on PPT updation.
12-Sep,11-Sep: Analysis is in progress.</t>
  </si>
  <si>
    <t>CSAR Sync - up: Missing requirements in Phase 35 Oxidation Catalyst Manager</t>
  </si>
  <si>
    <t>Branched from Br35</t>
  </si>
  <si>
    <t xml:space="preserve">
16-09 : Deferred for priorirty DCR_14395198</t>
  </si>
  <si>
    <t>CSAR Sync - up: Add a Fault Criteria when DPF CE(FC3168) set</t>
  </si>
  <si>
    <t>16-09 : Deferred for priorirty DCR_14620690
23-08 : Analysis to be started</t>
  </si>
  <si>
    <t>CSAR Sync - up: Additional NMHCeff Thresholds for Face Pluggging</t>
  </si>
  <si>
    <t xml:space="preserve">
16-09 : Deferred for priorirty DCR_1335871105 Sep : Evalutaion to be started today
02 to 04 sep : worked on other priority dcr
02 Sep : planned to start on 14 Oct</t>
  </si>
  <si>
    <t>eHTR High temperature monitoring</t>
  </si>
  <si>
    <t>03 Sep : Mostt probably would be moved to next quarter</t>
  </si>
  <si>
    <t>eHTR High temperature monitoring - Service interfacing</t>
  </si>
  <si>
    <t>HC diagnostics - Critical Parameters/ troubleshooting Parameters CSAR</t>
  </si>
  <si>
    <t>18-09 : Plan for Peer+ccb on 20th Sep
13-09 : working on ISM Proposal and DTR, EDL and MMDL. Plan to complete the HC dosing component by monday 1st half
12-09 : Received inputs from Dhanraj, as per communication, ISM to be implemented for 4 components and capability parametrs 
11-09, 10-09 : Working on PPT. To be discuss with Dhanraj for additional requirements
09-09 : Evaluation in progress
29-Aug,28- Aug: Working on DDP wotk. Kept on hold.
27-Aug: Initial analysis is in progress. To be discussed with Dhanrja to get the clarification.
26-Aug: Yet to start.</t>
  </si>
  <si>
    <t>LOT DSFOV Diag improvement</t>
  </si>
  <si>
    <t xml:space="preserve">13-09, 12-09, 11-09: Evalaution in progress
09-09 : Initial analysis in progress
</t>
  </si>
  <si>
    <t>FIM interface update required in AftDiesPartFiltOutTmptrDiag</t>
  </si>
  <si>
    <t>16-09 : Deferred for priorirty DCR_XX (DCR to be raised for AftHCDFMDiag component (Parent DCR_14395198))</t>
  </si>
  <si>
    <t>FIM interface update required in AftDiesPartFiltOutDltTmptrDiag</t>
  </si>
  <si>
    <t>FIM interface update required in AftDiesPartFiltOverTmptrDiag</t>
  </si>
  <si>
    <t>16-09 : Deferred for priorirty DCR_XX (DCR to be raised for AftHCDosCmd component (Parent DCR_14395198))
10 Sep : Diagstat us not available</t>
  </si>
  <si>
    <t>FIM interface update required in AftDiesOxidCatOutDltTmptrDiag</t>
  </si>
  <si>
    <t>18-09 : Peer review to be done today
16-09 : Evaluation review is plan for wednesday
13 Sep : Interface sheet completed, SRS &amp; ppt to be updated today</t>
  </si>
  <si>
    <t>FIM interface update required in AftDiesOxidCatOverTmptrDiag</t>
  </si>
  <si>
    <t>FIM interface update required in AftDiesOxidCatRvrsDiag</t>
  </si>
  <si>
    <t xml:space="preserve">
16-09 : Deferred for priorirty DCR_XX (DCR to be raised for AftHCDosCompnUsedUpDiag component (Parent DCR_14395198))</t>
  </si>
  <si>
    <t>FIM interface update required in AftDiesPartFiltDltPrRatDiag</t>
  </si>
  <si>
    <t>18-Sep: Working on peer review comment- Propsed model changes to be updated before proceeding with peer review. To be planned remaning peer review tomorrow.
16-Sep: Due to reviewer not available to be planned peer review today.
13-Sep: PPT updation is in progress.Peer review is planned for Eval,Interface sheet and SRS.
11-Sep,10-Sep,02-Sep: Evalaution is in progress</t>
  </si>
  <si>
    <t>FIM interface update required in AftDPFDltPrKeyOnOffRatDiag</t>
  </si>
  <si>
    <t>16-09 : Deferred for priorirty DCR_14655991</t>
  </si>
  <si>
    <t>FIM interface update required in AftDiesPartFiltOutPrKeyOnOffRatDiag</t>
  </si>
  <si>
    <t>18-Sep: Analysis to be started.
Note: DCR: 13751560 &amp; DCR_14026935 are part of same component hence considering effor for these DCR in this DCR.</t>
  </si>
  <si>
    <t>FIM interface update required in AftDiesPartFiltInComplRegenDiag</t>
  </si>
  <si>
    <t>18-Sep: To be worked on SRS.
16-Sep,13-Sep: Received confirmation from Ajay and Alex. Kept on hold due to other prirority DCR work.
12-Sep: Evalaution is in progress. Awaiting confirmation from Ajay.
11-Sep: Analysis is shared with Dhanraj and awaiting confirmation from Lavanya.
10-Sep: As advised by Lavanaya working on analysis part.
09-Sep: Awaiting input from Shrutika, working on RRB review comments.
06-Sep: Updated Interfacesheet. Awaiting confirmation from Shrutika.
27-Aug,26-Aug: Incomplete regen diag SRS is in open state once it is completed then will work on SRS publition. Kpet on hold.
23-Aug: SRS to be published in Integrity today. PPT updation is completed. 
22-Aug: Interface sheet updation is completed. PPT updation and SRS updation is in progress.
21-Aug: Evalaution is completed. Working on Interface sheet.
20-Aug: Estimation details to be shared and Evalaution analysis is in progress.
19-Aug: Evalaution analysis is in progress.</t>
  </si>
  <si>
    <t>FIM interface update required in AftHCDosCompnUsedUpDiag</t>
  </si>
  <si>
    <t>18-Sep: CCB is in progress, working on review comments.
16-Sep: Peer review is completed and review comments to be verifed with reviewer. CCB is planned today.
13-Sep: Received input from Ajay and Alex. Peer review is in progress, working on review comments.CCB to be planned tomorrow.
12-Sep: Evalaution is in progress. Awaiting confirmation from Ajay.
11-Sep: Shared analysis with Dhanraj and awaiting confirmation from Lavanya to proceed furhter.
10-Sep: As advised by Lavanya working on analysis and will share the ouput to Dhanraj.
09-Sep,06-Sep: Awaiting input from Dhanraj.
05-Sep: Shared the implimentation result with Dhanraj and waiting for the confirmation.
04-Sep: Working on Dhanraj's input on checking with provider component. To be sent a mail to Dhanraj after updating the logic.
03-Sep: CCB review is in progress.
02-Sep: CCB review was not scheduled due to reviewer not available on Friday. CCB is planned today. DCR#14692695 raised for SRS, App Guide and IDFMEA to create.
30-Aug: Peer review is completed. Working on review comments fix. CCB is planned today.
29-Aug: Peer review is in progress, Working on review comments.
28-Aug: Interface sheet is completed and PPT updation is completed. Peer  is planned for today.
27-Aug: Evalaution is completed. Interface sheet updation is completed.
26-Aug: Initial analysis is in progress.</t>
  </si>
  <si>
    <t>Short Regen Strategy Missing Separate Target Temperature- AftDiesPartFiltOpModeDet</t>
  </si>
  <si>
    <t>18-Sep: Kept on hold due to prirority analysis for DCR#12748925.
16-Sep,13-Sep: Scope analysis with Swapnil is in progress. As advised by Swapnil working on Regen trigger state analysis.
Assigned to Ashitosh to be analysed and update estimation.</t>
  </si>
  <si>
    <t>CSAR SyncUp :- DTR replacement for AftPartMatSenCRegenDiag.</t>
  </si>
  <si>
    <t>18-Sep: DCR is submitted in Integrity.
13-Sep: Received L2 feedback and fixed and L2 review is completed. DCR to be submitted in Integrity.
12-Sep: Awaiitng L2 feedback from Yue
11-Sep: Peer+CCB is completed for Evalaution and L2 sent to Yue.
10-Sep: Peer+CCB is planned today for Evalaution, Interface sheet, SRS.
09-Sep: PPT updation and SRS to be started.
02-Sep: Interface sheet updation is completed. Kept on hold due to other priority work.
30-Aug: Interface sheet is in progress.</t>
  </si>
  <si>
    <t>CSAR SyncUp :- DTR replacement for AftPartMatSenCFiltEffDiag</t>
  </si>
  <si>
    <t>09-Sep: Code compilation is in progress. Facing issue and taking IT support help.
06-09: Model updation is in progress.
05-09 : Implemenetation in progress
03-Sep: Awaiting ARXML from Madhupriya from 2nd sept.</t>
  </si>
  <si>
    <t>CSAR SyncUp :- DTR replacement for AftDiesPartFiltInComplRegenDiag</t>
  </si>
  <si>
    <t>09-Sep: Awaiting ARXML, to be folowed up with Madhuproya. To be assigned to other team member.
06-Sep,03-Sep: Awaiting ARXML from Madhupriya from 4th sept.</t>
  </si>
  <si>
    <t>CSAR SyncUp :- DTR replacement for AftDPFMissDiag</t>
  </si>
  <si>
    <t>27-Aug: RRB review is completed. DCR is submitted in Integrity.
26-Aug: L2 review is completed. Awaiting RRB review from Yogesh.
23-Aug: Awaiting L2 feedback from Yue.
22-Aug: Awaiting L2 feedback from Yue for Evala anf Interface sheet.
21-Aug: CCB review is completed. Sent for L2 review Evalaution and Interface sheet to Yue.
20-Aug: Peer review is completed. CCB is planned today.
14-Aug: Peer review is planned for today as reviewer were not availanle.
13-Aug: Interface sheet and SRS updation is completed. Peer review is planned today.
12-Aug: Interface sheet and SRS updation to be staretd. To be discussed with Ashish for DTR receiver port creation. To be planned Internal review tomorrow.
09-Aug: Initial analysis is in progress.</t>
  </si>
  <si>
    <t>CSAR SyncUp :- DTR replacement for AftPartMatSenCRatDiag</t>
  </si>
  <si>
    <t>04-09 : Migration in progress
30-08 : Awaiitng ARXML</t>
  </si>
  <si>
    <t>CSAR SyncUp :- DTR replacement for AftPartMatSenCRemvlDiag</t>
  </si>
  <si>
    <t>30-08 : Awaiitng L2 verification</t>
  </si>
  <si>
    <t>HC Doser Diagnostic frequency increase request</t>
  </si>
  <si>
    <t>18 -09 : CCB to be planned on 19 Sep 
16-09 : Peer review is planned today
13 Sep : peer review is done, peer review (Interface sheetis planned for today12 Sep : Peer review is planned todayplanned on 11 Sep
10 Sep : SRS changes completed, Peer review to be planned on 11 Sep
05-09 : Interface sheet, Eval ppt and SRS - Plan to complete the artefacts by 06-09 and go for review for peer on 09th sept
03 Sep : Interface sheet to migrated</t>
  </si>
  <si>
    <t>Stay Warm logic missing in AftOpModePrmt and wrong logic in AftRegenCtrl</t>
  </si>
  <si>
    <t>Effort  tracking on DCR14433414
13-Sep: Evalaution is completed by Swapnil. To be worked on Interface sheet update. Kept on hold due to other AFT reger control DCR priorirty work.</t>
  </si>
  <si>
    <t>Ineffective dosing time being reset by oper mode permit (regen ID)</t>
  </si>
  <si>
    <t>18-Sep: Scope is cleared and impacted components are 20 hence discussion is in progress with Swapnil, Nileema and Ninad for DCR#12878180.
16-Sep,13-Sep: Scope clarification with Swapnil for DCR12878180 is in progress.
12-Sep: DCR12878180 regression testing issue DCR discussion with Swapnil is in progress.
02-Sep: PPT updation is in progress. To be worked on SRS and Interface sheet updation. Kept on hold due to DTR prirority work.
30-Aug,28-Aug: Evalaution is completed for 2 DCRs and other s are in progress. PPT updation is in progress.
27-Aug: Evlaution is in progress.
26-Aug: Evalaution is in progress. On hold
23-Aug,22-Aug,21-Aug: Initial analysis is In progress.
09-Aug: Kept on hold due to DTR prirority DCR.
08-Aug: Initial analysis is in progress.</t>
  </si>
  <si>
    <t>Implement EDL and Implement DTR blocks - AftDiesOxidCatInlTmptrDiag diagnostics</t>
  </si>
  <si>
    <t>CSAR FTIS component creation - AFT Particulate Filter Regeneration (Batch 2)</t>
  </si>
  <si>
    <t>18-Sep: Discussed with Swapnil and received input to be worked on Swapnil's feedback. Discussion is in progres with Prasanta on TIS mapping.
13-Sep: As advised by Swapnil working on the input to be scheduled a call with Swapnil to get scope confirmation.
12-Sep: Awaiting confirmation on Component owner.
11-Sep: Swaonil was not available, to be reschedule the call to today.
10-Sep: To be verified for component owner for this.
09-Sep: As advised by Dhanraj to be analyzed othe FT component and migrarate accordingly.
06-Sep: Model preparation is in progress.
05-Sep: Model preparation to be started.
04-Sep: Receievd input from Dhanraj yesetrday about 4 parameters. To be worked on Evalaution.
03-Sep: Evalaution is in progress except 4 parameter and discussion is progress for the understanding of that remaining parameter. To be discussed with Dhanraj in the evening. 
02-Sep: Evalaution is in progress.
30-Aug: Analysis is in progress.
29-Aug: To be discussed with Madhupriya and awaiting confirmation from Prasanta and Dhanraj.
28-Aug: Discussed with Sushma and analysis is in progress fir provided PPT. To be dcisused with Prasanta to get the PFS CES FTiS migrated list.
27-Aug: As advised by Dhanraj GTP1 comppnent TIS S/W parameter logic to be verified.
26-Aug,22-Aug: Analysis is in progress.
21-Aug: To be discussed with Ashish H, Aishwarya and Atul for the requirement clarifictaion, Analysis is in progress.
20-Aug: Initial analysis is in progress.</t>
  </si>
  <si>
    <t>CSAR SyncUp :- DTR replacement for AftDiesOxidCatInsufXthmDiag</t>
  </si>
  <si>
    <t>26-Aug: L2 review is completed. DCR is submitted in Integrity.
22-Aug,21-Aug,20-Aug: Awaiting L2 feedback from Dhanraj.
16-Aug: CCB review is completed. review comments are fixed and to be verified with reviewer. To be sent for L2 review to Dhanraj.
14-Aug: Peer review is completed and review comments are fixed. To be verified with Atul and CCB is planned for today.
13-Aug: Interface sheet updation is completed. SRS updation is completed. Peer review is planned today.
12-Aug: To be discussed with Ashish and proceed further after getting error details.
09-Aug: Initial analysis is in progress.</t>
  </si>
  <si>
    <t>CSAR SyncUp :- DTR replacement for AftDiesOxidCatNonMthnHCEffDiag</t>
  </si>
  <si>
    <t>CSAR SyncUp :- DTR replacement for AftDiesOxidCatPresDiag</t>
  </si>
  <si>
    <t>09 Sep : L2 feedback to dicussed today with Dhanraj
05-09 : Peer + ccb review is planned today</t>
  </si>
  <si>
    <t>Dual eHTR (4 coils) - Functional diagnostics</t>
  </si>
  <si>
    <t>22-08 : Evalaution completed</t>
  </si>
  <si>
    <t>SCR eHTR virtual inlet temperature</t>
  </si>
  <si>
    <t>16-09 : Interface sheet update in progress. SRS review in progress
13-09, 12-09 : SRS review is planned tomorrow.
11-09 : SRS to be completed today. Inetrface sheet update is on hold.
10-09 : DRB concept is completed, SRS and Interface sheet in progress
09-09 : 0n hold
09-09, 06-09, 05-09 : Internal review is planned today
04-09 : Interface analysis analysis is in progress. Plan for Peer+ccb tomorrow
03-09 : PPT update in progerss. Plan for Peer+ccb review on 5th Sept
02-09 : working on evalution. plan for Peer+ccb review on 4th Sep. 
29-08 : Discussion is planned with all required stake holder today.
28-08 : Discussion done with Alex. As per discussion with Alex, we will not get inputs. Discussion to be plan with All required stake holder by today and tomorrow
26-08 : Discussion to be done with Alex and other stake holders
23-08 : Evaluation is in progerss</t>
  </si>
  <si>
    <t>eHTR to have separate target temperatures for deSOx events per location</t>
  </si>
  <si>
    <t>18-09 : DRB concept is planned today
13-09 : CCB review is completed and sent for L2 review yesterday
12-09 : CCB is in progress for SRS
11-09, 10-09 : CCB is planned today
09-09 : Peer review is completed. Plan for CCB review today
06-09 : peer review is in progress. 
05-09, 04-09 : Plan for Peer review today
03-09 : Schedule a call with Chad, Todd and Alex
28-08 : Received confirmation from chad. We are proceeding with rest of eval artefacts.
23-08 : Evalaution in progress. Plan for Peer on 29th Sep</t>
  </si>
  <si>
    <t>AutoHCDesorb recognition and targets</t>
  </si>
  <si>
    <t>11-09 : CCB review in progress
10-09 : CCB review is planned today
09-09 : Eval PPT, Interface sheet and SRS internal review is completed. Plan for CCB review today.
05-09, 04-09 : Peer review to be planned today
30-08 : Requirements to be captrured for all Proc 1 and proc 2 components in SRS and interface sheet
23-08 : SRS to be migarted in integrity today. To be continued with V&amp;V from 26th aug. folder path to be shared with Prerana and Iram
22-08 : Working on V&amp;V from Scratch for Proc2 component and planning to complete. SRS &amp; Interface sheet is completed</t>
  </si>
  <si>
    <t xml:space="preserve">SRS creation from scratch and its migration on PTC Integrity for Dual eHTR (4 coils) Processing for OEM </t>
  </si>
  <si>
    <t>28-08 : SRS is completed. Appguide to be started</t>
  </si>
  <si>
    <t>Need fix for the issues found in AftElecHtrProc component</t>
  </si>
  <si>
    <t xml:space="preserve">
18-09 : DRB concept is planned today
13-09 : CCB review is completed and sent for L2 review yesterday
12-09 : CCB is in progress for SRS
11-09, 10-09 : CCB is planned today
10-09 : CCB is planned today
09-09 : Peer review is completed. Plan for CCB review today
06-09 : peer review is in progress. 
05-09, 04-09 : Plan for Peer review today
03-09 : Schedule a call with Chad, Todd and Alex
28-08 : Received confirmation from chad. We are proceeding with rest of eval artefacts.
26-08 : Requirements are cleard, working on presentation
23-08 : Evalaution in progress. Plan for Peer on 29th Sep</t>
  </si>
  <si>
    <t>DOC eHTR virtual inlet temperature</t>
  </si>
  <si>
    <t>13-09 : Interface sheet and SRS is completed, Plan to go for Peer + CCB review
12-09 : 20 calibration is remaining for update in interface sheet
11-09 : Interface sheet in progress, Apart from calibration all Tabs are updated.Plan to complete the interface sheet update by today.
10-09 : DRB is compleetd working on inetrface sheet creation and SRS. Global I/O are completed. working on calibration
09-09 : CCB is completed, wotking on interface sheet
06-09 : Internal review in progerss. 
04-09 : Interface analysis analysis is in progress. Plan for Peer+ccb tomorrow
Yet to start</t>
  </si>
  <si>
    <t>VNV for Dual eHTR (4 coils) - FMI based diagnostic</t>
  </si>
  <si>
    <t>09-09 : Migration checkin completed
06-09 : Design branch needs to merge today for migration
05-09 : Migration is completed, latest artefacts were puhsed in git
04-09 : ISM datatype issue, is the roadblocks
02-09 : Awaiitng L2 review for migration
29-08 : Peer CCB review is in progress
28-08 : Plan for Peer review today with Shubham.
26-08 : Model migration in progress. Plan to complete the simlulated model. 
23-08 : awaiitng ARXML to proceed for Migration</t>
  </si>
  <si>
    <t>Create logic for ShutdownReached and HCUEnableDeter for DOC heater and SCR heater</t>
  </si>
  <si>
    <t>18-09 : DRB concept is planned today
13-09 : CCB review is completed and sent for L2 review yesterday
12-09 : CCB is in progress for SRS
10-09 : CCB is planned today
09-09 : Peer review is completed. Plan for CCB review today
06-09 : peer review is in progress. 
06-09 : As per confirmation, this requirement  will be applicable only for Proc 1 component. 
04-09 : Dont have calrity. Traying to connect with required stake holder
03-09 : Schedule a call with Chad, Todd and Alex
28-08 : Received confirmation from chad. We are proceeding with rest of eval artefacts.
26-08 : To be discuss with Snehal for requirement clarification
23-08 : Evalaution in progress. Plan for Peer on 29th Sep</t>
  </si>
  <si>
    <t>CES CSAR 01.24.09.00</t>
  </si>
  <si>
    <t>Error name change for AftElecHtr2Diag</t>
  </si>
  <si>
    <t>29-08 : DCR closed
23-08 : Check-in completed. DCR to be close in integrity
22-08 : Checkin in progress</t>
  </si>
  <si>
    <t xml:space="preserve">Heater Related Parameters: Create OBD Capability Parameters for Titanium/Legend </t>
  </si>
  <si>
    <t>FIM interface update required in AftDiesOxidCatOutTmptrDiag</t>
  </si>
  <si>
    <t>18-09 : CCB verification is completed. Plan to send it for l2 review today
16-09 : Working on CCB review comments
13-09 : Plan for CCB review today
12-09, 11-09 : Plan for CCB review tomorrow.
10-09 : continuation entry for today
09-09 : Plan for Peer review today.
05-09 : Working on artefacts. Plan for Peer review tomorrow
03-09 : Evaluation in progress</t>
  </si>
  <si>
    <t>AftElecHtrProc2: eHTR to have separate target temperatures for deSOx events per location</t>
  </si>
  <si>
    <t>18-09 : DRB concept is planned today
13-09 : CCB review is completed and sent for L2 review yesterday
12-09 : CCB is in progress for SRS
11-09, 10-09 : CCB is planned today
09-09 : Peer review is completed. Plan for CCB review today
03-09 : Schedule a call with Chad, Todd and Alex
26-08 : SRS and Interface sheet to be updated for this requirment for Proc 1 componet today
22-08 : Evalaution is in progress</t>
  </si>
  <si>
    <t>Implement EDL blocks - AftDiesPartFiltOutTmptrDiag diagnostics</t>
  </si>
  <si>
    <t>CSAR SyncUp :- DTR replacement for AftDiesPartFiltDltPrRatDiag</t>
  </si>
  <si>
    <t>27-Aug: DCR is submitted in Integrity.</t>
  </si>
  <si>
    <t>P Diagram Noise factor Add</t>
  </si>
  <si>
    <t>04-09, 03-09, 28-08 : Checkin completed, DCR to be closed in integrity
26-08, 22-08 : Awaiting L2 review</t>
  </si>
  <si>
    <t>ISMs need to be implement for AftSwtIntf component</t>
  </si>
  <si>
    <t>CSAR - Documentation for AftDiesOxidCatDtrDiag component</t>
  </si>
  <si>
    <t>FIM interface update required in AftPartMatSenCProtTubeMonDiag</t>
  </si>
  <si>
    <t>DCR for Min-Max for CSAR version capability parameters for SCR severe temp errors</t>
  </si>
  <si>
    <t>18 Sep : Eval in progress
13 Sep : Eval in progress
11 Sep : To start on priority</t>
  </si>
  <si>
    <t>Need to create open port for ppAftProcExhDataFromHtr and ppAftProcExhDataFromBankASFM</t>
  </si>
  <si>
    <t>Moved to Q1</t>
  </si>
  <si>
    <t>Need modification in limits for IsmAftDiesPartFiltInComplRegenDiagAccumDMBRate to allow lowering of Soot estimation in DPF Incomplete Regen Diagnsotic</t>
  </si>
  <si>
    <t>Evaluation closed</t>
  </si>
  <si>
    <t>Copy logic for signals ppAftElecHtrSt_deVal , ppAftElecHtrInlTmptr_deStatus, ppAftElecHtrInlTmptr_deVal from AftElechtrProc to AftDualHtrCtrlIPwrD as AftElechtrProc component is getting removed for IPD composition</t>
  </si>
  <si>
    <t>Change AftOpModePrmt to prevent engine braking from not permitting regens (AftOpModePrmt)</t>
  </si>
  <si>
    <t>dmDOCNonMthnHydroCarbnConvEffLoErr - Improvement</t>
  </si>
  <si>
    <t>Abort dmDiesOxidCatNotPresErr when heater is non-functional</t>
  </si>
  <si>
    <t>Change AftOpModePrmt to prevent engine braking from not permitting regens (AftDiesOxidCatPIDFdbkCtrl)</t>
  </si>
  <si>
    <t xml:space="preserve">	
Implement DTR blocks - FMI Based diagnostics</t>
  </si>
  <si>
    <t>FIM interface update required in AftDiesOxidCatNonMthnHCEffDiag</t>
  </si>
  <si>
    <t>SCR heater not responding diagnostic change for temperature sensor 5-8</t>
  </si>
  <si>
    <t>DCR no</t>
  </si>
  <si>
    <t>Action Description</t>
  </si>
  <si>
    <t>Owner</t>
  </si>
  <si>
    <t xml:space="preserve">Date Identified </t>
  </si>
  <si>
    <t>Date closer</t>
  </si>
  <si>
    <t>Eval CCB review challenges</t>
  </si>
  <si>
    <t>Jagadeesh</t>
  </si>
  <si>
    <t>Open</t>
  </si>
  <si>
    <t>Tracebility CCB review challenges</t>
  </si>
  <si>
    <t>Jyoti D</t>
  </si>
  <si>
    <t>SRS CCB review challenges</t>
  </si>
  <si>
    <t>Swapnil's understanding TIS comp rework happening after discussing with Amit</t>
  </si>
  <si>
    <t>Shubham</t>
  </si>
  <si>
    <t>Assigned To</t>
  </si>
  <si>
    <t>DCR Number</t>
  </si>
  <si>
    <t>Core2/ CSAR</t>
  </si>
  <si>
    <t>Total Estimated Hours</t>
  </si>
  <si>
    <t>Actual Work Hours (spent)</t>
  </si>
  <si>
    <t>Remaining Hours</t>
  </si>
  <si>
    <t>Subject</t>
  </si>
  <si>
    <t>Work Type (Change Request , Defect)</t>
  </si>
  <si>
    <t>Evaluation/ Implementation</t>
  </si>
  <si>
    <t>Planned Start Date</t>
  </si>
  <si>
    <t>Planned End Date</t>
  </si>
  <si>
    <t>Actual Start</t>
  </si>
  <si>
    <t>Actual End</t>
  </si>
  <si>
    <t>TEAM</t>
  </si>
  <si>
    <t>CSAR</t>
  </si>
  <si>
    <t>Total PRCRs</t>
  </si>
  <si>
    <t>On Time Deliveries</t>
  </si>
  <si>
    <t>OTD %</t>
  </si>
  <si>
    <t>Zero Defect Deliveries</t>
  </si>
  <si>
    <t>ZDD %</t>
  </si>
  <si>
    <t>Day</t>
  </si>
  <si>
    <t>Prerna</t>
  </si>
  <si>
    <t>Shilpi</t>
  </si>
  <si>
    <t>Siddharth</t>
  </si>
  <si>
    <t>Rama</t>
  </si>
  <si>
    <t>Sanjeev</t>
  </si>
  <si>
    <t>Daily hurdle AI</t>
  </si>
  <si>
    <t>Daily</t>
  </si>
  <si>
    <t>I</t>
  </si>
  <si>
    <t>R</t>
  </si>
  <si>
    <t>Daily ClearQuest query execution</t>
  </si>
  <si>
    <t>Weekly Call MOM</t>
  </si>
  <si>
    <t>Monday</t>
  </si>
  <si>
    <t>EOS Update</t>
  </si>
  <si>
    <t>Tuesday</t>
  </si>
  <si>
    <t>Weekly call initiation</t>
  </si>
  <si>
    <t>C</t>
  </si>
  <si>
    <t>Weekly progress report sending</t>
  </si>
  <si>
    <t>LogBook monitor weekly</t>
  </si>
  <si>
    <t>Wednesday</t>
  </si>
  <si>
    <t>Quality register, Change request register</t>
  </si>
  <si>
    <t xml:space="preserve">RCA check weekly </t>
  </si>
  <si>
    <t>Quality register, owner shall be any of our team member</t>
  </si>
  <si>
    <t>Responsible {you have to do}</t>
  </si>
  <si>
    <t>Accountable</t>
  </si>
  <si>
    <t>With co-ordination of</t>
  </si>
  <si>
    <t>Information</t>
  </si>
  <si>
    <t>Q1-2026</t>
  </si>
  <si>
    <t>DCR No</t>
  </si>
  <si>
    <t>Component Name</t>
  </si>
  <si>
    <t>Diagnostics Name</t>
  </si>
  <si>
    <t>Review Type (MS1-3/MS4-5)</t>
  </si>
  <si>
    <t>Appeared Plan date</t>
  </si>
  <si>
    <t>Actual Completion Date</t>
  </si>
  <si>
    <t>Revised planned dates</t>
  </si>
  <si>
    <t>Bench Type</t>
  </si>
  <si>
    <t>dmAftElecDOCHtrPwrDgrdOECSErr</t>
  </si>
  <si>
    <t>13-03-2026</t>
  </si>
  <si>
    <t>On hold</t>
  </si>
  <si>
    <t>dmAftElecSCRHtr2PwrDgrdOECSErr</t>
  </si>
  <si>
    <t>dmAftElecSCRHtr2PwrDgrdCSERSErr</t>
  </si>
  <si>
    <t>10-04-2026.</t>
  </si>
  <si>
    <t>dmAftElecDOCHtrPwrDgrdCSERSErr</t>
  </si>
  <si>
    <t>dmAftElecHtr2WakeInpOpenCktErr</t>
  </si>
  <si>
    <t>On hold the MS4_5 review until until the HCU side testing is finalized , Received  approval from Shravan, email dated:16/04/2026</t>
  </si>
  <si>
    <t>dmAftElecHtr2Chnl1IRH48VoltErr</t>
  </si>
  <si>
    <t>MS4-5 Pass</t>
  </si>
  <si>
    <t>dmAftElecHtr2Intrp48VoltErr</t>
  </si>
  <si>
    <t>Will be revisit Forum in 2nd week of May,DCR Created for DCR_19515645
in certdoc modify section 1.3 to clarify the window time, also check in dmAftElecHtr1Intrp48VoltErr and make the correction there as well. Shrutika - Code1</t>
  </si>
  <si>
    <t>dmAftElecHtr2Chnl1IRL48VoltErr</t>
  </si>
  <si>
    <t>dmAftElecHtr2HCUIntlHwErr</t>
  </si>
  <si>
    <t>dmAftElecHtr2HCUSuppIntrpErr</t>
  </si>
  <si>
    <t>dmAftElecDOCHtrFETTmptrTooHiErr</t>
  </si>
  <si>
    <t>dmAftElecSCRHtr2FETTmptrTooHiErr</t>
  </si>
  <si>
    <t>dmAftElecDOCHtrPwrFbMismErr</t>
  </si>
  <si>
    <t>Delayed</t>
  </si>
  <si>
    <t xml:space="preserve">Pre-obd Completed, Slot received for May 1st , Due to non availability will be attending on May 8th
</t>
  </si>
  <si>
    <t>dmAftElecSCRHtr2PwrFbMismErr</t>
  </si>
  <si>
    <t>dmAftElecDOCHtrPwrFbStuckOnErr</t>
  </si>
  <si>
    <t>24-04-2026</t>
  </si>
  <si>
    <t>dmAftElecSCRHtr2PwrFbStuckOnErr</t>
  </si>
  <si>
    <t>dmAftElecSCRHtr2NotRespErr</t>
  </si>
  <si>
    <t>Testing in progress</t>
  </si>
  <si>
    <t>dmAftElecDOCHtrNotRespErr</t>
  </si>
  <si>
    <t xml:space="preserve"> Completed</t>
  </si>
  <si>
    <t>dmAftElecSCRHtr2FETTmptrPlausErr</t>
  </si>
  <si>
    <t>will be planned in Q3</t>
  </si>
  <si>
    <t>dmAftElecDOCHtrFETTmptrPlausErr</t>
  </si>
  <si>
    <t>dmAftElecHtr2Outp1DrvIntlErr</t>
  </si>
  <si>
    <t>dmAftElecHtr2Outp2DrvIntlErr</t>
  </si>
  <si>
    <t>dmAftElecHtr2HCURetOpenCktErr</t>
  </si>
  <si>
    <t>ECM - Testing</t>
  </si>
  <si>
    <t>Titanium</t>
  </si>
  <si>
    <t>27-02-2026</t>
  </si>
  <si>
    <t>27-03-2026</t>
  </si>
  <si>
    <t>Chagnes required in SA--IPD component for dual heater service test.</t>
  </si>
  <si>
    <t>20-03-2026</t>
  </si>
  <si>
    <t>MS4-5: New Intrusive Concept For DOC Heater Power Degraded Diagnostic: SA IPD</t>
  </si>
  <si>
    <t>20-03-2026 Not Possible due to dependency</t>
  </si>
  <si>
    <t>dmHCDosFuelRstrcErr: Complete CSAR OBD MS4-5 review ( HC Dosing)</t>
  </si>
  <si>
    <t>dmHydroCarbnDosCompnUsedUpErr:Complete CSAR OBD MS4-5 review</t>
  </si>
  <si>
    <t>PFS- MS1-3 Revisit for DTR implementation (61)</t>
  </si>
  <si>
    <t>MS review dates</t>
  </si>
  <si>
    <t>Weekly planned completion (cumulative)</t>
  </si>
  <si>
    <t>Actual completed</t>
  </si>
  <si>
    <t>Appeared</t>
  </si>
  <si>
    <t>PFS- MS 4-5 Revisit for DTR implementation (15)</t>
  </si>
  <si>
    <t>Weekly Planned (cumulative)</t>
  </si>
  <si>
    <t>Actual Appeared</t>
  </si>
  <si>
    <t>dmAftElecIPwrDSCRHtrPwrDgrdOECSErr: MS4-5Pass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</si>
</sst>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 * #,##0.00_ ;_ * \-#,##0.00_ ;_ * &quot;-&quot;??_ ;_ @_ "/>
    <numFmt numFmtId="165" formatCode="dd/mmm/yyyy"/>
    <numFmt numFmtId="166" formatCode="0.0"/>
    <numFmt numFmtId="167" formatCode="[$-409]d\-mmm;@"/>
    <numFmt numFmtId="168" formatCode="[$-409]mmm/yy;@"/>
    <numFmt numFmtId="169" formatCode="[$-409]dd/mmm/yy;@"/>
    <numFmt numFmtId="170" formatCode="[$-F800]dddd\,\ mmmm\ dd\,\ yyyy"/>
    <numFmt numFmtId="171" formatCode="[$-14009]dd/mm/yyyy;@"/>
    <numFmt numFmtId="172" formatCode="[$-409]d/mmm;@"/>
    <numFmt numFmtId="173" formatCode="[$-409]d\-mmm\-yyyy;@"/>
    <numFmt numFmtId="174" formatCode="[$-409]d\-mmm\-yy;@"/>
  </numFmts>
  <fonts count="82">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9"/>
      <color indexed="81"/>
      <name val="Tahoma"/>
      <family val="2"/>
    </font>
    <font>
      <sz val="10"/>
      <color theme="1"/>
      <name val="Trebuchet MS"/>
      <family val="2"/>
    </font>
    <font>
      <b/>
      <sz val="10"/>
      <color theme="0"/>
      <name val="Trebuchet MS"/>
      <family val="2"/>
    </font>
    <font>
      <b/>
      <sz val="10"/>
      <color indexed="9"/>
      <name val="Arial"/>
      <family val="2"/>
    </font>
    <font>
      <b/>
      <sz val="9"/>
      <color indexed="81"/>
      <name val="Tahoma"/>
      <family val="2"/>
    </font>
    <font>
      <sz val="11"/>
      <color theme="1"/>
      <name val="Calibri"/>
      <family val="2"/>
    </font>
    <font>
      <u/>
      <sz val="10"/>
      <color indexed="12"/>
      <name val="Arial"/>
      <family val="2"/>
    </font>
    <font>
      <b/>
      <sz val="11"/>
      <color theme="1"/>
      <name val="Calibri"/>
      <family val="2"/>
    </font>
    <font>
      <sz val="10"/>
      <name val="Arial"/>
      <family val="2"/>
    </font>
    <font>
      <sz val="10"/>
      <color theme="0"/>
      <name val="Trebuchet MS"/>
      <family val="2"/>
    </font>
    <font>
      <sz val="11"/>
      <name val="Calibri"/>
      <family val="2"/>
    </font>
    <font>
      <sz val="10"/>
      <color theme="1"/>
      <name val="Calibri"/>
      <family val="2"/>
    </font>
    <font>
      <sz val="11"/>
      <color theme="1"/>
      <name val="Calibri"/>
      <family val="2"/>
    </font>
    <font>
      <sz val="10"/>
      <color theme="1"/>
      <name val="Trebuchet MS"/>
      <family val="2"/>
    </font>
    <font>
      <sz val="11"/>
      <color theme="1"/>
      <name val="Trebuchet MS"/>
      <family val="2"/>
    </font>
    <font>
      <b/>
      <sz val="10"/>
      <color theme="6" tint="0.59999389629810485"/>
      <name val="Segoe UI"/>
      <family val="2"/>
    </font>
    <font>
      <b/>
      <sz val="10"/>
      <color theme="9" tint="0.39997558519241921"/>
      <name val="Segoe UI"/>
      <family val="2"/>
    </font>
    <font>
      <b/>
      <sz val="10"/>
      <color theme="0"/>
      <name val="Segoe UI"/>
      <family val="2"/>
    </font>
    <font>
      <b/>
      <sz val="10"/>
      <color rgb="FFFFFFFF"/>
      <name val="Segoe UI"/>
      <family val="2"/>
    </font>
    <font>
      <b/>
      <sz val="10"/>
      <color theme="9" tint="0.39997558519241921"/>
      <name val="Trebuchet MS"/>
      <family val="2"/>
    </font>
    <font>
      <sz val="11"/>
      <color theme="1"/>
      <name val="Aptos"/>
      <family val="2"/>
    </font>
    <font>
      <i/>
      <sz val="11"/>
      <color theme="1"/>
      <name val="Aptos"/>
      <family val="2"/>
    </font>
    <font>
      <b/>
      <sz val="9"/>
      <color rgb="FFFFFFFF"/>
      <name val="Work Sans"/>
    </font>
    <font>
      <b/>
      <sz val="10"/>
      <color rgb="FFFFFFFF"/>
      <name val="Arial"/>
      <family val="2"/>
    </font>
    <font>
      <sz val="11"/>
      <color rgb="FF000000"/>
      <name val="Calibri"/>
      <family val="2"/>
    </font>
    <font>
      <sz val="11"/>
      <color rgb="FF242424"/>
      <name val="Aptos Narrow"/>
      <family val="2"/>
    </font>
    <font>
      <sz val="11"/>
      <color theme="1"/>
      <name val="Segoe UI"/>
      <family val="2"/>
    </font>
    <font>
      <sz val="11"/>
      <color rgb="FF00B050"/>
      <name val="Calibri"/>
      <family val="2"/>
    </font>
    <font>
      <sz val="8"/>
      <name val="Calibri"/>
      <family val="2"/>
    </font>
    <font>
      <sz val="11"/>
      <color theme="1"/>
      <name val="Aptos Narrow"/>
      <family val="2"/>
    </font>
    <font>
      <b/>
      <sz val="11"/>
      <color theme="1"/>
      <name val="Aptos"/>
      <family val="2"/>
    </font>
    <font>
      <b/>
      <sz val="11"/>
      <color rgb="FF000000"/>
      <name val="Calibri"/>
      <family val="2"/>
    </font>
    <font>
      <sz val="10"/>
      <color rgb="FF000000"/>
      <name val="Calibri"/>
      <family val="2"/>
    </font>
    <font>
      <b/>
      <sz val="10"/>
      <color rgb="FF000000"/>
      <name val="Calibri"/>
      <family val="2"/>
    </font>
    <font>
      <b/>
      <sz val="11"/>
      <color theme="1"/>
      <name val="Calibri"/>
      <family val="2"/>
      <scheme val="minor"/>
    </font>
    <font>
      <sz val="11"/>
      <color rgb="FF000000"/>
      <name val="Calibri"/>
      <family val="2"/>
      <scheme val="minor"/>
    </font>
    <font>
      <sz val="11"/>
      <color rgb="FFFF0000"/>
      <name val="Calibri"/>
      <family val="2"/>
      <scheme val="minor"/>
    </font>
    <font>
      <b/>
      <sz val="11"/>
      <color rgb="FF000000"/>
      <name val="Calibri"/>
      <family val="2"/>
      <scheme val="minor"/>
    </font>
    <font>
      <sz val="11"/>
      <color rgb="FF000000"/>
      <name val="Aptos Narrow"/>
      <family val="2"/>
    </font>
    <font>
      <b/>
      <sz val="11"/>
      <color rgb="FF000000"/>
      <name val="Aptos Narrow"/>
      <family val="2"/>
    </font>
    <font>
      <sz val="11"/>
      <color rgb="FF242424"/>
      <name val="Aptos Narrow"/>
      <family val="2"/>
      <charset val="1"/>
    </font>
    <font>
      <sz val="11"/>
      <color theme="1"/>
      <name val="Tahoma"/>
      <family val="2"/>
    </font>
    <font>
      <sz val="10"/>
      <color rgb="FF000000"/>
      <name val="Arial"/>
      <family val="2"/>
    </font>
    <font>
      <sz val="11"/>
      <color rgb="FFFF0000"/>
      <name val="Calibri"/>
      <family val="2"/>
    </font>
    <font>
      <sz val="11"/>
      <color rgb="FFFF0000"/>
      <name val="Aptos Narrow"/>
      <family val="2"/>
    </font>
    <font>
      <sz val="12"/>
      <color theme="1"/>
      <name val="Calibri"/>
      <family val="2"/>
    </font>
    <font>
      <sz val="10"/>
      <color rgb="FFFF0000"/>
      <name val="Arial"/>
      <family val="2"/>
    </font>
    <font>
      <strike/>
      <sz val="11"/>
      <color rgb="FF000000"/>
      <name val="Calibri"/>
      <family val="2"/>
    </font>
    <font>
      <b/>
      <sz val="14"/>
      <name val="Calibri"/>
      <family val="2"/>
      <scheme val="minor"/>
    </font>
    <font>
      <sz val="12"/>
      <color theme="1"/>
      <name val="Aptos"/>
      <family val="2"/>
      <charset val="1"/>
    </font>
    <font>
      <sz val="11"/>
      <color theme="1"/>
      <name val="Work Sans"/>
    </font>
    <font>
      <sz val="11"/>
      <color rgb="FF242424"/>
      <name val="Work Sans"/>
    </font>
    <font>
      <sz val="11"/>
      <color rgb="FF000000"/>
      <name val="Work Sans"/>
    </font>
    <font>
      <sz val="11"/>
      <name val="Work Sans"/>
    </font>
    <font>
      <sz val="11"/>
      <color rgb="FFFF0000"/>
      <name val="Work Sans"/>
    </font>
    <font>
      <b/>
      <sz val="11"/>
      <color theme="1"/>
      <name val="Segoe UI"/>
      <family val="2"/>
    </font>
    <font>
      <sz val="10"/>
      <color theme="1"/>
      <name val="Arial"/>
      <family val="2"/>
    </font>
    <font>
      <sz val="11"/>
      <color rgb="FF000000"/>
      <name val="Calibri"/>
    </font>
    <font>
      <sz val="11"/>
      <color rgb="FF0070C0"/>
      <name val="Calibri"/>
    </font>
    <font>
      <sz val="11"/>
      <color theme="1"/>
      <name val="Calibri"/>
    </font>
    <font>
      <b/>
      <u/>
      <sz val="11"/>
      <color rgb="FFFFC000"/>
      <name val="Calibri"/>
    </font>
    <font>
      <sz val="11"/>
      <color rgb="FFFFC000"/>
      <name val="Calibri"/>
    </font>
  </fonts>
  <fills count="24">
    <fill>
      <patternFill patternType="none"/>
    </fill>
    <fill>
      <patternFill patternType="gray125"/>
    </fill>
    <fill>
      <patternFill patternType="solid">
        <fgColor indexed="65"/>
        <bgColor indexed="64"/>
      </patternFill>
    </fill>
    <fill>
      <patternFill patternType="solid">
        <fgColor theme="4"/>
        <bgColor indexed="64"/>
      </patternFill>
    </fill>
    <fill>
      <patternFill patternType="solid">
        <fgColor indexed="8"/>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2" tint="-0.749992370372631"/>
        <bgColor indexed="64"/>
      </patternFill>
    </fill>
    <fill>
      <patternFill patternType="solid">
        <fgColor theme="6" tint="-0.249977111117893"/>
        <bgColor indexed="64"/>
      </patternFill>
    </fill>
    <fill>
      <patternFill patternType="solid">
        <fgColor rgb="FF9BC2E6"/>
        <bgColor rgb="FF000000"/>
      </patternFill>
    </fill>
    <fill>
      <patternFill patternType="solid">
        <fgColor rgb="FF92D050"/>
        <bgColor rgb="FF000000"/>
      </patternFill>
    </fill>
    <fill>
      <patternFill patternType="solid">
        <fgColor rgb="FFFF0000"/>
        <bgColor rgb="FF000000"/>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00B05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7" tint="0.59999389629810485"/>
        <bgColor indexed="64"/>
      </patternFill>
    </fill>
    <fill>
      <patternFill patternType="solid">
        <fgColor rgb="FFFFFFFF"/>
        <bgColor indexed="64"/>
      </patternFill>
    </fill>
    <fill>
      <patternFill patternType="solid">
        <fgColor theme="0"/>
        <bgColor indexed="64"/>
      </patternFill>
    </fill>
    <fill>
      <patternFill patternType="solid">
        <fgColor rgb="FFFF000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thin">
        <color indexed="64"/>
      </right>
      <top/>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rgb="FF000000"/>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49">
    <xf numFmtId="0" fontId="0" fillId="0" borderId="0"/>
    <xf numFmtId="167" fontId="19" fillId="0" borderId="0"/>
    <xf numFmtId="167" fontId="23" fillId="4" borderId="1">
      <alignment horizontal="center"/>
    </xf>
    <xf numFmtId="167" fontId="25" fillId="0" borderId="0"/>
    <xf numFmtId="167" fontId="18" fillId="0" borderId="0"/>
    <xf numFmtId="167" fontId="26" fillId="0" borderId="0" applyNumberFormat="0" applyFill="0" applyBorder="0" applyAlignment="0" applyProtection="0">
      <alignment vertical="top"/>
      <protection locked="0"/>
    </xf>
    <xf numFmtId="167" fontId="18" fillId="0" borderId="0"/>
    <xf numFmtId="167" fontId="19" fillId="0" borderId="0"/>
    <xf numFmtId="167" fontId="19" fillId="0" borderId="0"/>
    <xf numFmtId="167" fontId="28" fillId="0" borderId="0"/>
    <xf numFmtId="167" fontId="19" fillId="0" borderId="0"/>
    <xf numFmtId="167" fontId="25" fillId="0" borderId="0"/>
    <xf numFmtId="167" fontId="19" fillId="0" borderId="0"/>
    <xf numFmtId="167" fontId="19" fillId="0" borderId="0"/>
    <xf numFmtId="167" fontId="17" fillId="0" borderId="0"/>
    <xf numFmtId="167" fontId="25" fillId="0" borderId="0"/>
    <xf numFmtId="167" fontId="16" fillId="0" borderId="0"/>
    <xf numFmtId="167" fontId="16" fillId="0" borderId="0"/>
    <xf numFmtId="167" fontId="19" fillId="0" borderId="0"/>
    <xf numFmtId="167" fontId="16" fillId="0" borderId="0"/>
    <xf numFmtId="9" fontId="25" fillId="0" borderId="0" applyFont="0" applyFill="0" applyBorder="0" applyAlignment="0" applyProtection="0"/>
    <xf numFmtId="170" fontId="25" fillId="0" borderId="0"/>
    <xf numFmtId="0" fontId="15" fillId="0" borderId="0"/>
    <xf numFmtId="0" fontId="14" fillId="0" borderId="0"/>
    <xf numFmtId="9" fontId="14" fillId="0" borderId="0" applyFont="0" applyFill="0" applyBorder="0" applyAlignment="0" applyProtection="0"/>
    <xf numFmtId="43" fontId="13" fillId="0" borderId="0" applyFont="0" applyFill="0" applyBorder="0" applyAlignment="0" applyProtection="0"/>
    <xf numFmtId="164" fontId="13" fillId="0" borderId="0" applyFont="0" applyFill="0" applyBorder="0" applyAlignment="0" applyProtection="0"/>
    <xf numFmtId="9" fontId="13" fillId="0" borderId="0" applyFont="0" applyFill="0" applyBorder="0" applyAlignment="0" applyProtection="0"/>
    <xf numFmtId="0" fontId="13" fillId="0" borderId="0"/>
    <xf numFmtId="172" fontId="25" fillId="0" borderId="0"/>
    <xf numFmtId="0" fontId="12" fillId="0" borderId="0"/>
    <xf numFmtId="0" fontId="11" fillId="0" borderId="0"/>
    <xf numFmtId="0" fontId="10" fillId="0" borderId="0"/>
    <xf numFmtId="0" fontId="9" fillId="0" borderId="0"/>
    <xf numFmtId="9" fontId="9" fillId="0" borderId="0" applyFont="0" applyFill="0" applyBorder="0" applyAlignment="0" applyProtection="0"/>
    <xf numFmtId="0" fontId="8" fillId="0" borderId="0"/>
    <xf numFmtId="9" fontId="8" fillId="0" borderId="0" applyFont="0" applyFill="0" applyBorder="0" applyAlignment="0" applyProtection="0"/>
    <xf numFmtId="0" fontId="19" fillId="0" borderId="0"/>
    <xf numFmtId="0" fontId="19" fillId="0" borderId="0"/>
    <xf numFmtId="0" fontId="7" fillId="0" borderId="0"/>
    <xf numFmtId="172" fontId="19" fillId="0" borderId="0"/>
    <xf numFmtId="0" fontId="6" fillId="0" borderId="0"/>
    <xf numFmtId="0" fontId="5" fillId="0" borderId="0"/>
    <xf numFmtId="0" fontId="4" fillId="0" borderId="0"/>
    <xf numFmtId="0" fontId="4" fillId="0" borderId="0"/>
    <xf numFmtId="0" fontId="3" fillId="0" borderId="0"/>
    <xf numFmtId="0" fontId="2" fillId="0" borderId="0"/>
    <xf numFmtId="0" fontId="1" fillId="0" borderId="0"/>
    <xf numFmtId="9" fontId="1" fillId="0" borderId="0" applyFont="0" applyFill="0" applyBorder="0" applyAlignment="0" applyProtection="0"/>
  </cellStyleXfs>
  <cellXfs count="676">
    <xf numFmtId="0" fontId="0" fillId="0" borderId="0" xfId="0"/>
    <xf numFmtId="14" fontId="0" fillId="0" borderId="0" xfId="0" applyNumberFormat="1"/>
    <xf numFmtId="167" fontId="0" fillId="0" borderId="0" xfId="0" applyNumberFormat="1" applyAlignment="1">
      <alignment wrapText="1"/>
    </xf>
    <xf numFmtId="167" fontId="0" fillId="0" borderId="4" xfId="0" applyNumberFormat="1" applyBorder="1"/>
    <xf numFmtId="167" fontId="0" fillId="0" borderId="1" xfId="0" applyNumberFormat="1" applyBorder="1"/>
    <xf numFmtId="167" fontId="0" fillId="0" borderId="17" xfId="0" applyNumberFormat="1" applyBorder="1"/>
    <xf numFmtId="167" fontId="0" fillId="0" borderId="15" xfId="0" applyNumberFormat="1" applyBorder="1"/>
    <xf numFmtId="167" fontId="27" fillId="5" borderId="9" xfId="0" applyNumberFormat="1" applyFont="1" applyFill="1" applyBorder="1"/>
    <xf numFmtId="167" fontId="27" fillId="5" borderId="20" xfId="0" applyNumberFormat="1" applyFont="1" applyFill="1" applyBorder="1"/>
    <xf numFmtId="167" fontId="0" fillId="0" borderId="10" xfId="0" applyNumberFormat="1" applyBorder="1"/>
    <xf numFmtId="167" fontId="0" fillId="0" borderId="2" xfId="0" applyNumberFormat="1" applyBorder="1"/>
    <xf numFmtId="167" fontId="0" fillId="0" borderId="21" xfId="0" applyNumberFormat="1" applyBorder="1"/>
    <xf numFmtId="167" fontId="0" fillId="0" borderId="11" xfId="0" applyNumberFormat="1" applyBorder="1"/>
    <xf numFmtId="167" fontId="0" fillId="0" borderId="7" xfId="0" applyNumberFormat="1" applyBorder="1"/>
    <xf numFmtId="167" fontId="0" fillId="0" borderId="12" xfId="0" applyNumberFormat="1" applyBorder="1"/>
    <xf numFmtId="167" fontId="0" fillId="0" borderId="18" xfId="0" applyNumberFormat="1" applyBorder="1"/>
    <xf numFmtId="167" fontId="0" fillId="0" borderId="8" xfId="0" applyNumberFormat="1" applyBorder="1"/>
    <xf numFmtId="9" fontId="0" fillId="0" borderId="0" xfId="20" applyFont="1"/>
    <xf numFmtId="168" fontId="0" fillId="0" borderId="0" xfId="0" applyNumberFormat="1"/>
    <xf numFmtId="167" fontId="0" fillId="0" borderId="0" xfId="0" applyNumberFormat="1" applyAlignment="1">
      <alignment horizontal="left"/>
    </xf>
    <xf numFmtId="167" fontId="32" fillId="0" borderId="0" xfId="0" applyNumberFormat="1" applyFont="1"/>
    <xf numFmtId="167" fontId="33" fillId="2" borderId="0" xfId="15" applyFont="1" applyFill="1" applyAlignment="1">
      <alignment vertical="center"/>
    </xf>
    <xf numFmtId="167" fontId="25" fillId="0" borderId="1" xfId="0" applyNumberFormat="1" applyFont="1" applyBorder="1" applyAlignment="1">
      <alignment horizontal="left" vertical="center" wrapText="1"/>
    </xf>
    <xf numFmtId="167" fontId="25" fillId="0" borderId="0" xfId="0" applyNumberFormat="1" applyFont="1" applyAlignment="1">
      <alignment horizontal="left" vertical="center" wrapText="1"/>
    </xf>
    <xf numFmtId="0" fontId="25" fillId="0" borderId="1" xfId="0" applyFont="1" applyBorder="1" applyAlignment="1">
      <alignment horizontal="center" vertical="center" wrapText="1"/>
    </xf>
    <xf numFmtId="0" fontId="25" fillId="0" borderId="1" xfId="0" applyFont="1" applyBorder="1" applyAlignment="1">
      <alignment horizontal="left" vertical="center" wrapText="1"/>
    </xf>
    <xf numFmtId="169" fontId="25" fillId="0" borderId="1" xfId="0" applyNumberFormat="1" applyFont="1" applyBorder="1" applyAlignment="1">
      <alignment horizontal="left" vertical="center" wrapText="1"/>
    </xf>
    <xf numFmtId="14" fontId="25" fillId="0" borderId="1" xfId="0" applyNumberFormat="1" applyFont="1" applyBorder="1" applyAlignment="1">
      <alignment horizontal="left" vertical="center" wrapText="1"/>
    </xf>
    <xf numFmtId="167" fontId="25" fillId="0" borderId="1" xfId="0" applyNumberFormat="1" applyFont="1" applyBorder="1" applyAlignment="1">
      <alignment vertical="center" wrapText="1"/>
    </xf>
    <xf numFmtId="169" fontId="31" fillId="0" borderId="1" xfId="0" applyNumberFormat="1" applyFont="1" applyBorder="1" applyAlignment="1">
      <alignment horizontal="left" vertical="center" wrapText="1"/>
    </xf>
    <xf numFmtId="167" fontId="25" fillId="0" borderId="1" xfId="0" applyNumberFormat="1" applyFont="1" applyBorder="1" applyAlignment="1">
      <alignment horizontal="center" vertical="center" wrapText="1"/>
    </xf>
    <xf numFmtId="171" fontId="25" fillId="0" borderId="1" xfId="0" applyNumberFormat="1" applyFont="1" applyBorder="1" applyAlignment="1">
      <alignment horizontal="left" vertical="center" wrapText="1"/>
    </xf>
    <xf numFmtId="0" fontId="25" fillId="0" borderId="1" xfId="0" applyFont="1" applyBorder="1" applyAlignment="1">
      <alignment vertical="center" wrapText="1"/>
    </xf>
    <xf numFmtId="167" fontId="29" fillId="3" borderId="15" xfId="15" applyFont="1" applyFill="1" applyBorder="1" applyAlignment="1">
      <alignment horizontal="center" vertical="center"/>
    </xf>
    <xf numFmtId="167" fontId="29" fillId="3" borderId="2" xfId="15" applyFont="1" applyFill="1" applyBorder="1" applyAlignment="1">
      <alignment horizontal="center" vertical="center"/>
    </xf>
    <xf numFmtId="167" fontId="29" fillId="3" borderId="16" xfId="15" applyFont="1" applyFill="1" applyBorder="1" applyAlignment="1">
      <alignment horizontal="center" vertical="center"/>
    </xf>
    <xf numFmtId="167" fontId="21" fillId="6" borderId="4" xfId="15" applyFont="1" applyFill="1" applyBorder="1" applyAlignment="1">
      <alignment vertical="center"/>
    </xf>
    <xf numFmtId="167" fontId="21" fillId="6" borderId="1" xfId="15" applyFont="1" applyFill="1" applyBorder="1" applyAlignment="1">
      <alignment vertical="center" wrapText="1"/>
    </xf>
    <xf numFmtId="167" fontId="21" fillId="6" borderId="3" xfId="15" applyFont="1" applyFill="1" applyBorder="1" applyAlignment="1">
      <alignment vertical="center"/>
    </xf>
    <xf numFmtId="167" fontId="21" fillId="6" borderId="1" xfId="15" applyFont="1" applyFill="1" applyBorder="1" applyAlignment="1">
      <alignment vertical="center"/>
    </xf>
    <xf numFmtId="167" fontId="21" fillId="6" borderId="5" xfId="15" applyFont="1" applyFill="1" applyBorder="1" applyAlignment="1">
      <alignment vertical="center"/>
    </xf>
    <xf numFmtId="167" fontId="21" fillId="6" borderId="14" xfId="15" applyFont="1" applyFill="1" applyBorder="1" applyAlignment="1">
      <alignment vertical="center"/>
    </xf>
    <xf numFmtId="166" fontId="21" fillId="2" borderId="14" xfId="15" applyNumberFormat="1" applyFont="1" applyFill="1" applyBorder="1" applyAlignment="1">
      <alignment vertical="center"/>
    </xf>
    <xf numFmtId="167" fontId="21" fillId="2" borderId="5" xfId="15" applyFont="1" applyFill="1" applyBorder="1" applyAlignment="1">
      <alignment vertical="center" wrapText="1"/>
    </xf>
    <xf numFmtId="167" fontId="21" fillId="2" borderId="5" xfId="15" applyFont="1" applyFill="1" applyBorder="1" applyAlignment="1">
      <alignment vertical="center"/>
    </xf>
    <xf numFmtId="167" fontId="21" fillId="2" borderId="13" xfId="15" applyFont="1" applyFill="1" applyBorder="1" applyAlignment="1">
      <alignment vertical="center"/>
    </xf>
    <xf numFmtId="167" fontId="21" fillId="2" borderId="6" xfId="15" applyFont="1" applyFill="1" applyBorder="1" applyAlignment="1">
      <alignment vertical="center" wrapText="1"/>
    </xf>
    <xf numFmtId="167" fontId="21" fillId="2" borderId="6" xfId="15" applyFont="1" applyFill="1" applyBorder="1" applyAlignment="1">
      <alignment vertical="center"/>
    </xf>
    <xf numFmtId="167" fontId="21" fillId="2" borderId="19" xfId="15" applyFont="1" applyFill="1" applyBorder="1" applyAlignment="1">
      <alignment vertical="center"/>
    </xf>
    <xf numFmtId="0" fontId="0" fillId="0" borderId="1" xfId="0" applyBorder="1" applyAlignment="1">
      <alignment horizontal="left" vertical="center" wrapText="1"/>
    </xf>
    <xf numFmtId="1" fontId="0" fillId="0" borderId="0" xfId="0" applyNumberFormat="1"/>
    <xf numFmtId="167" fontId="0" fillId="0" borderId="0" xfId="0" pivotButton="1" applyNumberFormat="1"/>
    <xf numFmtId="1" fontId="0" fillId="0" borderId="0" xfId="0" applyNumberFormat="1" applyAlignment="1">
      <alignment horizontal="left"/>
    </xf>
    <xf numFmtId="167" fontId="40" fillId="0" borderId="0" xfId="0" applyNumberFormat="1" applyFont="1" applyAlignment="1">
      <alignment horizontal="left" vertical="center" indent="1"/>
    </xf>
    <xf numFmtId="167" fontId="40" fillId="0" borderId="0" xfId="0" applyNumberFormat="1" applyFont="1" applyAlignment="1">
      <alignment horizontal="left" vertical="center" indent="4"/>
    </xf>
    <xf numFmtId="167" fontId="27" fillId="0" borderId="0" xfId="0" applyNumberFormat="1" applyFont="1"/>
    <xf numFmtId="167" fontId="27" fillId="0" borderId="1" xfId="0" applyNumberFormat="1" applyFont="1" applyBorder="1" applyAlignment="1">
      <alignment horizontal="center" vertical="center"/>
    </xf>
    <xf numFmtId="0" fontId="0" fillId="0" borderId="1" xfId="0" applyBorder="1" applyAlignment="1">
      <alignment horizontal="center" vertical="center"/>
    </xf>
    <xf numFmtId="167"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xf numFmtId="167" fontId="0" fillId="0" borderId="1" xfId="0" applyNumberFormat="1" applyBorder="1" applyAlignment="1">
      <alignment wrapText="1"/>
    </xf>
    <xf numFmtId="2" fontId="35" fillId="8" borderId="15" xfId="3" applyNumberFormat="1" applyFont="1" applyFill="1" applyBorder="1" applyAlignment="1">
      <alignment horizontal="center" vertical="center" wrapText="1"/>
    </xf>
    <xf numFmtId="2" fontId="35" fillId="8" borderId="2" xfId="3" applyNumberFormat="1" applyFont="1" applyFill="1" applyBorder="1" applyAlignment="1">
      <alignment horizontal="center" vertical="center" wrapText="1"/>
    </xf>
    <xf numFmtId="0" fontId="35" fillId="8" borderId="2" xfId="3" applyNumberFormat="1" applyFont="1" applyFill="1" applyBorder="1" applyAlignment="1">
      <alignment horizontal="center" vertical="center" wrapText="1"/>
    </xf>
    <xf numFmtId="0" fontId="35" fillId="3" borderId="2" xfId="3" applyNumberFormat="1" applyFont="1" applyFill="1" applyBorder="1" applyAlignment="1">
      <alignment horizontal="center" vertical="center" wrapText="1"/>
    </xf>
    <xf numFmtId="167" fontId="35" fillId="3" borderId="2" xfId="3" applyFont="1" applyFill="1" applyBorder="1" applyAlignment="1">
      <alignment horizontal="center" vertical="center" wrapText="1"/>
    </xf>
    <xf numFmtId="2" fontId="35" fillId="3" borderId="2" xfId="3" applyNumberFormat="1" applyFont="1" applyFill="1" applyBorder="1" applyAlignment="1">
      <alignment horizontal="center" vertical="center" wrapText="1"/>
    </xf>
    <xf numFmtId="0" fontId="36" fillId="0" borderId="2" xfId="1" applyNumberFormat="1" applyFont="1" applyBorder="1" applyAlignment="1" applyProtection="1">
      <alignment horizontal="center" vertical="center" wrapText="1"/>
      <protection locked="0"/>
    </xf>
    <xf numFmtId="167" fontId="35" fillId="3" borderId="2" xfId="1" applyFont="1" applyFill="1" applyBorder="1" applyAlignment="1" applyProtection="1">
      <alignment horizontal="center" vertical="center" wrapText="1"/>
      <protection locked="0"/>
    </xf>
    <xf numFmtId="167" fontId="36" fillId="8" borderId="2" xfId="1" applyFont="1" applyFill="1" applyBorder="1" applyAlignment="1" applyProtection="1">
      <alignment horizontal="center" vertical="center" wrapText="1"/>
      <protection locked="0"/>
    </xf>
    <xf numFmtId="167" fontId="35" fillId="3" borderId="2" xfId="1" applyFont="1" applyFill="1" applyBorder="1" applyAlignment="1" applyProtection="1">
      <alignment horizontal="center" vertical="center" wrapText="1" shrinkToFit="1"/>
      <protection locked="0"/>
    </xf>
    <xf numFmtId="167" fontId="37" fillId="3" borderId="2" xfId="1" applyFont="1" applyFill="1" applyBorder="1" applyAlignment="1" applyProtection="1">
      <alignment horizontal="center" vertical="center" wrapText="1"/>
      <protection locked="0"/>
    </xf>
    <xf numFmtId="167" fontId="36" fillId="3" borderId="2" xfId="1" applyFont="1" applyFill="1" applyBorder="1" applyAlignment="1" applyProtection="1">
      <alignment horizontal="center" vertical="center" wrapText="1" shrinkToFit="1"/>
      <protection locked="0"/>
    </xf>
    <xf numFmtId="2" fontId="36" fillId="3" borderId="2" xfId="3" applyNumberFormat="1" applyFont="1" applyFill="1" applyBorder="1" applyAlignment="1">
      <alignment horizontal="center" vertical="center" wrapText="1"/>
    </xf>
    <xf numFmtId="2" fontId="37" fillId="3" borderId="2" xfId="3" applyNumberFormat="1" applyFont="1" applyFill="1" applyBorder="1" applyAlignment="1">
      <alignment horizontal="center" vertical="center" wrapText="1"/>
    </xf>
    <xf numFmtId="167" fontId="37" fillId="3" borderId="2" xfId="3" applyFont="1" applyFill="1" applyBorder="1" applyAlignment="1">
      <alignment horizontal="center" vertical="center" wrapText="1"/>
    </xf>
    <xf numFmtId="167" fontId="35" fillId="8" borderId="2" xfId="3" applyFont="1" applyFill="1" applyBorder="1" applyAlignment="1">
      <alignment horizontal="center" vertical="center" wrapText="1"/>
    </xf>
    <xf numFmtId="169" fontId="35" fillId="8" borderId="2" xfId="3" applyNumberFormat="1" applyFont="1" applyFill="1" applyBorder="1" applyAlignment="1">
      <alignment horizontal="center" vertical="center" wrapText="1"/>
    </xf>
    <xf numFmtId="0" fontId="37" fillId="3" borderId="2" xfId="3" applyNumberFormat="1" applyFont="1" applyFill="1" applyBorder="1" applyAlignment="1">
      <alignment horizontal="center" vertical="center" wrapText="1"/>
    </xf>
    <xf numFmtId="171" fontId="37" fillId="3" borderId="2" xfId="3" applyNumberFormat="1" applyFont="1" applyFill="1" applyBorder="1" applyAlignment="1">
      <alignment horizontal="center" vertical="center" wrapText="1"/>
    </xf>
    <xf numFmtId="171" fontId="35" fillId="8" borderId="2" xfId="3" applyNumberFormat="1" applyFont="1" applyFill="1" applyBorder="1" applyAlignment="1">
      <alignment horizontal="center" vertical="center" wrapText="1"/>
    </xf>
    <xf numFmtId="14" fontId="37" fillId="8" borderId="2" xfId="1" applyNumberFormat="1" applyFont="1" applyFill="1" applyBorder="1" applyAlignment="1" applyProtection="1">
      <alignment horizontal="center" vertical="center" wrapText="1" shrinkToFit="1"/>
      <protection locked="0"/>
    </xf>
    <xf numFmtId="169" fontId="36" fillId="3" borderId="2" xfId="3" applyNumberFormat="1" applyFont="1" applyFill="1" applyBorder="1" applyAlignment="1">
      <alignment horizontal="center" vertical="center" wrapText="1"/>
    </xf>
    <xf numFmtId="167" fontId="36" fillId="7" borderId="2" xfId="1" applyFont="1" applyFill="1" applyBorder="1" applyAlignment="1" applyProtection="1">
      <alignment horizontal="center" vertical="center" wrapText="1" shrinkToFit="1"/>
      <protection locked="0"/>
    </xf>
    <xf numFmtId="0" fontId="36" fillId="7" borderId="2" xfId="1" applyNumberFormat="1" applyFont="1" applyFill="1" applyBorder="1" applyAlignment="1" applyProtection="1">
      <alignment horizontal="center" vertical="center" wrapText="1" shrinkToFit="1"/>
      <protection locked="0"/>
    </xf>
    <xf numFmtId="2" fontId="38" fillId="3" borderId="2" xfId="3" applyNumberFormat="1" applyFont="1" applyFill="1" applyBorder="1" applyAlignment="1">
      <alignment horizontal="center" vertical="center" wrapText="1"/>
    </xf>
    <xf numFmtId="167" fontId="36" fillId="3" borderId="2" xfId="1" applyFont="1" applyFill="1" applyBorder="1" applyAlignment="1" applyProtection="1">
      <alignment horizontal="center" vertical="center" wrapText="1"/>
      <protection locked="0"/>
    </xf>
    <xf numFmtId="167" fontId="37" fillId="3" borderId="2" xfId="1" applyFont="1" applyFill="1" applyBorder="1" applyAlignment="1" applyProtection="1">
      <alignment horizontal="center" vertical="center" wrapText="1" shrinkToFit="1"/>
      <protection locked="0"/>
    </xf>
    <xf numFmtId="2" fontId="22" fillId="3" borderId="2" xfId="3" applyNumberFormat="1" applyFont="1" applyFill="1" applyBorder="1" applyAlignment="1">
      <alignment horizontal="center" vertical="center" wrapText="1"/>
    </xf>
    <xf numFmtId="167" fontId="39" fillId="3" borderId="2" xfId="1" applyFont="1" applyFill="1" applyBorder="1" applyAlignment="1" applyProtection="1">
      <alignment horizontal="center" vertical="center" wrapText="1" shrinkToFit="1"/>
      <protection locked="0"/>
    </xf>
    <xf numFmtId="21" fontId="0" fillId="0" borderId="0" xfId="0" applyNumberFormat="1" applyAlignment="1">
      <alignment horizontal="left"/>
    </xf>
    <xf numFmtId="14" fontId="0" fillId="0" borderId="0" xfId="0" applyNumberFormat="1" applyAlignment="1">
      <alignment horizontal="left"/>
    </xf>
    <xf numFmtId="167" fontId="42" fillId="9" borderId="22" xfId="0" applyNumberFormat="1" applyFont="1" applyFill="1" applyBorder="1" applyAlignment="1">
      <alignment vertical="center" wrapText="1"/>
    </xf>
    <xf numFmtId="1" fontId="42" fillId="10" borderId="23" xfId="0" applyNumberFormat="1" applyFont="1" applyFill="1" applyBorder="1" applyAlignment="1">
      <alignment vertical="center" wrapText="1"/>
    </xf>
    <xf numFmtId="1" fontId="43" fillId="9" borderId="23" xfId="0" applyNumberFormat="1" applyFont="1" applyFill="1" applyBorder="1" applyAlignment="1">
      <alignment vertical="center" wrapText="1"/>
    </xf>
    <xf numFmtId="167" fontId="42" fillId="10" borderId="23" xfId="0" applyNumberFormat="1" applyFont="1" applyFill="1" applyBorder="1" applyAlignment="1">
      <alignment vertical="center" wrapText="1"/>
    </xf>
    <xf numFmtId="0" fontId="42" fillId="10" borderId="23" xfId="0" applyFont="1" applyFill="1" applyBorder="1" applyAlignment="1">
      <alignment vertical="center" wrapText="1"/>
    </xf>
    <xf numFmtId="167" fontId="42" fillId="9" borderId="23" xfId="0" applyNumberFormat="1" applyFont="1" applyFill="1" applyBorder="1" applyAlignment="1">
      <alignment vertical="center" wrapText="1"/>
    </xf>
    <xf numFmtId="167" fontId="42" fillId="11" borderId="24" xfId="0" applyNumberFormat="1" applyFont="1" applyFill="1" applyBorder="1" applyAlignment="1">
      <alignment vertical="center" wrapText="1"/>
    </xf>
    <xf numFmtId="0" fontId="22" fillId="3" borderId="2" xfId="3" applyNumberFormat="1" applyFont="1" applyFill="1" applyBorder="1" applyAlignment="1">
      <alignment horizontal="center" vertical="center" wrapText="1"/>
    </xf>
    <xf numFmtId="0" fontId="25" fillId="0" borderId="0" xfId="0" applyFont="1" applyAlignment="1">
      <alignment horizontal="left" vertical="center" wrapText="1"/>
    </xf>
    <xf numFmtId="10" fontId="22" fillId="3" borderId="2" xfId="3" applyNumberFormat="1" applyFont="1" applyFill="1" applyBorder="1" applyAlignment="1">
      <alignment horizontal="center" vertical="center" wrapText="1"/>
    </xf>
    <xf numFmtId="10" fontId="25" fillId="0" borderId="0" xfId="0" applyNumberFormat="1" applyFont="1" applyAlignment="1">
      <alignment horizontal="left" vertical="center" wrapText="1"/>
    </xf>
    <xf numFmtId="167" fontId="0" fillId="0" borderId="14" xfId="0" applyNumberFormat="1" applyBorder="1" applyAlignment="1">
      <alignment horizontal="left" vertical="center" wrapText="1"/>
    </xf>
    <xf numFmtId="0" fontId="0" fillId="0" borderId="5" xfId="0" applyBorder="1" applyAlignment="1">
      <alignment horizontal="left" vertical="center" wrapText="1"/>
    </xf>
    <xf numFmtId="167" fontId="0" fillId="0" borderId="5" xfId="0" applyNumberFormat="1" applyBorder="1" applyAlignment="1">
      <alignment horizontal="left" vertical="center" wrapText="1"/>
    </xf>
    <xf numFmtId="0" fontId="0" fillId="0" borderId="5" xfId="0" applyBorder="1" applyAlignment="1">
      <alignment horizontal="center" vertical="center" wrapText="1"/>
    </xf>
    <xf numFmtId="167" fontId="0" fillId="0" borderId="5" xfId="0" applyNumberFormat="1" applyBorder="1" applyAlignment="1">
      <alignment horizontal="left" vertical="top" wrapText="1"/>
    </xf>
    <xf numFmtId="167" fontId="0" fillId="0" borderId="5" xfId="0" applyNumberFormat="1" applyBorder="1" applyAlignment="1">
      <alignment vertical="center" wrapText="1"/>
    </xf>
    <xf numFmtId="169" fontId="31" fillId="0" borderId="5" xfId="0" applyNumberFormat="1" applyFont="1" applyBorder="1" applyAlignment="1">
      <alignment horizontal="left" vertical="center" wrapText="1"/>
    </xf>
    <xf numFmtId="171" fontId="0" fillId="0" borderId="5" xfId="0" applyNumberFormat="1" applyBorder="1" applyAlignment="1">
      <alignment horizontal="left" vertical="center" wrapText="1"/>
    </xf>
    <xf numFmtId="169" fontId="0" fillId="0" borderId="5" xfId="0" applyNumberFormat="1" applyBorder="1" applyAlignment="1">
      <alignment horizontal="left" vertical="center" wrapText="1"/>
    </xf>
    <xf numFmtId="165" fontId="0" fillId="0" borderId="5" xfId="0" applyNumberFormat="1" applyBorder="1" applyAlignment="1">
      <alignment horizontal="left" vertical="center" wrapText="1"/>
    </xf>
    <xf numFmtId="14" fontId="0" fillId="0" borderId="5" xfId="0" applyNumberFormat="1" applyBorder="1" applyAlignment="1">
      <alignment horizontal="left" vertical="center" wrapText="1"/>
    </xf>
    <xf numFmtId="0" fontId="0" fillId="0" borderId="5" xfId="0" applyBorder="1" applyAlignment="1">
      <alignment vertical="center" wrapText="1"/>
    </xf>
    <xf numFmtId="14" fontId="0" fillId="0" borderId="5" xfId="0" applyNumberFormat="1" applyBorder="1" applyAlignment="1">
      <alignment vertical="center" wrapText="1"/>
    </xf>
    <xf numFmtId="10" fontId="0" fillId="0" borderId="5" xfId="0" applyNumberFormat="1" applyBorder="1" applyAlignment="1">
      <alignment vertical="center" wrapText="1"/>
    </xf>
    <xf numFmtId="167" fontId="0" fillId="0" borderId="2" xfId="0" applyNumberFormat="1" applyBorder="1" applyAlignment="1">
      <alignment vertical="center" wrapText="1"/>
    </xf>
    <xf numFmtId="167" fontId="0" fillId="0" borderId="13" xfId="0" applyNumberFormat="1" applyBorder="1" applyAlignment="1">
      <alignment horizontal="left" vertical="center" wrapText="1"/>
    </xf>
    <xf numFmtId="167" fontId="47" fillId="0" borderId="5" xfId="0" applyNumberFormat="1" applyFont="1" applyBorder="1" applyAlignment="1">
      <alignment horizontal="left" vertical="center" wrapText="1"/>
    </xf>
    <xf numFmtId="167" fontId="0" fillId="0" borderId="1" xfId="0" applyNumberFormat="1" applyBorder="1" applyAlignment="1">
      <alignment vertical="center" wrapText="1"/>
    </xf>
    <xf numFmtId="167" fontId="47" fillId="0" borderId="1" xfId="0" applyNumberFormat="1" applyFont="1" applyBorder="1" applyAlignment="1">
      <alignment horizontal="left" vertical="top" wrapText="1"/>
    </xf>
    <xf numFmtId="0" fontId="45" fillId="0" borderId="0" xfId="0" applyFont="1"/>
    <xf numFmtId="167" fontId="25" fillId="0" borderId="5" xfId="0" applyNumberFormat="1" applyFont="1" applyBorder="1" applyAlignment="1">
      <alignment horizontal="left" vertical="center" wrapText="1"/>
    </xf>
    <xf numFmtId="0" fontId="0" fillId="0" borderId="14" xfId="0" applyBorder="1" applyAlignment="1">
      <alignment horizontal="center" vertical="center" wrapText="1"/>
    </xf>
    <xf numFmtId="167" fontId="47" fillId="0" borderId="5" xfId="0" applyNumberFormat="1" applyFont="1" applyBorder="1" applyAlignment="1">
      <alignment horizontal="left" vertical="top" wrapText="1"/>
    </xf>
    <xf numFmtId="167" fontId="0" fillId="0" borderId="25" xfId="0" applyNumberFormat="1" applyBorder="1" applyAlignment="1">
      <alignment horizontal="left" vertical="center" wrapText="1"/>
    </xf>
    <xf numFmtId="0" fontId="0" fillId="0" borderId="6" xfId="0" applyBorder="1" applyAlignment="1">
      <alignment horizontal="left" vertical="center" wrapText="1"/>
    </xf>
    <xf numFmtId="167" fontId="0" fillId="0" borderId="6" xfId="0" applyNumberFormat="1" applyBorder="1" applyAlignment="1">
      <alignment horizontal="left" vertical="center" wrapText="1"/>
    </xf>
    <xf numFmtId="167" fontId="0" fillId="0" borderId="6" xfId="0" applyNumberFormat="1" applyBorder="1" applyAlignment="1">
      <alignment vertical="center" wrapText="1"/>
    </xf>
    <xf numFmtId="0" fontId="46" fillId="0" borderId="5" xfId="0" applyFont="1" applyBorder="1" applyAlignment="1">
      <alignment vertical="center" wrapText="1"/>
    </xf>
    <xf numFmtId="167" fontId="0" fillId="0" borderId="1" xfId="0" applyNumberFormat="1" applyBorder="1" applyAlignment="1">
      <alignment horizontal="left" vertical="center" wrapText="1"/>
    </xf>
    <xf numFmtId="0" fontId="0" fillId="0" borderId="1" xfId="0" applyBorder="1" applyAlignment="1">
      <alignment horizontal="center" vertical="center" wrapText="1"/>
    </xf>
    <xf numFmtId="171" fontId="0" fillId="0" borderId="1" xfId="0" applyNumberFormat="1" applyBorder="1" applyAlignment="1">
      <alignment horizontal="left" vertical="center" wrapText="1"/>
    </xf>
    <xf numFmtId="165" fontId="0" fillId="0" borderId="1" xfId="0" applyNumberFormat="1" applyBorder="1" applyAlignment="1">
      <alignment horizontal="left" vertical="center" wrapText="1"/>
    </xf>
    <xf numFmtId="169" fontId="0" fillId="0" borderId="1" xfId="0" applyNumberFormat="1" applyBorder="1" applyAlignment="1">
      <alignment horizontal="left" vertical="center" wrapText="1"/>
    </xf>
    <xf numFmtId="14" fontId="0" fillId="0" borderId="1" xfId="0" applyNumberFormat="1" applyBorder="1" applyAlignment="1">
      <alignment horizontal="left" vertical="center" wrapText="1"/>
    </xf>
    <xf numFmtId="0" fontId="0" fillId="0" borderId="1" xfId="0" applyBorder="1" applyAlignment="1">
      <alignment vertical="center" wrapText="1"/>
    </xf>
    <xf numFmtId="14" fontId="0" fillId="0" borderId="1" xfId="0" applyNumberFormat="1" applyBorder="1" applyAlignment="1">
      <alignment vertical="center" wrapText="1"/>
    </xf>
    <xf numFmtId="167" fontId="0" fillId="0" borderId="3" xfId="0" applyNumberFormat="1" applyBorder="1" applyAlignment="1">
      <alignment vertical="center" wrapText="1"/>
    </xf>
    <xf numFmtId="10" fontId="0" fillId="0" borderId="1" xfId="0" applyNumberFormat="1" applyBorder="1" applyAlignment="1">
      <alignment vertical="center" wrapText="1"/>
    </xf>
    <xf numFmtId="0" fontId="0" fillId="0" borderId="4" xfId="0" applyBorder="1" applyAlignment="1">
      <alignment vertical="center" wrapText="1"/>
    </xf>
    <xf numFmtId="0" fontId="45" fillId="0" borderId="14" xfId="0" applyFont="1" applyBorder="1" applyAlignment="1">
      <alignment vertical="center"/>
    </xf>
    <xf numFmtId="167" fontId="0" fillId="0" borderId="0" xfId="0" applyNumberFormat="1" applyAlignment="1">
      <alignment horizontal="left" vertical="center" wrapText="1"/>
    </xf>
    <xf numFmtId="167" fontId="0" fillId="0" borderId="4" xfId="0" applyNumberFormat="1" applyBorder="1" applyAlignment="1">
      <alignment horizontal="left" vertical="center" wrapText="1"/>
    </xf>
    <xf numFmtId="0" fontId="0" fillId="0" borderId="13" xfId="0" applyBorder="1" applyAlignment="1">
      <alignment horizontal="left" vertical="center" wrapText="1"/>
    </xf>
    <xf numFmtId="0" fontId="0" fillId="0" borderId="4" xfId="0" applyBorder="1" applyAlignment="1">
      <alignment horizontal="center" vertical="center" wrapText="1"/>
    </xf>
    <xf numFmtId="167" fontId="0" fillId="0" borderId="3" xfId="0" applyNumberFormat="1" applyBorder="1" applyAlignment="1">
      <alignment horizontal="left" vertical="center" wrapText="1"/>
    </xf>
    <xf numFmtId="0" fontId="0" fillId="12" borderId="5" xfId="0" applyFill="1" applyBorder="1" applyAlignment="1">
      <alignment horizontal="center" vertical="center" wrapText="1"/>
    </xf>
    <xf numFmtId="165" fontId="0" fillId="0" borderId="5" xfId="0" applyNumberFormat="1" applyBorder="1" applyAlignment="1">
      <alignment vertical="center" wrapText="1"/>
    </xf>
    <xf numFmtId="0" fontId="46" fillId="12" borderId="5" xfId="0" applyFont="1" applyFill="1" applyBorder="1" applyAlignment="1">
      <alignment horizontal="center" vertical="center"/>
    </xf>
    <xf numFmtId="0" fontId="0" fillId="12" borderId="1" xfId="0" applyFill="1" applyBorder="1" applyAlignment="1">
      <alignment horizontal="center" vertical="center" wrapText="1"/>
    </xf>
    <xf numFmtId="0" fontId="0" fillId="12" borderId="14" xfId="0" applyFill="1" applyBorder="1" applyAlignment="1">
      <alignment horizontal="center" vertical="center" wrapText="1"/>
    </xf>
    <xf numFmtId="0" fontId="49" fillId="13" borderId="1" xfId="41" applyFont="1" applyFill="1" applyBorder="1" applyAlignment="1">
      <alignment vertical="top"/>
    </xf>
    <xf numFmtId="0" fontId="6" fillId="13" borderId="1" xfId="41" applyFill="1" applyBorder="1" applyAlignment="1">
      <alignment vertical="top"/>
    </xf>
    <xf numFmtId="0" fontId="6" fillId="14" borderId="1" xfId="41" applyFill="1" applyBorder="1" applyAlignment="1">
      <alignment vertical="top"/>
    </xf>
    <xf numFmtId="2" fontId="35" fillId="0" borderId="15" xfId="3" applyNumberFormat="1" applyFont="1" applyBorder="1" applyAlignment="1">
      <alignment horizontal="center" vertical="center" wrapText="1"/>
    </xf>
    <xf numFmtId="0" fontId="35" fillId="0" borderId="2" xfId="3" applyNumberFormat="1" applyFont="1" applyBorder="1" applyAlignment="1">
      <alignment horizontal="center" vertical="center" wrapText="1"/>
    </xf>
    <xf numFmtId="167" fontId="35" fillId="0" borderId="2" xfId="3" applyFont="1" applyBorder="1" applyAlignment="1">
      <alignment horizontal="center" vertical="center" wrapText="1"/>
    </xf>
    <xf numFmtId="167" fontId="35" fillId="0" borderId="2" xfId="1" applyFont="1" applyBorder="1" applyAlignment="1" applyProtection="1">
      <alignment horizontal="center" vertical="center" wrapText="1"/>
      <protection locked="0"/>
    </xf>
    <xf numFmtId="167" fontId="36" fillId="0" borderId="2" xfId="1" applyFont="1" applyBorder="1" applyAlignment="1" applyProtection="1">
      <alignment horizontal="center" vertical="center" wrapText="1"/>
      <protection locked="0"/>
    </xf>
    <xf numFmtId="167" fontId="35" fillId="0" borderId="2" xfId="1" applyFont="1" applyBorder="1" applyAlignment="1" applyProtection="1">
      <alignment horizontal="center" vertical="center" wrapText="1" shrinkToFit="1"/>
      <protection locked="0"/>
    </xf>
    <xf numFmtId="167" fontId="37" fillId="0" borderId="2" xfId="1" applyFont="1" applyBorder="1" applyAlignment="1" applyProtection="1">
      <alignment horizontal="center" vertical="center" wrapText="1"/>
      <protection locked="0"/>
    </xf>
    <xf numFmtId="167" fontId="36" fillId="0" borderId="2" xfId="1" applyFont="1" applyBorder="1" applyAlignment="1" applyProtection="1">
      <alignment horizontal="center" vertical="center" wrapText="1" shrinkToFit="1"/>
      <protection locked="0"/>
    </xf>
    <xf numFmtId="167" fontId="0" fillId="6" borderId="5" xfId="0" applyNumberFormat="1" applyFill="1" applyBorder="1" applyAlignment="1">
      <alignment vertical="center" wrapText="1"/>
    </xf>
    <xf numFmtId="167" fontId="0" fillId="16" borderId="5" xfId="0" applyNumberFormat="1" applyFill="1" applyBorder="1" applyAlignment="1">
      <alignment vertical="center" wrapText="1"/>
    </xf>
    <xf numFmtId="10" fontId="0" fillId="17" borderId="5" xfId="0" applyNumberFormat="1" applyFill="1" applyBorder="1" applyAlignment="1">
      <alignment vertical="center" wrapText="1"/>
    </xf>
    <xf numFmtId="167" fontId="0" fillId="18" borderId="5" xfId="0" applyNumberFormat="1" applyFill="1" applyBorder="1" applyAlignment="1">
      <alignment vertical="center" wrapText="1"/>
    </xf>
    <xf numFmtId="167" fontId="25" fillId="18" borderId="5" xfId="0" applyNumberFormat="1" applyFont="1" applyFill="1" applyBorder="1" applyAlignment="1">
      <alignment vertical="center" wrapText="1"/>
    </xf>
    <xf numFmtId="167" fontId="0" fillId="6" borderId="1" xfId="0" applyNumberFormat="1" applyFill="1" applyBorder="1" applyAlignment="1">
      <alignment vertical="center" wrapText="1"/>
    </xf>
    <xf numFmtId="167" fontId="0" fillId="16" borderId="1" xfId="0" applyNumberFormat="1" applyFill="1" applyBorder="1" applyAlignment="1">
      <alignment vertical="center" wrapText="1"/>
    </xf>
    <xf numFmtId="10" fontId="0" fillId="17" borderId="1" xfId="0" applyNumberFormat="1" applyFill="1" applyBorder="1" applyAlignment="1">
      <alignment vertical="center" wrapText="1"/>
    </xf>
    <xf numFmtId="167" fontId="0" fillId="18" borderId="1" xfId="0" applyNumberFormat="1" applyFill="1" applyBorder="1" applyAlignment="1">
      <alignment vertical="center" wrapText="1"/>
    </xf>
    <xf numFmtId="167" fontId="25" fillId="6" borderId="1" xfId="0" applyNumberFormat="1" applyFont="1" applyFill="1" applyBorder="1" applyAlignment="1">
      <alignment vertical="center" wrapText="1"/>
    </xf>
    <xf numFmtId="167" fontId="25" fillId="16" borderId="1" xfId="0" applyNumberFormat="1" applyFont="1" applyFill="1" applyBorder="1" applyAlignment="1">
      <alignment vertical="center" wrapText="1"/>
    </xf>
    <xf numFmtId="10" fontId="25" fillId="17" borderId="0" xfId="0" applyNumberFormat="1" applyFont="1" applyFill="1" applyAlignment="1">
      <alignment horizontal="left" vertical="center" wrapText="1"/>
    </xf>
    <xf numFmtId="167" fontId="25" fillId="18" borderId="0" xfId="0" applyNumberFormat="1" applyFont="1" applyFill="1" applyAlignment="1">
      <alignment horizontal="left" vertical="center" wrapText="1"/>
    </xf>
    <xf numFmtId="16" fontId="0" fillId="0" borderId="0" xfId="0" applyNumberFormat="1"/>
    <xf numFmtId="0" fontId="44" fillId="0" borderId="1" xfId="0" applyFont="1" applyBorder="1" applyAlignment="1">
      <alignment vertical="center" wrapText="1"/>
    </xf>
    <xf numFmtId="0" fontId="50" fillId="0" borderId="0" xfId="0" applyFont="1" applyAlignment="1">
      <alignment vertical="center"/>
    </xf>
    <xf numFmtId="0" fontId="51" fillId="0" borderId="9" xfId="0" applyFont="1" applyBorder="1" applyAlignment="1">
      <alignment vertical="center"/>
    </xf>
    <xf numFmtId="0" fontId="51" fillId="0" borderId="20" xfId="0" applyFont="1" applyBorder="1" applyAlignment="1">
      <alignment vertical="center"/>
    </xf>
    <xf numFmtId="0" fontId="44" fillId="0" borderId="29" xfId="0" applyFont="1" applyBorder="1" applyAlignment="1">
      <alignment vertical="center"/>
    </xf>
    <xf numFmtId="0" fontId="44" fillId="0" borderId="29" xfId="0" applyFont="1" applyBorder="1" applyAlignment="1">
      <alignment horizontal="right" vertical="center"/>
    </xf>
    <xf numFmtId="0" fontId="44" fillId="0" borderId="31" xfId="0" applyFont="1" applyBorder="1" applyAlignment="1">
      <alignment vertical="center"/>
    </xf>
    <xf numFmtId="0" fontId="51" fillId="0" borderId="29" xfId="0" applyFont="1" applyBorder="1" applyAlignment="1">
      <alignment horizontal="right" vertical="center"/>
    </xf>
    <xf numFmtId="0" fontId="40" fillId="0" borderId="0" xfId="0" applyFont="1" applyAlignment="1">
      <alignment vertical="center"/>
    </xf>
    <xf numFmtId="0" fontId="52" fillId="0" borderId="9" xfId="0" applyFont="1" applyBorder="1" applyAlignment="1">
      <alignment vertical="center"/>
    </xf>
    <xf numFmtId="0" fontId="52" fillId="0" borderId="20" xfId="0" applyFont="1" applyBorder="1" applyAlignment="1">
      <alignment vertical="center"/>
    </xf>
    <xf numFmtId="0" fontId="53" fillId="0" borderId="20" xfId="0" applyFont="1" applyBorder="1" applyAlignment="1">
      <alignment vertical="center"/>
    </xf>
    <xf numFmtId="0" fontId="53" fillId="0" borderId="20" xfId="0" applyFont="1" applyBorder="1" applyAlignment="1">
      <alignment vertical="center" wrapText="1"/>
    </xf>
    <xf numFmtId="0" fontId="53" fillId="0" borderId="31" xfId="0" applyFont="1" applyBorder="1" applyAlignment="1">
      <alignment vertical="center"/>
    </xf>
    <xf numFmtId="0" fontId="53" fillId="0" borderId="29" xfId="0" applyFont="1" applyBorder="1" applyAlignment="1">
      <alignment vertical="center"/>
    </xf>
    <xf numFmtId="0" fontId="52" fillId="0" borderId="29" xfId="0" applyFont="1" applyBorder="1" applyAlignment="1">
      <alignment vertical="center"/>
    </xf>
    <xf numFmtId="0" fontId="52" fillId="0" borderId="29" xfId="0" applyFont="1" applyBorder="1" applyAlignment="1">
      <alignment horizontal="right" vertical="center"/>
    </xf>
    <xf numFmtId="0" fontId="52" fillId="0" borderId="29" xfId="0" applyFont="1" applyBorder="1" applyAlignment="1">
      <alignment vertical="center" wrapText="1"/>
    </xf>
    <xf numFmtId="0" fontId="52" fillId="19" borderId="29" xfId="0" applyFont="1" applyFill="1" applyBorder="1" applyAlignment="1">
      <alignment horizontal="right" vertical="center"/>
    </xf>
    <xf numFmtId="0" fontId="27" fillId="0" borderId="1" xfId="0" applyFont="1" applyBorder="1" applyAlignment="1">
      <alignment vertical="center" wrapText="1"/>
    </xf>
    <xf numFmtId="0" fontId="52" fillId="0" borderId="31" xfId="0" applyFont="1" applyBorder="1" applyAlignment="1">
      <alignment vertical="center"/>
    </xf>
    <xf numFmtId="0" fontId="53" fillId="0" borderId="29" xfId="0" applyFont="1" applyBorder="1" applyAlignment="1">
      <alignment horizontal="right" vertical="center"/>
    </xf>
    <xf numFmtId="0" fontId="9" fillId="0" borderId="0" xfId="33"/>
    <xf numFmtId="9" fontId="0" fillId="0" borderId="0" xfId="34" applyFont="1"/>
    <xf numFmtId="0" fontId="9" fillId="0" borderId="0" xfId="33" applyAlignment="1">
      <alignment wrapText="1"/>
    </xf>
    <xf numFmtId="0" fontId="9" fillId="0" borderId="0" xfId="33" applyAlignment="1">
      <alignment horizontal="left" vertical="top" wrapText="1"/>
    </xf>
    <xf numFmtId="0" fontId="54" fillId="0" borderId="1" xfId="33" applyFont="1" applyBorder="1" applyAlignment="1">
      <alignment horizontal="left" vertical="center" wrapText="1"/>
    </xf>
    <xf numFmtId="15" fontId="9" fillId="0" borderId="1" xfId="33" applyNumberFormat="1" applyBorder="1"/>
    <xf numFmtId="0" fontId="9" fillId="0" borderId="1" xfId="33" applyBorder="1"/>
    <xf numFmtId="0" fontId="9" fillId="12" borderId="1" xfId="33" applyFill="1" applyBorder="1" applyAlignment="1">
      <alignment horizontal="center" vertical="center"/>
    </xf>
    <xf numFmtId="0" fontId="9" fillId="19" borderId="1" xfId="33" applyFill="1" applyBorder="1" applyAlignment="1">
      <alignment horizontal="center" vertical="center"/>
    </xf>
    <xf numFmtId="0" fontId="9" fillId="13" borderId="1" xfId="33" applyFill="1" applyBorder="1" applyAlignment="1">
      <alignment horizontal="center" vertical="center"/>
    </xf>
    <xf numFmtId="0" fontId="0" fillId="20" borderId="1" xfId="34" applyNumberFormat="1" applyFont="1" applyFill="1" applyBorder="1" applyAlignment="1">
      <alignment horizontal="center" vertical="center"/>
    </xf>
    <xf numFmtId="0" fontId="54" fillId="0" borderId="1" xfId="33" applyFont="1" applyBorder="1" applyAlignment="1">
      <alignment horizontal="center" vertical="center" wrapText="1"/>
    </xf>
    <xf numFmtId="9" fontId="0" fillId="0" borderId="1" xfId="34" applyFont="1" applyBorder="1" applyAlignment="1">
      <alignment horizontal="center"/>
    </xf>
    <xf numFmtId="0" fontId="9" fillId="0" borderId="1" xfId="33" applyBorder="1" applyAlignment="1">
      <alignment horizontal="center" vertical="center"/>
    </xf>
    <xf numFmtId="9" fontId="0" fillId="0" borderId="1" xfId="34" applyFont="1" applyFill="1" applyBorder="1" applyAlignment="1">
      <alignment horizontal="center"/>
    </xf>
    <xf numFmtId="0" fontId="9" fillId="0" borderId="1" xfId="33" applyBorder="1" applyAlignment="1">
      <alignment wrapText="1"/>
    </xf>
    <xf numFmtId="0" fontId="0" fillId="0" borderId="1" xfId="33" applyFont="1" applyBorder="1"/>
    <xf numFmtId="0" fontId="0" fillId="0" borderId="1" xfId="33" applyFont="1" applyBorder="1" applyAlignment="1">
      <alignment wrapText="1"/>
    </xf>
    <xf numFmtId="15" fontId="9" fillId="12" borderId="1" xfId="33" applyNumberFormat="1" applyFill="1" applyBorder="1"/>
    <xf numFmtId="0" fontId="9" fillId="12" borderId="1" xfId="33" applyFill="1" applyBorder="1"/>
    <xf numFmtId="0" fontId="54" fillId="12" borderId="1" xfId="33" applyFont="1" applyFill="1" applyBorder="1" applyAlignment="1">
      <alignment horizontal="center" vertical="center" wrapText="1"/>
    </xf>
    <xf numFmtId="9" fontId="0" fillId="12" borderId="1" xfId="34" applyFont="1" applyFill="1" applyBorder="1" applyAlignment="1">
      <alignment horizontal="center"/>
    </xf>
    <xf numFmtId="0" fontId="9" fillId="13" borderId="1" xfId="33" applyFill="1" applyBorder="1"/>
    <xf numFmtId="0" fontId="54" fillId="0" borderId="1" xfId="33" applyFont="1" applyBorder="1" applyAlignment="1">
      <alignment horizontal="center" vertical="center"/>
    </xf>
    <xf numFmtId="9" fontId="0" fillId="0" borderId="1" xfId="34" applyFont="1" applyBorder="1" applyAlignment="1">
      <alignment horizontal="center" vertical="center"/>
    </xf>
    <xf numFmtId="9" fontId="0" fillId="0" borderId="1" xfId="34" applyFont="1" applyFill="1" applyBorder="1" applyAlignment="1">
      <alignment horizontal="center" vertical="center"/>
    </xf>
    <xf numFmtId="0" fontId="9" fillId="0" borderId="1" xfId="33" applyBorder="1" applyAlignment="1">
      <alignment horizontal="left" vertical="top" wrapText="1"/>
    </xf>
    <xf numFmtId="15" fontId="9" fillId="0" borderId="1" xfId="33" applyNumberFormat="1" applyBorder="1" applyAlignment="1">
      <alignment horizontal="right" vertical="top" wrapText="1"/>
    </xf>
    <xf numFmtId="9" fontId="0" fillId="0" borderId="1" xfId="34" applyFont="1" applyFill="1" applyBorder="1" applyAlignment="1">
      <alignment horizontal="center" vertical="center" wrapText="1"/>
    </xf>
    <xf numFmtId="0" fontId="9" fillId="0" borderId="1" xfId="33" applyBorder="1" applyAlignment="1">
      <alignment vertical="top" wrapText="1"/>
    </xf>
    <xf numFmtId="0" fontId="9" fillId="15" borderId="0" xfId="33" applyFill="1"/>
    <xf numFmtId="15" fontId="9" fillId="19" borderId="1" xfId="33" applyNumberFormat="1" applyFill="1" applyBorder="1"/>
    <xf numFmtId="0" fontId="9" fillId="19" borderId="1" xfId="33" applyFill="1" applyBorder="1"/>
    <xf numFmtId="0" fontId="0" fillId="19" borderId="1" xfId="34" applyNumberFormat="1" applyFont="1" applyFill="1" applyBorder="1" applyAlignment="1">
      <alignment horizontal="center" vertical="center"/>
    </xf>
    <xf numFmtId="0" fontId="54" fillId="19" borderId="1" xfId="33" applyFont="1" applyFill="1" applyBorder="1" applyAlignment="1">
      <alignment horizontal="center" vertical="center" wrapText="1"/>
    </xf>
    <xf numFmtId="9" fontId="0" fillId="19" borderId="1" xfId="34" applyFont="1" applyFill="1" applyBorder="1" applyAlignment="1">
      <alignment horizontal="center"/>
    </xf>
    <xf numFmtId="0" fontId="9" fillId="19" borderId="1" xfId="33" applyFill="1" applyBorder="1" applyAlignment="1">
      <alignment wrapText="1"/>
    </xf>
    <xf numFmtId="0" fontId="54" fillId="0" borderId="1" xfId="33" applyFont="1" applyBorder="1" applyAlignment="1">
      <alignment horizontal="center" vertical="top" wrapText="1"/>
    </xf>
    <xf numFmtId="9" fontId="0" fillId="0" borderId="1" xfId="34" applyFont="1" applyFill="1" applyBorder="1" applyAlignment="1">
      <alignment horizontal="center" vertical="top" wrapText="1"/>
    </xf>
    <xf numFmtId="0" fontId="0" fillId="19" borderId="1" xfId="33" applyFont="1" applyFill="1" applyBorder="1" applyAlignment="1">
      <alignment wrapText="1"/>
    </xf>
    <xf numFmtId="0" fontId="0" fillId="0" borderId="0" xfId="0" applyAlignment="1">
      <alignment horizontal="left" vertical="center"/>
    </xf>
    <xf numFmtId="0" fontId="49" fillId="13" borderId="1" xfId="0" applyFont="1" applyFill="1" applyBorder="1" applyAlignment="1">
      <alignment vertical="top"/>
    </xf>
    <xf numFmtId="0" fontId="0" fillId="0" borderId="0" xfId="0" applyAlignment="1">
      <alignment vertical="top"/>
    </xf>
    <xf numFmtId="0" fontId="0" fillId="12" borderId="0" xfId="0" applyFill="1"/>
    <xf numFmtId="0" fontId="56" fillId="0" borderId="0" xfId="0" applyFont="1"/>
    <xf numFmtId="0" fontId="58" fillId="0" borderId="0" xfId="0" applyFont="1" applyAlignment="1">
      <alignment wrapText="1"/>
    </xf>
    <xf numFmtId="0" fontId="55" fillId="12" borderId="0" xfId="0" applyFont="1" applyFill="1"/>
    <xf numFmtId="0" fontId="9" fillId="0" borderId="27" xfId="33" applyBorder="1"/>
    <xf numFmtId="0" fontId="44" fillId="0" borderId="5" xfId="0" applyFont="1" applyBorder="1" applyAlignment="1">
      <alignment horizontal="left" vertical="center" wrapText="1"/>
    </xf>
    <xf numFmtId="0" fontId="44" fillId="0" borderId="14" xfId="0" applyFont="1" applyBorder="1" applyAlignment="1">
      <alignment wrapText="1"/>
    </xf>
    <xf numFmtId="0" fontId="19" fillId="0" borderId="1" xfId="0" applyFont="1" applyBorder="1" applyAlignment="1">
      <alignment horizontal="center" vertical="center"/>
    </xf>
    <xf numFmtId="0" fontId="44" fillId="0" borderId="5" xfId="0" applyFont="1" applyBorder="1" applyAlignment="1">
      <alignment wrapText="1"/>
    </xf>
    <xf numFmtId="10" fontId="25" fillId="0" borderId="27" xfId="0" applyNumberFormat="1" applyFont="1" applyBorder="1" applyAlignment="1">
      <alignment horizontal="left" vertical="center" wrapText="1"/>
    </xf>
    <xf numFmtId="167" fontId="25" fillId="0" borderId="27" xfId="0" applyNumberFormat="1" applyFont="1" applyBorder="1" applyAlignment="1">
      <alignment horizontal="left" vertical="center" wrapText="1"/>
    </xf>
    <xf numFmtId="0" fontId="58" fillId="0" borderId="1" xfId="0" applyFont="1" applyBorder="1" applyAlignment="1">
      <alignment horizontal="left" vertical="center"/>
    </xf>
    <xf numFmtId="167" fontId="0" fillId="0" borderId="32" xfId="0" applyNumberFormat="1" applyBorder="1" applyAlignment="1">
      <alignment vertical="center" wrapText="1"/>
    </xf>
    <xf numFmtId="167" fontId="0" fillId="0" borderId="33" xfId="0" applyNumberFormat="1" applyBorder="1" applyAlignment="1">
      <alignment vertical="center" wrapText="1"/>
    </xf>
    <xf numFmtId="0" fontId="58" fillId="0" borderId="1" xfId="0" applyFont="1" applyBorder="1" applyAlignment="1">
      <alignment horizontal="left" vertical="center" wrapText="1"/>
    </xf>
    <xf numFmtId="0" fontId="62" fillId="0" borderId="1" xfId="0" applyFont="1" applyBorder="1" applyAlignment="1">
      <alignment horizontal="right" vertical="center"/>
    </xf>
    <xf numFmtId="1" fontId="19" fillId="0" borderId="1" xfId="0" applyNumberFormat="1" applyFont="1" applyBorder="1" applyAlignment="1">
      <alignment vertical="center"/>
    </xf>
    <xf numFmtId="167" fontId="0" fillId="0" borderId="34" xfId="0" applyNumberFormat="1" applyBorder="1" applyAlignment="1">
      <alignment vertical="center" wrapText="1"/>
    </xf>
    <xf numFmtId="16" fontId="0" fillId="0" borderId="0" xfId="0" applyNumberFormat="1" applyAlignment="1">
      <alignment horizontal="left" vertical="center"/>
    </xf>
    <xf numFmtId="0" fontId="49" fillId="0" borderId="1" xfId="0" applyFont="1" applyBorder="1" applyAlignment="1">
      <alignment vertical="top"/>
    </xf>
    <xf numFmtId="0" fontId="0" fillId="0" borderId="1" xfId="0" applyBorder="1" applyAlignment="1">
      <alignment vertical="top"/>
    </xf>
    <xf numFmtId="0" fontId="45" fillId="0" borderId="14" xfId="0" applyFont="1" applyBorder="1" applyAlignment="1">
      <alignment wrapText="1"/>
    </xf>
    <xf numFmtId="167" fontId="0" fillId="0" borderId="2" xfId="0" applyNumberFormat="1" applyBorder="1" applyAlignment="1">
      <alignment horizontal="left" vertical="center" wrapText="1"/>
    </xf>
    <xf numFmtId="0" fontId="0" fillId="0" borderId="13" xfId="0" applyBorder="1" applyAlignment="1">
      <alignment horizontal="center" vertical="center" wrapText="1"/>
    </xf>
    <xf numFmtId="0" fontId="45" fillId="0" borderId="5" xfId="0" applyFont="1" applyBorder="1" applyAlignment="1">
      <alignment horizontal="center" vertical="center"/>
    </xf>
    <xf numFmtId="0" fontId="0" fillId="12" borderId="4" xfId="0" applyFill="1" applyBorder="1" applyAlignment="1">
      <alignment horizontal="center" vertical="center" wrapText="1"/>
    </xf>
    <xf numFmtId="0" fontId="46" fillId="12" borderId="1" xfId="0" applyFont="1" applyFill="1" applyBorder="1" applyAlignment="1">
      <alignment horizontal="center" vertical="center"/>
    </xf>
    <xf numFmtId="0" fontId="19" fillId="0" borderId="5" xfId="0" applyFont="1" applyBorder="1"/>
    <xf numFmtId="0" fontId="19" fillId="0" borderId="5" xfId="0" applyFont="1" applyBorder="1" applyAlignment="1">
      <alignment horizontal="center" vertical="center"/>
    </xf>
    <xf numFmtId="0" fontId="0" fillId="0" borderId="26" xfId="0" applyBorder="1" applyAlignment="1">
      <alignment horizontal="center" vertical="center" wrapText="1"/>
    </xf>
    <xf numFmtId="0" fontId="0" fillId="0" borderId="4" xfId="0" applyBorder="1" applyAlignment="1">
      <alignment horizontal="left" vertical="center" wrapText="1"/>
    </xf>
    <xf numFmtId="0" fontId="45" fillId="0" borderId="5" xfId="0" applyFont="1" applyBorder="1"/>
    <xf numFmtId="0" fontId="45" fillId="0" borderId="1" xfId="0" applyFont="1" applyBorder="1"/>
    <xf numFmtId="0" fontId="30" fillId="0" borderId="5" xfId="0" applyFont="1" applyBorder="1" applyAlignment="1">
      <alignment horizontal="left" vertical="center" wrapText="1"/>
    </xf>
    <xf numFmtId="167" fontId="0" fillId="0" borderId="1" xfId="0" applyNumberFormat="1" applyBorder="1" applyAlignment="1">
      <alignment horizontal="left" vertical="top" wrapText="1"/>
    </xf>
    <xf numFmtId="167" fontId="47" fillId="0" borderId="1" xfId="0" applyNumberFormat="1" applyFont="1" applyBorder="1" applyAlignment="1">
      <alignment horizontal="left" vertical="center" wrapText="1"/>
    </xf>
    <xf numFmtId="167" fontId="25" fillId="0" borderId="5" xfId="0" applyNumberFormat="1" applyFont="1" applyBorder="1" applyAlignment="1">
      <alignment vertical="center" wrapText="1"/>
    </xf>
    <xf numFmtId="0" fontId="45" fillId="0" borderId="4" xfId="0" applyFont="1" applyBorder="1" applyAlignment="1">
      <alignment wrapText="1"/>
    </xf>
    <xf numFmtId="0" fontId="0" fillId="0" borderId="13" xfId="0" applyBorder="1" applyAlignment="1">
      <alignment vertical="center" wrapText="1"/>
    </xf>
    <xf numFmtId="0" fontId="19" fillId="0" borderId="6" xfId="0" applyFont="1" applyBorder="1"/>
    <xf numFmtId="0" fontId="58" fillId="0" borderId="4" xfId="0" applyFont="1" applyBorder="1" applyAlignment="1">
      <alignment horizontal="center" vertical="center"/>
    </xf>
    <xf numFmtId="0" fontId="19" fillId="0" borderId="4" xfId="0" applyFont="1" applyBorder="1" applyAlignment="1">
      <alignment horizontal="center" vertical="center"/>
    </xf>
    <xf numFmtId="0" fontId="45" fillId="0" borderId="14" xfId="0" applyFont="1" applyBorder="1" applyAlignment="1">
      <alignment horizontal="center" vertical="center"/>
    </xf>
    <xf numFmtId="0" fontId="19" fillId="0" borderId="6" xfId="0" applyFont="1" applyBorder="1" applyAlignment="1">
      <alignment vertical="center" wrapText="1"/>
    </xf>
    <xf numFmtId="0" fontId="0" fillId="0" borderId="14" xfId="0" applyBorder="1" applyAlignment="1">
      <alignment horizontal="left" vertical="center" wrapText="1"/>
    </xf>
    <xf numFmtId="0" fontId="19" fillId="0" borderId="1" xfId="0" applyFont="1" applyBorder="1" applyAlignment="1">
      <alignment wrapText="1"/>
    </xf>
    <xf numFmtId="0" fontId="44" fillId="0" borderId="5" xfId="0" applyFont="1" applyBorder="1" applyAlignment="1">
      <alignment vertical="center" wrapText="1"/>
    </xf>
    <xf numFmtId="165" fontId="25" fillId="0" borderId="5" xfId="0" applyNumberFormat="1" applyFont="1" applyBorder="1" applyAlignment="1">
      <alignment horizontal="left" vertical="center" wrapText="1"/>
    </xf>
    <xf numFmtId="0" fontId="61" fillId="21" borderId="5" xfId="0" applyFont="1" applyFill="1" applyBorder="1" applyAlignment="1">
      <alignment horizontal="left" vertical="center" wrapText="1"/>
    </xf>
    <xf numFmtId="0" fontId="63" fillId="0" borderId="0" xfId="0" applyFont="1"/>
    <xf numFmtId="167" fontId="0" fillId="0" borderId="0" xfId="0" applyNumberFormat="1" applyAlignment="1">
      <alignment horizontal="left" vertical="top" wrapText="1"/>
    </xf>
    <xf numFmtId="0" fontId="64" fillId="13" borderId="1" xfId="41" applyFont="1" applyFill="1" applyBorder="1" applyAlignment="1">
      <alignment vertical="top"/>
    </xf>
    <xf numFmtId="167" fontId="65" fillId="0" borderId="1" xfId="0" applyNumberFormat="1" applyFont="1" applyBorder="1" applyAlignment="1">
      <alignment horizontal="left" vertical="center" wrapText="1"/>
    </xf>
    <xf numFmtId="167" fontId="0" fillId="0" borderId="27" xfId="0" applyNumberFormat="1" applyBorder="1" applyAlignment="1">
      <alignment horizontal="left" vertical="center" wrapText="1"/>
    </xf>
    <xf numFmtId="0" fontId="64" fillId="13" borderId="0" xfId="41" applyFont="1" applyFill="1" applyAlignment="1">
      <alignment vertical="top"/>
    </xf>
    <xf numFmtId="0" fontId="49" fillId="13" borderId="0" xfId="41" applyFont="1" applyFill="1" applyAlignment="1">
      <alignment vertical="top"/>
    </xf>
    <xf numFmtId="0" fontId="64" fillId="12" borderId="0" xfId="41" applyFont="1" applyFill="1" applyAlignment="1">
      <alignment vertical="top"/>
    </xf>
    <xf numFmtId="0" fontId="49" fillId="15" borderId="0" xfId="41" applyFont="1" applyFill="1" applyAlignment="1">
      <alignment vertical="top"/>
    </xf>
    <xf numFmtId="0" fontId="49" fillId="12" borderId="0" xfId="41" applyFont="1" applyFill="1" applyAlignment="1">
      <alignment vertical="top"/>
    </xf>
    <xf numFmtId="0" fontId="6" fillId="13" borderId="0" xfId="41" applyFill="1" applyAlignment="1">
      <alignment vertical="top"/>
    </xf>
    <xf numFmtId="0" fontId="6" fillId="14" borderId="0" xfId="41" applyFill="1" applyAlignment="1">
      <alignment vertical="top"/>
    </xf>
    <xf numFmtId="0" fontId="6" fillId="19" borderId="0" xfId="41" applyFill="1" applyAlignment="1">
      <alignment vertical="top"/>
    </xf>
    <xf numFmtId="0" fontId="45" fillId="0" borderId="27" xfId="0" applyFont="1" applyBorder="1" applyAlignment="1">
      <alignment wrapText="1"/>
    </xf>
    <xf numFmtId="0" fontId="58" fillId="0" borderId="1" xfId="0" applyFont="1" applyBorder="1" applyAlignment="1">
      <alignment vertical="center" wrapText="1"/>
    </xf>
    <xf numFmtId="0" fontId="44" fillId="0" borderId="14" xfId="0" applyFont="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12" borderId="0" xfId="0" applyFill="1" applyAlignment="1">
      <alignment horizontal="center" vertical="center" wrapText="1"/>
    </xf>
    <xf numFmtId="167" fontId="0" fillId="0" borderId="0" xfId="0" applyNumberFormat="1" applyAlignment="1">
      <alignment vertical="center" wrapText="1"/>
    </xf>
    <xf numFmtId="169" fontId="31" fillId="0" borderId="0" xfId="0" applyNumberFormat="1" applyFont="1" applyAlignment="1">
      <alignment horizontal="left" vertical="center" wrapText="1"/>
    </xf>
    <xf numFmtId="0" fontId="0" fillId="0" borderId="0" xfId="0" applyAlignment="1">
      <alignment horizontal="left" vertical="center" wrapText="1"/>
    </xf>
    <xf numFmtId="171" fontId="0" fillId="0" borderId="0" xfId="0" applyNumberFormat="1" applyAlignment="1">
      <alignment horizontal="left" vertical="center" wrapText="1"/>
    </xf>
    <xf numFmtId="165" fontId="0" fillId="0" borderId="0" xfId="0" applyNumberFormat="1" applyAlignment="1">
      <alignment horizontal="left" vertical="center" wrapText="1"/>
    </xf>
    <xf numFmtId="169" fontId="0" fillId="0" borderId="0" xfId="0" applyNumberFormat="1" applyAlignment="1">
      <alignment horizontal="left" vertical="center" wrapText="1"/>
    </xf>
    <xf numFmtId="14" fontId="0" fillId="0" borderId="0" xfId="0" applyNumberFormat="1" applyAlignment="1">
      <alignment horizontal="left" vertical="center" wrapText="1"/>
    </xf>
    <xf numFmtId="14" fontId="0" fillId="0" borderId="0" xfId="0" applyNumberFormat="1" applyAlignment="1">
      <alignment vertical="center" wrapText="1"/>
    </xf>
    <xf numFmtId="0" fontId="0" fillId="0" borderId="0" xfId="0" applyAlignment="1">
      <alignment wrapText="1"/>
    </xf>
    <xf numFmtId="167" fontId="44" fillId="0" borderId="2" xfId="0" applyNumberFormat="1" applyFont="1" applyBorder="1" applyAlignment="1">
      <alignment vertical="center" wrapText="1"/>
    </xf>
    <xf numFmtId="0" fontId="6" fillId="0" borderId="0" xfId="41" applyAlignment="1">
      <alignment horizontal="left" vertical="top"/>
    </xf>
    <xf numFmtId="0" fontId="49" fillId="0" borderId="0" xfId="41" applyFont="1" applyAlignment="1">
      <alignment vertical="top"/>
    </xf>
    <xf numFmtId="0" fontId="64" fillId="0" borderId="0" xfId="41" applyFont="1" applyAlignment="1">
      <alignment vertical="top"/>
    </xf>
    <xf numFmtId="0" fontId="64" fillId="19" borderId="1" xfId="41" applyFont="1" applyFill="1" applyBorder="1" applyAlignment="1">
      <alignment vertical="top"/>
    </xf>
    <xf numFmtId="167" fontId="63" fillId="0" borderId="5" xfId="0" applyNumberFormat="1" applyFont="1" applyBorder="1" applyAlignment="1">
      <alignment horizontal="left" vertical="center" wrapText="1"/>
    </xf>
    <xf numFmtId="0" fontId="66" fillId="0" borderId="1" xfId="0" applyFont="1" applyBorder="1" applyAlignment="1">
      <alignment wrapText="1"/>
    </xf>
    <xf numFmtId="0" fontId="66" fillId="0" borderId="5" xfId="0" applyFont="1" applyBorder="1" applyAlignment="1">
      <alignment wrapText="1"/>
    </xf>
    <xf numFmtId="0" fontId="46" fillId="0" borderId="0" xfId="0" applyFont="1" applyAlignment="1">
      <alignment horizontal="center" vertical="center"/>
    </xf>
    <xf numFmtId="0" fontId="9" fillId="22" borderId="27" xfId="33" applyFill="1" applyBorder="1"/>
    <xf numFmtId="167" fontId="0" fillId="12" borderId="5" xfId="0" applyNumberFormat="1" applyFill="1" applyBorder="1" applyAlignment="1">
      <alignment horizontal="left" vertical="center" wrapText="1"/>
    </xf>
    <xf numFmtId="0" fontId="45" fillId="0" borderId="5" xfId="0" applyFont="1" applyBorder="1" applyAlignment="1">
      <alignment vertical="top" wrapText="1"/>
    </xf>
    <xf numFmtId="0" fontId="0" fillId="12" borderId="5" xfId="0" applyFill="1" applyBorder="1" applyAlignment="1">
      <alignment horizontal="left" vertical="center" wrapText="1"/>
    </xf>
    <xf numFmtId="0" fontId="44" fillId="12" borderId="5" xfId="0" applyFont="1" applyFill="1" applyBorder="1" applyAlignment="1">
      <alignment wrapText="1"/>
    </xf>
    <xf numFmtId="0" fontId="47" fillId="0" borderId="0" xfId="0" applyFont="1"/>
    <xf numFmtId="14" fontId="44" fillId="0" borderId="5" xfId="0" applyNumberFormat="1" applyFont="1" applyBorder="1" applyAlignment="1">
      <alignment horizontal="left" vertical="center" wrapText="1"/>
    </xf>
    <xf numFmtId="167" fontId="0" fillId="12" borderId="1" xfId="0" applyNumberFormat="1" applyFill="1" applyBorder="1" applyAlignment="1">
      <alignment horizontal="left" vertical="center" wrapText="1"/>
    </xf>
    <xf numFmtId="0" fontId="45" fillId="0" borderId="1" xfId="0" applyFont="1" applyBorder="1" applyAlignment="1">
      <alignment wrapText="1"/>
    </xf>
    <xf numFmtId="2" fontId="35" fillId="0" borderId="2" xfId="3" applyNumberFormat="1" applyFont="1" applyBorder="1" applyAlignment="1">
      <alignment horizontal="center" vertical="center" wrapText="1"/>
    </xf>
    <xf numFmtId="0" fontId="58" fillId="0" borderId="3" xfId="0" applyFont="1" applyBorder="1" applyAlignment="1">
      <alignment horizontal="right"/>
    </xf>
    <xf numFmtId="0" fontId="58" fillId="0" borderId="1" xfId="0" applyFont="1" applyBorder="1" applyAlignment="1">
      <alignment horizontal="right"/>
    </xf>
    <xf numFmtId="0" fontId="60" fillId="0" borderId="1" xfId="0" applyFont="1" applyBorder="1" applyAlignment="1">
      <alignment horizontal="right"/>
    </xf>
    <xf numFmtId="0" fontId="0" fillId="0" borderId="3" xfId="0" applyBorder="1" applyAlignment="1">
      <alignment horizontal="left" vertical="center" wrapText="1"/>
    </xf>
    <xf numFmtId="0" fontId="45" fillId="0" borderId="5" xfId="0" applyFont="1" applyBorder="1" applyAlignment="1">
      <alignment wrapText="1"/>
    </xf>
    <xf numFmtId="0" fontId="19" fillId="12" borderId="1" xfId="0" applyFont="1" applyFill="1" applyBorder="1" applyAlignment="1">
      <alignment horizontal="center" vertical="center"/>
    </xf>
    <xf numFmtId="0" fontId="19" fillId="12" borderId="5" xfId="0" applyFont="1" applyFill="1" applyBorder="1" applyAlignment="1">
      <alignment horizontal="center" vertical="center"/>
    </xf>
    <xf numFmtId="0" fontId="0" fillId="12" borderId="26" xfId="0" applyFill="1" applyBorder="1" applyAlignment="1">
      <alignment horizontal="center" vertical="center" wrapText="1"/>
    </xf>
    <xf numFmtId="165" fontId="0" fillId="0" borderId="1" xfId="0" applyNumberFormat="1" applyBorder="1" applyAlignment="1">
      <alignment vertical="center" wrapText="1"/>
    </xf>
    <xf numFmtId="0" fontId="6" fillId="0" borderId="0" xfId="41" applyAlignment="1">
      <alignment vertical="top"/>
    </xf>
    <xf numFmtId="0" fontId="0" fillId="0" borderId="5" xfId="0" applyBorder="1" applyAlignment="1">
      <alignment wrapText="1"/>
    </xf>
    <xf numFmtId="0" fontId="0" fillId="0" borderId="13" xfId="0" applyBorder="1" applyAlignment="1">
      <alignment wrapText="1"/>
    </xf>
    <xf numFmtId="0" fontId="58" fillId="12" borderId="4" xfId="0" applyFont="1" applyFill="1" applyBorder="1" applyAlignment="1">
      <alignment horizontal="center" vertical="center"/>
    </xf>
    <xf numFmtId="0" fontId="19" fillId="12" borderId="1" xfId="0" applyFont="1" applyFill="1" applyBorder="1"/>
    <xf numFmtId="0" fontId="0" fillId="12" borderId="6" xfId="0" applyFill="1" applyBorder="1" applyAlignment="1">
      <alignment horizontal="center" vertical="center" wrapText="1"/>
    </xf>
    <xf numFmtId="0" fontId="45" fillId="12" borderId="5" xfId="0" applyFont="1" applyFill="1" applyBorder="1" applyAlignment="1">
      <alignment horizontal="center" vertical="center"/>
    </xf>
    <xf numFmtId="0" fontId="44" fillId="12" borderId="1" xfId="0" applyFont="1" applyFill="1" applyBorder="1" applyAlignment="1">
      <alignment wrapText="1"/>
    </xf>
    <xf numFmtId="0" fontId="19" fillId="0" borderId="1" xfId="0" applyFont="1" applyBorder="1" applyAlignment="1">
      <alignment vertical="center" wrapText="1"/>
    </xf>
    <xf numFmtId="0" fontId="44" fillId="0" borderId="1" xfId="0" applyFont="1" applyBorder="1" applyAlignment="1">
      <alignment horizontal="left" vertical="center" wrapText="1"/>
    </xf>
    <xf numFmtId="0" fontId="47" fillId="0" borderId="1" xfId="0" applyFont="1" applyBorder="1" applyAlignment="1">
      <alignment wrapText="1"/>
    </xf>
    <xf numFmtId="0" fontId="46" fillId="0" borderId="1" xfId="0" applyFont="1" applyBorder="1" applyAlignment="1">
      <alignment vertical="center" wrapText="1"/>
    </xf>
    <xf numFmtId="167" fontId="0" fillId="0" borderId="6" xfId="0" applyNumberFormat="1" applyBorder="1" applyAlignment="1">
      <alignment horizontal="left" vertical="top" wrapText="1"/>
    </xf>
    <xf numFmtId="0" fontId="4" fillId="0" borderId="27" xfId="43" applyBorder="1" applyAlignment="1">
      <alignment horizontal="left" vertical="center"/>
    </xf>
    <xf numFmtId="0" fontId="4" fillId="0" borderId="0" xfId="43" applyAlignment="1">
      <alignment horizontal="left" vertical="center"/>
    </xf>
    <xf numFmtId="0" fontId="19" fillId="0" borderId="27" xfId="0" applyFont="1" applyBorder="1" applyAlignment="1">
      <alignment horizontal="left" vertical="center"/>
    </xf>
    <xf numFmtId="0" fontId="4" fillId="0" borderId="27" xfId="43" applyBorder="1" applyAlignment="1">
      <alignment horizontal="left"/>
    </xf>
    <xf numFmtId="0" fontId="58" fillId="0" borderId="27" xfId="0" applyFont="1" applyBorder="1"/>
    <xf numFmtId="0" fontId="4" fillId="0" borderId="27" xfId="43" applyBorder="1"/>
    <xf numFmtId="0" fontId="58" fillId="0" borderId="27" xfId="0" applyFont="1" applyBorder="1" applyAlignment="1">
      <alignment horizontal="left"/>
    </xf>
    <xf numFmtId="173" fontId="4" fillId="0" borderId="27" xfId="43" applyNumberFormat="1" applyBorder="1" applyAlignment="1">
      <alignment horizontal="left" vertical="center"/>
    </xf>
    <xf numFmtId="0" fontId="4" fillId="0" borderId="0" xfId="43"/>
    <xf numFmtId="0" fontId="58" fillId="21" borderId="27" xfId="0" applyFont="1" applyFill="1" applyBorder="1"/>
    <xf numFmtId="0" fontId="4" fillId="0" borderId="0" xfId="43" applyAlignment="1">
      <alignment wrapText="1"/>
    </xf>
    <xf numFmtId="0" fontId="0" fillId="0" borderId="27" xfId="0" applyBorder="1" applyAlignment="1">
      <alignment horizontal="left" vertical="center" wrapText="1"/>
    </xf>
    <xf numFmtId="0" fontId="58" fillId="21" borderId="27" xfId="0" applyFont="1" applyFill="1" applyBorder="1" applyAlignment="1">
      <alignment vertical="center"/>
    </xf>
    <xf numFmtId="0" fontId="4" fillId="0" borderId="27" xfId="43" applyBorder="1" applyAlignment="1">
      <alignment vertical="center"/>
    </xf>
    <xf numFmtId="0" fontId="58" fillId="0" borderId="27" xfId="0" applyFont="1" applyBorder="1" applyAlignment="1">
      <alignment horizontal="left" vertical="center"/>
    </xf>
    <xf numFmtId="0" fontId="58" fillId="0" borderId="7" xfId="0" applyFont="1" applyBorder="1" applyAlignment="1">
      <alignment wrapText="1"/>
    </xf>
    <xf numFmtId="0" fontId="58" fillId="0" borderId="27" xfId="0" applyFont="1" applyBorder="1" applyAlignment="1">
      <alignment vertical="center"/>
    </xf>
    <xf numFmtId="1" fontId="19" fillId="0" borderId="27" xfId="0" applyNumberFormat="1" applyFont="1" applyBorder="1" applyAlignment="1">
      <alignment horizontal="left" vertical="center"/>
    </xf>
    <xf numFmtId="0" fontId="46" fillId="0" borderId="27" xfId="0" applyFont="1" applyBorder="1"/>
    <xf numFmtId="0" fontId="58" fillId="23" borderId="27" xfId="0" applyFont="1" applyFill="1" applyBorder="1"/>
    <xf numFmtId="0" fontId="45" fillId="0" borderId="27" xfId="0" applyFont="1" applyBorder="1"/>
    <xf numFmtId="0" fontId="0" fillId="0" borderId="27" xfId="0" applyBorder="1" applyAlignment="1">
      <alignment wrapText="1"/>
    </xf>
    <xf numFmtId="14" fontId="4" fillId="0" borderId="27" xfId="43" applyNumberFormat="1" applyBorder="1" applyAlignment="1">
      <alignment horizontal="left" vertical="center"/>
    </xf>
    <xf numFmtId="0" fontId="4" fillId="0" borderId="27" xfId="43" applyBorder="1" applyAlignment="1">
      <alignment horizontal="left" vertical="center" wrapText="1"/>
    </xf>
    <xf numFmtId="0" fontId="58" fillId="0" borderId="27" xfId="0" applyFont="1" applyBorder="1" applyAlignment="1">
      <alignment vertical="top" wrapText="1"/>
    </xf>
    <xf numFmtId="15" fontId="4" fillId="0" borderId="27" xfId="43" applyNumberFormat="1" applyBorder="1" applyAlignment="1">
      <alignment horizontal="left" vertical="center"/>
    </xf>
    <xf numFmtId="16" fontId="55" fillId="0" borderId="0" xfId="44" applyNumberFormat="1" applyFont="1" applyAlignment="1">
      <alignment horizontal="center"/>
    </xf>
    <xf numFmtId="0" fontId="55" fillId="0" borderId="0" xfId="44" applyFont="1" applyAlignment="1">
      <alignment horizontal="center"/>
    </xf>
    <xf numFmtId="0" fontId="4" fillId="0" borderId="0" xfId="44"/>
    <xf numFmtId="0" fontId="55" fillId="10" borderId="1" xfId="44" applyFont="1" applyFill="1" applyBorder="1" applyAlignment="1">
      <alignment horizontal="center" vertical="top" wrapText="1"/>
    </xf>
    <xf numFmtId="0" fontId="55" fillId="10" borderId="1" xfId="44" applyFont="1" applyFill="1" applyBorder="1" applyAlignment="1">
      <alignment horizontal="center" wrapText="1"/>
    </xf>
    <xf numFmtId="0" fontId="44" fillId="13" borderId="1" xfId="44" applyFont="1" applyFill="1" applyBorder="1" applyAlignment="1">
      <alignment horizontal="center" vertical="center" wrapText="1"/>
    </xf>
    <xf numFmtId="16" fontId="55" fillId="0" borderId="1" xfId="44" applyNumberFormat="1" applyFont="1" applyBorder="1" applyAlignment="1">
      <alignment horizontal="center"/>
    </xf>
    <xf numFmtId="0" fontId="55" fillId="0" borderId="1" xfId="44" applyFont="1" applyBorder="1" applyAlignment="1">
      <alignment horizontal="center" vertical="center"/>
    </xf>
    <xf numFmtId="0" fontId="4" fillId="0" borderId="1" xfId="44" applyBorder="1"/>
    <xf numFmtId="0" fontId="4" fillId="0" borderId="0" xfId="44" applyAlignment="1">
      <alignment horizontal="center"/>
    </xf>
    <xf numFmtId="0" fontId="44" fillId="0" borderId="1" xfId="44" applyFont="1" applyBorder="1" applyAlignment="1">
      <alignment horizontal="center" vertical="center" wrapText="1"/>
    </xf>
    <xf numFmtId="0" fontId="44" fillId="0" borderId="4" xfId="44" applyFont="1" applyBorder="1" applyAlignment="1">
      <alignment horizontal="center" vertical="center" wrapText="1"/>
    </xf>
    <xf numFmtId="0" fontId="4" fillId="0" borderId="1" xfId="44" applyBorder="1" applyAlignment="1">
      <alignment horizontal="center"/>
    </xf>
    <xf numFmtId="0" fontId="55" fillId="0" borderId="2" xfId="44" applyFont="1" applyBorder="1" applyAlignment="1">
      <alignment horizontal="center" vertical="center"/>
    </xf>
    <xf numFmtId="0" fontId="44" fillId="0" borderId="1" xfId="44" applyFont="1" applyBorder="1" applyAlignment="1">
      <alignment horizontal="left" vertical="top" wrapText="1"/>
    </xf>
    <xf numFmtId="0" fontId="55" fillId="0" borderId="5" xfId="44" applyFont="1" applyBorder="1" applyAlignment="1">
      <alignment horizontal="center" vertical="center"/>
    </xf>
    <xf numFmtId="0" fontId="44" fillId="0" borderId="1" xfId="44" applyFont="1" applyBorder="1" applyAlignment="1">
      <alignment horizontal="left" vertical="center" wrapText="1"/>
    </xf>
    <xf numFmtId="0" fontId="4" fillId="0" borderId="1" xfId="44" applyBorder="1" applyAlignment="1">
      <alignment horizontal="center" vertical="center"/>
    </xf>
    <xf numFmtId="0" fontId="4" fillId="0" borderId="0" xfId="44" applyAlignment="1">
      <alignment horizontal="center" vertical="center"/>
    </xf>
    <xf numFmtId="0" fontId="4" fillId="0" borderId="0" xfId="44" applyAlignment="1">
      <alignment wrapText="1"/>
    </xf>
    <xf numFmtId="0" fontId="55" fillId="0" borderId="1" xfId="44" applyFont="1" applyBorder="1" applyAlignment="1">
      <alignment horizontal="center"/>
    </xf>
    <xf numFmtId="0" fontId="44" fillId="0" borderId="1" xfId="44" applyFont="1" applyBorder="1" applyAlignment="1">
      <alignment vertical="top" wrapText="1"/>
    </xf>
    <xf numFmtId="14" fontId="58" fillId="0" borderId="27" xfId="0" applyNumberFormat="1" applyFont="1" applyBorder="1" applyAlignment="1">
      <alignment horizontal="left"/>
    </xf>
    <xf numFmtId="0" fontId="45" fillId="0" borderId="5" xfId="0" applyFont="1" applyBorder="1" applyAlignment="1">
      <alignment horizontal="center" vertical="center" wrapText="1"/>
    </xf>
    <xf numFmtId="0" fontId="45" fillId="0" borderId="13" xfId="0" applyFont="1" applyBorder="1" applyAlignment="1">
      <alignment horizontal="center" vertical="center" wrapText="1"/>
    </xf>
    <xf numFmtId="0" fontId="45" fillId="0" borderId="5" xfId="0" applyFont="1" applyBorder="1" applyAlignment="1">
      <alignment vertical="center" wrapText="1"/>
    </xf>
    <xf numFmtId="0" fontId="45" fillId="0" borderId="0" xfId="0" applyFont="1" applyAlignment="1">
      <alignment vertical="center" wrapText="1"/>
    </xf>
    <xf numFmtId="0" fontId="69" fillId="0" borderId="0" xfId="0" applyFont="1" applyAlignment="1">
      <alignment horizontal="left" vertical="center"/>
    </xf>
    <xf numFmtId="167" fontId="44" fillId="0" borderId="1" xfId="0" applyNumberFormat="1" applyFont="1" applyBorder="1" applyAlignment="1">
      <alignment horizontal="left" vertical="center" wrapText="1"/>
    </xf>
    <xf numFmtId="167" fontId="0" fillId="0" borderId="14" xfId="0" applyNumberFormat="1" applyBorder="1" applyAlignment="1">
      <alignment horizontal="left" vertical="top" wrapText="1"/>
    </xf>
    <xf numFmtId="0" fontId="0" fillId="0" borderId="0" xfId="0" applyAlignment="1">
      <alignment horizontal="right"/>
    </xf>
    <xf numFmtId="0" fontId="25" fillId="0" borderId="0" xfId="0" applyFont="1" applyAlignment="1">
      <alignment horizontal="center" vertical="center" wrapText="1"/>
    </xf>
    <xf numFmtId="174" fontId="25" fillId="0" borderId="0" xfId="0" applyNumberFormat="1" applyFont="1" applyAlignment="1">
      <alignment horizontal="left" vertical="center" wrapText="1"/>
    </xf>
    <xf numFmtId="174" fontId="25" fillId="0" borderId="1" xfId="0" applyNumberFormat="1" applyFont="1" applyBorder="1" applyAlignment="1">
      <alignment horizontal="left" vertical="center" wrapText="1"/>
    </xf>
    <xf numFmtId="167" fontId="25" fillId="0" borderId="1" xfId="0" applyNumberFormat="1" applyFont="1" applyBorder="1" applyAlignment="1">
      <alignment horizontal="center" wrapText="1"/>
    </xf>
    <xf numFmtId="0" fontId="25" fillId="0" borderId="1" xfId="0" applyFont="1" applyBorder="1" applyAlignment="1">
      <alignment horizontal="right" vertical="center" wrapText="1"/>
    </xf>
    <xf numFmtId="167" fontId="25" fillId="0" borderId="4" xfId="0" applyNumberFormat="1" applyFont="1" applyBorder="1" applyAlignment="1">
      <alignment horizontal="center" wrapText="1"/>
    </xf>
    <xf numFmtId="0" fontId="25" fillId="0" borderId="3" xfId="0" applyFont="1" applyBorder="1" applyAlignment="1">
      <alignment horizontal="center" vertical="center" wrapText="1"/>
    </xf>
    <xf numFmtId="167" fontId="63" fillId="0" borderId="1" xfId="0" applyNumberFormat="1" applyFont="1" applyBorder="1" applyAlignment="1">
      <alignment horizontal="left" vertical="center" wrapText="1"/>
    </xf>
    <xf numFmtId="174" fontId="0" fillId="0" borderId="1" xfId="0" applyNumberFormat="1" applyBorder="1" applyAlignment="1">
      <alignment horizontal="left" vertical="center" wrapText="1"/>
    </xf>
    <xf numFmtId="174" fontId="70" fillId="0" borderId="1" xfId="0" applyNumberFormat="1" applyFont="1" applyBorder="1" applyAlignment="1">
      <alignment horizontal="left" vertical="center" wrapText="1"/>
    </xf>
    <xf numFmtId="167" fontId="70" fillId="0" borderId="1" xfId="0" applyNumberFormat="1" applyFont="1" applyBorder="1" applyAlignment="1">
      <alignment horizontal="left" vertical="center" wrapText="1"/>
    </xf>
    <xf numFmtId="0" fontId="70" fillId="0" borderId="1" xfId="0" applyFont="1" applyBorder="1" applyAlignment="1">
      <alignment horizontal="left" vertical="center" wrapText="1"/>
    </xf>
    <xf numFmtId="0" fontId="44" fillId="0" borderId="1" xfId="0" applyFont="1" applyBorder="1" applyAlignment="1">
      <alignment wrapText="1"/>
    </xf>
    <xf numFmtId="0" fontId="71" fillId="0" borderId="1" xfId="0" applyFont="1" applyBorder="1" applyAlignment="1">
      <alignment vertical="center"/>
    </xf>
    <xf numFmtId="0" fontId="44" fillId="0" borderId="27" xfId="0" applyFont="1" applyBorder="1" applyAlignment="1">
      <alignment wrapText="1"/>
    </xf>
    <xf numFmtId="0" fontId="0" fillId="0" borderId="3" xfId="0" applyBorder="1" applyAlignment="1">
      <alignment horizontal="center" vertical="center" wrapText="1"/>
    </xf>
    <xf numFmtId="167" fontId="0" fillId="0" borderId="1" xfId="0" applyNumberFormat="1" applyBorder="1" applyAlignment="1">
      <alignment horizontal="center" vertical="center" wrapText="1"/>
    </xf>
    <xf numFmtId="0" fontId="72" fillId="0" borderId="1" xfId="0" applyFont="1" applyBorder="1" applyAlignment="1">
      <alignment wrapText="1"/>
    </xf>
    <xf numFmtId="0" fontId="63" fillId="0" borderId="1" xfId="0" applyFont="1" applyBorder="1" applyAlignment="1">
      <alignment vertical="top"/>
    </xf>
    <xf numFmtId="1" fontId="0" fillId="0" borderId="1" xfId="0" applyNumberFormat="1" applyBorder="1" applyAlignment="1">
      <alignment vertical="top"/>
    </xf>
    <xf numFmtId="167" fontId="0" fillId="13" borderId="0" xfId="0" applyNumberFormat="1" applyFill="1" applyAlignment="1">
      <alignment horizontal="left" vertical="center" wrapText="1"/>
    </xf>
    <xf numFmtId="0" fontId="0" fillId="13" borderId="0" xfId="0" applyFill="1" applyAlignment="1">
      <alignment horizontal="center" vertical="center" wrapText="1"/>
    </xf>
    <xf numFmtId="174" fontId="0" fillId="13" borderId="0" xfId="0" applyNumberFormat="1" applyFill="1" applyAlignment="1">
      <alignment horizontal="left" vertical="center" wrapText="1"/>
    </xf>
    <xf numFmtId="174" fontId="0" fillId="13" borderId="1" xfId="0" applyNumberFormat="1" applyFill="1" applyBorder="1" applyAlignment="1">
      <alignment horizontal="left" vertical="center" wrapText="1"/>
    </xf>
    <xf numFmtId="167" fontId="0" fillId="13" borderId="4" xfId="0" applyNumberFormat="1" applyFill="1" applyBorder="1" applyAlignment="1">
      <alignment horizontal="center" wrapText="1"/>
    </xf>
    <xf numFmtId="167" fontId="0" fillId="13" borderId="27" xfId="0" applyNumberFormat="1" applyFill="1" applyBorder="1" applyAlignment="1">
      <alignment horizontal="left" vertical="center" wrapText="1"/>
    </xf>
    <xf numFmtId="0" fontId="0" fillId="13" borderId="3" xfId="0" applyFill="1" applyBorder="1" applyAlignment="1">
      <alignment horizontal="center" vertical="center" wrapText="1"/>
    </xf>
    <xf numFmtId="0" fontId="0" fillId="13" borderId="1" xfId="0" applyFill="1" applyBorder="1" applyAlignment="1">
      <alignment horizontal="center" vertical="center" wrapText="1"/>
    </xf>
    <xf numFmtId="167" fontId="0" fillId="13" borderId="1" xfId="0" applyNumberFormat="1" applyFill="1" applyBorder="1" applyAlignment="1">
      <alignment horizontal="left" vertical="center" wrapText="1"/>
    </xf>
    <xf numFmtId="167" fontId="0" fillId="13" borderId="1" xfId="0" applyNumberFormat="1" applyFill="1" applyBorder="1" applyAlignment="1">
      <alignment horizontal="center" vertical="center" wrapText="1"/>
    </xf>
    <xf numFmtId="0" fontId="0" fillId="13" borderId="27" xfId="0" applyFill="1" applyBorder="1"/>
    <xf numFmtId="0" fontId="0" fillId="13" borderId="1" xfId="0" applyFill="1" applyBorder="1" applyAlignment="1">
      <alignment horizontal="right" vertical="center" wrapText="1"/>
    </xf>
    <xf numFmtId="0" fontId="0" fillId="0" borderId="27" xfId="0" applyBorder="1"/>
    <xf numFmtId="167" fontId="25" fillId="13" borderId="0" xfId="0" applyNumberFormat="1" applyFont="1" applyFill="1" applyAlignment="1">
      <alignment horizontal="left" vertical="center" wrapText="1"/>
    </xf>
    <xf numFmtId="0" fontId="25" fillId="13" borderId="0" xfId="0" applyFont="1" applyFill="1" applyAlignment="1">
      <alignment horizontal="center" vertical="center" wrapText="1"/>
    </xf>
    <xf numFmtId="174" fontId="25" fillId="13" borderId="0" xfId="0" applyNumberFormat="1" applyFont="1" applyFill="1" applyAlignment="1">
      <alignment horizontal="left" vertical="center" wrapText="1"/>
    </xf>
    <xf numFmtId="174" fontId="25" fillId="13" borderId="1" xfId="0" applyNumberFormat="1" applyFont="1" applyFill="1" applyBorder="1" applyAlignment="1">
      <alignment horizontal="left" vertical="center" wrapText="1"/>
    </xf>
    <xf numFmtId="167" fontId="25" fillId="13" borderId="4" xfId="0" applyNumberFormat="1" applyFont="1" applyFill="1" applyBorder="1" applyAlignment="1">
      <alignment horizontal="center" wrapText="1"/>
    </xf>
    <xf numFmtId="167" fontId="25" fillId="13" borderId="27" xfId="0" applyNumberFormat="1" applyFont="1" applyFill="1" applyBorder="1" applyAlignment="1">
      <alignment horizontal="left" vertical="center" wrapText="1"/>
    </xf>
    <xf numFmtId="0" fontId="25" fillId="13" borderId="3" xfId="0" applyFont="1" applyFill="1" applyBorder="1" applyAlignment="1">
      <alignment horizontal="center" vertical="center" wrapText="1"/>
    </xf>
    <xf numFmtId="0" fontId="25" fillId="13" borderId="1" xfId="0" applyFont="1" applyFill="1" applyBorder="1" applyAlignment="1">
      <alignment horizontal="center" vertical="center" wrapText="1"/>
    </xf>
    <xf numFmtId="167" fontId="25" fillId="13" borderId="1" xfId="0" applyNumberFormat="1" applyFont="1" applyFill="1" applyBorder="1" applyAlignment="1">
      <alignment horizontal="left" vertical="center" wrapText="1"/>
    </xf>
    <xf numFmtId="167" fontId="25" fillId="13" borderId="1" xfId="0" applyNumberFormat="1" applyFont="1" applyFill="1" applyBorder="1" applyAlignment="1">
      <alignment horizontal="center" vertical="center" wrapText="1"/>
    </xf>
    <xf numFmtId="0" fontId="0" fillId="13" borderId="27" xfId="0" applyFill="1" applyBorder="1" applyAlignment="1">
      <alignment horizontal="right"/>
    </xf>
    <xf numFmtId="174" fontId="0" fillId="23" borderId="0" xfId="0" applyNumberFormat="1" applyFill="1" applyAlignment="1">
      <alignment horizontal="left" vertical="center" wrapText="1"/>
    </xf>
    <xf numFmtId="0" fontId="58" fillId="0" borderId="0" xfId="0" applyFont="1"/>
    <xf numFmtId="0" fontId="3" fillId="0" borderId="1" xfId="45" applyBorder="1"/>
    <xf numFmtId="0" fontId="58" fillId="0" borderId="1" xfId="0" applyFont="1" applyBorder="1" applyAlignment="1">
      <alignment wrapText="1"/>
    </xf>
    <xf numFmtId="0" fontId="58" fillId="0" borderId="1" xfId="0" applyFont="1" applyBorder="1"/>
    <xf numFmtId="167" fontId="25" fillId="0" borderId="3" xfId="0" applyNumberFormat="1" applyFont="1" applyBorder="1" applyAlignment="1">
      <alignment horizontal="left" vertical="center" wrapText="1"/>
    </xf>
    <xf numFmtId="1" fontId="0" fillId="23" borderId="1" xfId="0" applyNumberFormat="1" applyFill="1" applyBorder="1" applyAlignment="1">
      <alignment vertical="top"/>
    </xf>
    <xf numFmtId="0" fontId="70" fillId="0" borderId="1" xfId="0" applyFont="1" applyBorder="1" applyAlignment="1">
      <alignment horizontal="left" vertical="center"/>
    </xf>
    <xf numFmtId="0" fontId="71" fillId="0" borderId="1" xfId="0" applyFont="1" applyBorder="1" applyAlignment="1">
      <alignment horizontal="left" vertical="center"/>
    </xf>
    <xf numFmtId="1" fontId="0" fillId="0" borderId="1" xfId="0" applyNumberFormat="1" applyBorder="1" applyAlignment="1">
      <alignment horizontal="right" vertical="top"/>
    </xf>
    <xf numFmtId="0" fontId="70" fillId="0" borderId="1" xfId="0" applyFont="1" applyBorder="1" applyAlignment="1">
      <alignment horizontal="center" vertical="center"/>
    </xf>
    <xf numFmtId="0" fontId="72" fillId="0" borderId="1" xfId="0" applyFont="1" applyBorder="1" applyAlignment="1">
      <alignment vertical="center" wrapText="1"/>
    </xf>
    <xf numFmtId="0" fontId="72" fillId="0" borderId="3" xfId="0" applyFont="1" applyBorder="1" applyAlignment="1">
      <alignment horizontal="center" vertical="center"/>
    </xf>
    <xf numFmtId="0" fontId="58" fillId="0" borderId="1" xfId="0" applyFont="1" applyBorder="1" applyAlignment="1">
      <alignment horizontal="center" vertical="center"/>
    </xf>
    <xf numFmtId="0" fontId="72" fillId="0" borderId="1" xfId="0" applyFont="1" applyBorder="1" applyAlignment="1">
      <alignment horizontal="center" vertical="center"/>
    </xf>
    <xf numFmtId="166" fontId="25" fillId="0" borderId="1" xfId="0" applyNumberFormat="1" applyFont="1" applyBorder="1" applyAlignment="1">
      <alignment horizontal="center" vertical="center" wrapText="1"/>
    </xf>
    <xf numFmtId="0" fontId="72" fillId="0" borderId="1" xfId="0" applyFont="1" applyBorder="1"/>
    <xf numFmtId="0" fontId="71" fillId="0" borderId="1" xfId="0" applyFont="1" applyBorder="1"/>
    <xf numFmtId="0" fontId="0" fillId="0" borderId="1" xfId="0" applyBorder="1" applyAlignment="1">
      <alignment horizontal="right" vertical="center" wrapText="1"/>
    </xf>
    <xf numFmtId="0" fontId="71" fillId="0" borderId="1" xfId="0" applyFont="1" applyBorder="1" applyAlignment="1">
      <alignment horizontal="center"/>
    </xf>
    <xf numFmtId="167" fontId="70" fillId="0" borderId="1" xfId="0" applyNumberFormat="1" applyFont="1" applyBorder="1" applyAlignment="1">
      <alignment horizontal="center" vertical="center" wrapText="1"/>
    </xf>
    <xf numFmtId="167" fontId="70" fillId="0" borderId="1" xfId="0" applyNumberFormat="1" applyFont="1" applyBorder="1" applyAlignment="1">
      <alignment horizontal="center" wrapText="1"/>
    </xf>
    <xf numFmtId="0" fontId="70" fillId="0" borderId="1" xfId="0" applyFont="1" applyBorder="1" applyAlignment="1">
      <alignment horizontal="center" vertical="center" wrapText="1"/>
    </xf>
    <xf numFmtId="0" fontId="70" fillId="0" borderId="1" xfId="0" applyFont="1" applyBorder="1" applyAlignment="1">
      <alignment horizontal="right" vertical="center" wrapText="1"/>
    </xf>
    <xf numFmtId="166" fontId="70" fillId="0" borderId="1" xfId="0" applyNumberFormat="1" applyFont="1" applyBorder="1" applyAlignment="1">
      <alignment horizontal="center" vertical="center" wrapText="1"/>
    </xf>
    <xf numFmtId="0" fontId="45" fillId="0" borderId="1" xfId="0" applyFont="1" applyBorder="1" applyAlignment="1">
      <alignment horizontal="right"/>
    </xf>
    <xf numFmtId="0" fontId="58" fillId="0" borderId="1" xfId="0" applyFont="1" applyBorder="1" applyAlignment="1">
      <alignment vertical="top"/>
    </xf>
    <xf numFmtId="0" fontId="73" fillId="0" borderId="1" xfId="0" applyFont="1" applyBorder="1" applyAlignment="1">
      <alignment vertical="center" wrapText="1"/>
    </xf>
    <xf numFmtId="0" fontId="73" fillId="0" borderId="1" xfId="0" applyFont="1" applyBorder="1" applyAlignment="1">
      <alignment horizontal="right" vertical="center" wrapText="1"/>
    </xf>
    <xf numFmtId="0" fontId="72" fillId="0" borderId="1" xfId="0" applyFont="1" applyBorder="1" applyAlignment="1">
      <alignment horizontal="center"/>
    </xf>
    <xf numFmtId="0" fontId="72" fillId="0" borderId="1" xfId="0" applyFont="1" applyBorder="1" applyAlignment="1">
      <alignment vertical="center"/>
    </xf>
    <xf numFmtId="0" fontId="71" fillId="0" borderId="1" xfId="0" applyFont="1" applyBorder="1" applyAlignment="1">
      <alignment horizontal="center" vertical="center"/>
    </xf>
    <xf numFmtId="0" fontId="72" fillId="0" borderId="1" xfId="0" applyFont="1" applyBorder="1" applyAlignment="1">
      <alignment horizontal="left" vertical="center"/>
    </xf>
    <xf numFmtId="0" fontId="72" fillId="0" borderId="1" xfId="0" applyFont="1" applyBorder="1" applyAlignment="1">
      <alignment horizontal="center" vertical="center" wrapText="1"/>
    </xf>
    <xf numFmtId="0" fontId="73" fillId="0" borderId="1" xfId="0" applyFont="1" applyBorder="1" applyAlignment="1">
      <alignment vertical="center"/>
    </xf>
    <xf numFmtId="0" fontId="72" fillId="0" borderId="1" xfId="0" applyFont="1" applyBorder="1" applyAlignment="1">
      <alignment horizontal="left" vertical="center" wrapText="1"/>
    </xf>
    <xf numFmtId="0" fontId="73" fillId="0" borderId="1" xfId="0" applyFont="1" applyBorder="1" applyAlignment="1">
      <alignment horizontal="center" vertical="center" wrapText="1"/>
    </xf>
    <xf numFmtId="0" fontId="72" fillId="0" borderId="1" xfId="0" applyFont="1" applyBorder="1" applyAlignment="1">
      <alignment horizontal="right" vertical="center"/>
    </xf>
    <xf numFmtId="0" fontId="70" fillId="0" borderId="1" xfId="0" applyFont="1" applyBorder="1" applyAlignment="1">
      <alignment horizontal="center"/>
    </xf>
    <xf numFmtId="0" fontId="70" fillId="0" borderId="1" xfId="0" applyFont="1" applyBorder="1" applyAlignment="1">
      <alignment vertical="center"/>
    </xf>
    <xf numFmtId="0" fontId="70" fillId="0" borderId="1" xfId="0" applyFont="1" applyBorder="1" applyAlignment="1">
      <alignment vertical="center" wrapText="1"/>
    </xf>
    <xf numFmtId="0" fontId="70" fillId="0" borderId="1" xfId="0" applyFont="1" applyBorder="1" applyAlignment="1">
      <alignment vertical="top" wrapText="1"/>
    </xf>
    <xf numFmtId="0" fontId="70" fillId="0" borderId="1" xfId="0" applyFont="1" applyBorder="1" applyAlignment="1">
      <alignment horizontal="center" vertical="top" wrapText="1"/>
    </xf>
    <xf numFmtId="0" fontId="70" fillId="0" borderId="1" xfId="0" applyFont="1" applyBorder="1" applyAlignment="1">
      <alignment horizontal="right" vertical="center"/>
    </xf>
    <xf numFmtId="0" fontId="74" fillId="0" borderId="1" xfId="0" applyFont="1" applyBorder="1"/>
    <xf numFmtId="0" fontId="70" fillId="0" borderId="1" xfId="0" applyFont="1" applyBorder="1" applyAlignment="1">
      <alignment wrapText="1"/>
    </xf>
    <xf numFmtId="0" fontId="72" fillId="0" borderId="1" xfId="0" applyFont="1" applyBorder="1" applyAlignment="1">
      <alignment horizontal="center" wrapText="1"/>
    </xf>
    <xf numFmtId="167" fontId="75" fillId="0" borderId="1" xfId="1" applyFont="1" applyBorder="1" applyAlignment="1" applyProtection="1">
      <alignment horizontal="center" vertical="center" wrapText="1"/>
      <protection locked="0"/>
    </xf>
    <xf numFmtId="0" fontId="49" fillId="0" borderId="1" xfId="0" applyFont="1" applyBorder="1" applyAlignment="1">
      <alignment horizontal="center"/>
    </xf>
    <xf numFmtId="0" fontId="49" fillId="23" borderId="1" xfId="0" applyFont="1" applyFill="1" applyBorder="1" applyAlignment="1">
      <alignment horizontal="center" wrapText="1"/>
    </xf>
    <xf numFmtId="0" fontId="70" fillId="0" borderId="1" xfId="0" applyFont="1" applyBorder="1" applyAlignment="1">
      <alignment horizontal="center" wrapText="1"/>
    </xf>
    <xf numFmtId="0" fontId="46" fillId="0" borderId="0" xfId="0" applyFont="1"/>
    <xf numFmtId="0" fontId="63" fillId="0" borderId="1" xfId="0" applyFont="1" applyBorder="1" applyAlignment="1">
      <alignment horizontal="center" vertical="center" wrapText="1"/>
    </xf>
    <xf numFmtId="0" fontId="58" fillId="0" borderId="1" xfId="0" applyFont="1" applyBorder="1" applyAlignment="1">
      <alignment horizontal="center" wrapText="1"/>
    </xf>
    <xf numFmtId="0" fontId="72" fillId="0" borderId="2" xfId="0" applyFont="1" applyBorder="1" applyAlignment="1">
      <alignment horizontal="center" vertical="center"/>
    </xf>
    <xf numFmtId="0" fontId="72" fillId="0" borderId="1" xfId="0" applyFont="1" applyBorder="1" applyAlignment="1">
      <alignment horizontal="left" wrapText="1"/>
    </xf>
    <xf numFmtId="0" fontId="72" fillId="0" borderId="5" xfId="0" applyFont="1" applyBorder="1" applyAlignment="1">
      <alignment horizontal="center" vertical="center"/>
    </xf>
    <xf numFmtId="0" fontId="71" fillId="0" borderId="1" xfId="0" applyFont="1" applyBorder="1" applyAlignment="1">
      <alignment horizontal="left" wrapText="1"/>
    </xf>
    <xf numFmtId="0" fontId="74" fillId="0" borderId="1" xfId="0" applyFont="1" applyBorder="1" applyAlignment="1">
      <alignment wrapText="1"/>
    </xf>
    <xf numFmtId="0" fontId="72" fillId="23" borderId="1" xfId="0" applyFont="1" applyFill="1" applyBorder="1" applyAlignment="1">
      <alignment wrapText="1"/>
    </xf>
    <xf numFmtId="0" fontId="44" fillId="0" borderId="1" xfId="0" applyFont="1" applyBorder="1" applyAlignment="1">
      <alignment vertical="top"/>
    </xf>
    <xf numFmtId="0" fontId="72" fillId="22" borderId="1" xfId="0" applyFont="1" applyFill="1" applyBorder="1" applyAlignment="1">
      <alignment horizontal="center" vertical="center"/>
    </xf>
    <xf numFmtId="0" fontId="71" fillId="0" borderId="1" xfId="0" applyFont="1" applyBorder="1" applyAlignment="1">
      <alignment wrapText="1"/>
    </xf>
    <xf numFmtId="0" fontId="72" fillId="13" borderId="1" xfId="0" applyFont="1" applyFill="1" applyBorder="1" applyAlignment="1">
      <alignment wrapText="1"/>
    </xf>
    <xf numFmtId="0" fontId="71" fillId="23" borderId="1" xfId="0" applyFont="1" applyFill="1" applyBorder="1" applyAlignment="1">
      <alignment horizontal="left" vertical="center"/>
    </xf>
    <xf numFmtId="0" fontId="70" fillId="19" borderId="1" xfId="0" applyFont="1" applyFill="1" applyBorder="1" applyAlignment="1">
      <alignment wrapText="1"/>
    </xf>
    <xf numFmtId="2" fontId="70" fillId="0" borderId="1" xfId="0" applyNumberFormat="1" applyFont="1" applyBorder="1" applyAlignment="1">
      <alignment horizontal="center" vertical="center" wrapText="1"/>
    </xf>
    <xf numFmtId="0" fontId="70" fillId="0" borderId="1" xfId="0" applyFont="1" applyBorder="1"/>
    <xf numFmtId="166" fontId="72" fillId="0" borderId="1" xfId="0" applyNumberFormat="1" applyFont="1" applyBorder="1" applyAlignment="1">
      <alignment horizontal="center" vertical="center"/>
    </xf>
    <xf numFmtId="174" fontId="75" fillId="19" borderId="6" xfId="1" applyNumberFormat="1" applyFont="1" applyFill="1" applyBorder="1" applyAlignment="1" applyProtection="1">
      <alignment horizontal="center" vertical="center" wrapText="1" shrinkToFit="1"/>
      <protection locked="0"/>
    </xf>
    <xf numFmtId="174" fontId="75" fillId="19" borderId="1" xfId="1" applyNumberFormat="1" applyFont="1" applyFill="1" applyBorder="1" applyAlignment="1" applyProtection="1">
      <alignment horizontal="center" vertical="center" wrapText="1" shrinkToFit="1"/>
      <protection locked="0"/>
    </xf>
    <xf numFmtId="167" fontId="75" fillId="0" borderId="1" xfId="1" applyFont="1" applyBorder="1" applyAlignment="1" applyProtection="1">
      <alignment horizontal="center" wrapText="1"/>
      <protection locked="0"/>
    </xf>
    <xf numFmtId="0" fontId="75" fillId="13" borderId="1" xfId="1" applyNumberFormat="1" applyFont="1" applyFill="1" applyBorder="1" applyAlignment="1" applyProtection="1">
      <alignment horizontal="center" vertical="center" wrapText="1"/>
      <protection locked="0"/>
    </xf>
    <xf numFmtId="0" fontId="75" fillId="0" borderId="1" xfId="1" applyNumberFormat="1" applyFont="1" applyBorder="1" applyAlignment="1" applyProtection="1">
      <alignment horizontal="center" vertical="center" wrapText="1"/>
      <protection locked="0"/>
    </xf>
    <xf numFmtId="2" fontId="75" fillId="0" borderId="1" xfId="3" applyNumberFormat="1" applyFont="1" applyBorder="1" applyAlignment="1">
      <alignment horizontal="center" vertical="center" wrapText="1"/>
    </xf>
    <xf numFmtId="167" fontId="75" fillId="0" borderId="1" xfId="1" applyFont="1" applyBorder="1" applyAlignment="1" applyProtection="1">
      <alignment horizontal="left" vertical="center" wrapText="1"/>
      <protection locked="0"/>
    </xf>
    <xf numFmtId="167" fontId="75" fillId="13" borderId="1" xfId="1" applyFont="1" applyFill="1" applyBorder="1" applyAlignment="1" applyProtection="1">
      <alignment horizontal="center" vertical="center" wrapText="1"/>
      <protection locked="0"/>
    </xf>
    <xf numFmtId="0" fontId="59" fillId="0" borderId="1" xfId="0" applyFont="1" applyBorder="1" applyAlignment="1">
      <alignment vertical="center" wrapText="1"/>
    </xf>
    <xf numFmtId="2" fontId="75" fillId="13" borderId="1" xfId="3" applyNumberFormat="1" applyFont="1" applyFill="1" applyBorder="1" applyAlignment="1">
      <alignment horizontal="right" vertical="center" wrapText="1"/>
    </xf>
    <xf numFmtId="174" fontId="25" fillId="19" borderId="1" xfId="0" applyNumberFormat="1" applyFont="1" applyFill="1" applyBorder="1" applyAlignment="1">
      <alignment horizontal="left" vertical="center" wrapText="1"/>
    </xf>
    <xf numFmtId="0" fontId="25" fillId="19" borderId="1" xfId="0" applyFont="1" applyFill="1" applyBorder="1" applyAlignment="1">
      <alignment horizontal="center" vertical="center" wrapText="1"/>
    </xf>
    <xf numFmtId="14" fontId="0" fillId="0" borderId="6" xfId="0" applyNumberFormat="1" applyBorder="1" applyAlignment="1">
      <alignment horizontal="left" vertical="center" wrapText="1"/>
    </xf>
    <xf numFmtId="0" fontId="2" fillId="0" borderId="1" xfId="46" applyBorder="1" applyAlignment="1">
      <alignment wrapText="1"/>
    </xf>
    <xf numFmtId="0" fontId="2" fillId="0" borderId="1" xfId="46" applyBorder="1" applyAlignment="1">
      <alignment horizontal="center" vertical="center" wrapText="1"/>
    </xf>
    <xf numFmtId="0" fontId="2" fillId="0" borderId="0" xfId="46" applyAlignment="1">
      <alignment wrapText="1"/>
    </xf>
    <xf numFmtId="0" fontId="2" fillId="0" borderId="1" xfId="46" applyBorder="1"/>
    <xf numFmtId="0" fontId="40" fillId="12" borderId="1" xfId="46" applyFont="1" applyFill="1" applyBorder="1" applyAlignment="1">
      <alignment horizontal="center" vertical="center" wrapText="1"/>
    </xf>
    <xf numFmtId="0" fontId="40" fillId="0" borderId="1" xfId="46" applyFont="1" applyBorder="1" applyAlignment="1">
      <alignment vertical="center" wrapText="1"/>
    </xf>
    <xf numFmtId="0" fontId="2" fillId="0" borderId="1" xfId="46" applyBorder="1" applyAlignment="1">
      <alignment horizontal="center" vertical="center"/>
    </xf>
    <xf numFmtId="14" fontId="2" fillId="0" borderId="1" xfId="46" applyNumberFormat="1" applyBorder="1"/>
    <xf numFmtId="0" fontId="2" fillId="0" borderId="0" xfId="46"/>
    <xf numFmtId="0" fontId="40" fillId="12" borderId="1" xfId="46" applyFont="1" applyFill="1" applyBorder="1"/>
    <xf numFmtId="0" fontId="40" fillId="0" borderId="1" xfId="46" applyFont="1" applyBorder="1" applyAlignment="1">
      <alignment wrapText="1"/>
    </xf>
    <xf numFmtId="0" fontId="40" fillId="0" borderId="1" xfId="46" applyFont="1" applyBorder="1" applyAlignment="1">
      <alignment horizontal="center" vertical="center" wrapText="1"/>
    </xf>
    <xf numFmtId="0" fontId="40" fillId="0" borderId="1" xfId="0" applyFont="1" applyBorder="1" applyAlignment="1">
      <alignment horizontal="left" vertical="top"/>
    </xf>
    <xf numFmtId="0" fontId="2" fillId="0" borderId="1" xfId="46" applyBorder="1" applyAlignment="1">
      <alignment horizontal="left" vertical="top" wrapText="1"/>
    </xf>
    <xf numFmtId="0" fontId="2" fillId="0" borderId="1" xfId="46" applyBorder="1" applyAlignment="1">
      <alignment horizontal="left" vertical="top"/>
    </xf>
    <xf numFmtId="0" fontId="2" fillId="0" borderId="0" xfId="46" applyAlignment="1">
      <alignment horizontal="left" vertical="top"/>
    </xf>
    <xf numFmtId="14" fontId="2" fillId="0" borderId="1" xfId="46" applyNumberFormat="1" applyBorder="1" applyAlignment="1">
      <alignment horizontal="left" vertical="top"/>
    </xf>
    <xf numFmtId="0" fontId="2" fillId="0" borderId="5" xfId="46" applyBorder="1" applyAlignment="1">
      <alignment vertical="center" wrapText="1"/>
    </xf>
    <xf numFmtId="0" fontId="2" fillId="22" borderId="1" xfId="46" applyFill="1" applyBorder="1"/>
    <xf numFmtId="0" fontId="46" fillId="13" borderId="1" xfId="0" applyFont="1" applyFill="1" applyBorder="1" applyAlignment="1">
      <alignment vertical="center" wrapText="1"/>
    </xf>
    <xf numFmtId="0" fontId="2" fillId="12" borderId="1" xfId="46" applyFill="1" applyBorder="1" applyAlignment="1">
      <alignment wrapText="1"/>
    </xf>
    <xf numFmtId="0" fontId="0" fillId="13" borderId="1" xfId="0" applyFill="1" applyBorder="1" applyAlignment="1">
      <alignment horizontal="left" vertical="center" wrapText="1"/>
    </xf>
    <xf numFmtId="0" fontId="2" fillId="22" borderId="1" xfId="46" applyFill="1" applyBorder="1" applyAlignment="1">
      <alignment wrapText="1"/>
    </xf>
    <xf numFmtId="0" fontId="76" fillId="0" borderId="0" xfId="0" applyFont="1" applyAlignment="1">
      <alignment vertical="center"/>
    </xf>
    <xf numFmtId="0" fontId="2" fillId="0" borderId="0" xfId="46" applyAlignment="1">
      <alignment horizontal="center" vertical="center"/>
    </xf>
    <xf numFmtId="9" fontId="2" fillId="0" borderId="0" xfId="46" applyNumberFormat="1" applyAlignment="1">
      <alignment horizontal="center" vertical="center"/>
    </xf>
    <xf numFmtId="0" fontId="0" fillId="0" borderId="1" xfId="46" applyFont="1" applyBorder="1" applyAlignment="1">
      <alignment horizontal="center" vertical="center" wrapText="1"/>
    </xf>
    <xf numFmtId="0" fontId="0" fillId="0" borderId="4" xfId="46" applyFont="1" applyBorder="1" applyAlignment="1">
      <alignment horizontal="center" vertical="center" wrapText="1"/>
    </xf>
    <xf numFmtId="0" fontId="0" fillId="0" borderId="1" xfId="46" applyFont="1" applyBorder="1" applyAlignment="1">
      <alignment horizontal="left" vertical="center" wrapText="1"/>
    </xf>
    <xf numFmtId="0" fontId="0" fillId="0" borderId="5" xfId="46" applyFont="1" applyBorder="1" applyAlignment="1">
      <alignment horizontal="center" vertical="center" wrapText="1"/>
    </xf>
    <xf numFmtId="0" fontId="0" fillId="0" borderId="14" xfId="46" applyFont="1" applyBorder="1" applyAlignment="1">
      <alignment horizontal="center" vertical="center" wrapText="1"/>
    </xf>
    <xf numFmtId="0" fontId="0" fillId="0" borderId="5" xfId="46" applyFont="1" applyBorder="1" applyAlignment="1">
      <alignment horizontal="left" vertical="center" wrapText="1"/>
    </xf>
    <xf numFmtId="14" fontId="0" fillId="0" borderId="2" xfId="0" applyNumberFormat="1" applyBorder="1" applyAlignment="1">
      <alignment vertical="center" wrapText="1"/>
    </xf>
    <xf numFmtId="14" fontId="0" fillId="0" borderId="5" xfId="0" applyNumberFormat="1" applyBorder="1" applyAlignment="1">
      <alignment horizontal="left" vertical="top" wrapText="1"/>
    </xf>
    <xf numFmtId="14" fontId="44" fillId="0" borderId="5" xfId="0" applyNumberFormat="1" applyFont="1" applyBorder="1" applyAlignment="1">
      <alignment horizontal="left" vertical="top" wrapText="1"/>
    </xf>
    <xf numFmtId="14" fontId="0" fillId="0" borderId="1" xfId="0" applyNumberFormat="1" applyBorder="1" applyAlignment="1">
      <alignment horizontal="left" vertical="top" wrapText="1"/>
    </xf>
    <xf numFmtId="14" fontId="0" fillId="0" borderId="27" xfId="0" applyNumberFormat="1" applyBorder="1" applyAlignment="1">
      <alignment horizontal="left" vertical="top" wrapText="1"/>
    </xf>
    <xf numFmtId="14" fontId="0" fillId="0" borderId="6" xfId="0" applyNumberFormat="1" applyBorder="1" applyAlignment="1">
      <alignment horizontal="left" vertical="top" wrapText="1"/>
    </xf>
    <xf numFmtId="0" fontId="45" fillId="0" borderId="1" xfId="0" applyFont="1" applyBorder="1" applyAlignment="1">
      <alignment vertical="top" wrapText="1"/>
    </xf>
    <xf numFmtId="0" fontId="0" fillId="0" borderId="6" xfId="0" applyBorder="1" applyAlignment="1">
      <alignment vertical="center" wrapText="1"/>
    </xf>
    <xf numFmtId="0" fontId="0" fillId="0" borderId="1" xfId="46" applyFont="1" applyBorder="1" applyAlignment="1">
      <alignment vertical="center" wrapText="1"/>
    </xf>
    <xf numFmtId="14" fontId="0" fillId="0" borderId="6" xfId="0" applyNumberFormat="1" applyBorder="1" applyAlignment="1">
      <alignment vertical="center" wrapText="1"/>
    </xf>
    <xf numFmtId="0" fontId="0" fillId="0" borderId="5" xfId="46" applyFont="1" applyBorder="1" applyAlignment="1">
      <alignment vertical="center" wrapText="1"/>
    </xf>
    <xf numFmtId="9" fontId="0" fillId="0" borderId="3" xfId="34" applyFont="1" applyBorder="1" applyAlignment="1">
      <alignment horizontal="center" vertical="center"/>
    </xf>
    <xf numFmtId="0" fontId="9" fillId="0" borderId="5" xfId="33" applyBorder="1"/>
    <xf numFmtId="0" fontId="9" fillId="0" borderId="2" xfId="33" applyBorder="1"/>
    <xf numFmtId="0" fontId="76" fillId="0" borderId="1" xfId="0" applyFont="1" applyBorder="1" applyAlignment="1">
      <alignment vertical="center"/>
    </xf>
    <xf numFmtId="0" fontId="45" fillId="0" borderId="0" xfId="0" applyFont="1" applyAlignment="1">
      <alignment vertical="top"/>
    </xf>
    <xf numFmtId="0" fontId="45" fillId="0" borderId="27" xfId="0" applyFont="1" applyBorder="1" applyAlignment="1">
      <alignment vertical="top"/>
    </xf>
    <xf numFmtId="0" fontId="44" fillId="0" borderId="9" xfId="0" applyFont="1" applyBorder="1" applyAlignment="1">
      <alignment vertical="center"/>
    </xf>
    <xf numFmtId="0" fontId="44" fillId="0" borderId="20" xfId="0" applyFont="1" applyBorder="1" applyAlignment="1">
      <alignment vertical="center" wrapText="1"/>
    </xf>
    <xf numFmtId="10" fontId="0" fillId="0" borderId="5" xfId="0" applyNumberFormat="1" applyBorder="1" applyAlignment="1">
      <alignment horizontal="left" vertical="center" wrapText="1"/>
    </xf>
    <xf numFmtId="0" fontId="1" fillId="0" borderId="0" xfId="47"/>
    <xf numFmtId="0" fontId="1" fillId="0" borderId="1" xfId="47" applyBorder="1" applyAlignment="1">
      <alignment wrapText="1"/>
    </xf>
    <xf numFmtId="9" fontId="0" fillId="0" borderId="1" xfId="48" applyFont="1" applyFill="1" applyBorder="1" applyAlignment="1">
      <alignment horizontal="center" vertical="center"/>
    </xf>
    <xf numFmtId="9" fontId="0" fillId="0" borderId="1" xfId="48" applyFont="1" applyBorder="1" applyAlignment="1">
      <alignment horizontal="center" vertical="center"/>
    </xf>
    <xf numFmtId="0" fontId="54" fillId="0" borderId="1" xfId="47" applyFont="1" applyBorder="1" applyAlignment="1">
      <alignment horizontal="center" vertical="center" wrapText="1"/>
    </xf>
    <xf numFmtId="0" fontId="0" fillId="20" borderId="1" xfId="48" applyNumberFormat="1" applyFont="1" applyFill="1" applyBorder="1" applyAlignment="1">
      <alignment horizontal="center" vertical="center"/>
    </xf>
    <xf numFmtId="0" fontId="1" fillId="13" borderId="1" xfId="47" applyFill="1" applyBorder="1" applyAlignment="1">
      <alignment horizontal="center" vertical="center"/>
    </xf>
    <xf numFmtId="0" fontId="1" fillId="19" borderId="1" xfId="47" applyFill="1" applyBorder="1" applyAlignment="1">
      <alignment horizontal="center" vertical="center"/>
    </xf>
    <xf numFmtId="0" fontId="1" fillId="12" borderId="1" xfId="47" applyFill="1" applyBorder="1" applyAlignment="1">
      <alignment horizontal="center" vertical="center"/>
    </xf>
    <xf numFmtId="0" fontId="1" fillId="0" borderId="1" xfId="47" applyBorder="1"/>
    <xf numFmtId="15" fontId="1" fillId="0" borderId="1" xfId="47" applyNumberFormat="1" applyBorder="1"/>
    <xf numFmtId="0" fontId="1" fillId="12" borderId="0" xfId="47" applyFill="1"/>
    <xf numFmtId="0" fontId="1" fillId="12" borderId="1" xfId="47" applyFill="1" applyBorder="1" applyAlignment="1">
      <alignment wrapText="1"/>
    </xf>
    <xf numFmtId="9" fontId="0" fillId="12" borderId="1" xfId="48" applyFont="1" applyFill="1" applyBorder="1" applyAlignment="1">
      <alignment horizontal="center" vertical="center"/>
    </xf>
    <xf numFmtId="0" fontId="54" fillId="12" borderId="1" xfId="47" applyFont="1" applyFill="1" applyBorder="1" applyAlignment="1">
      <alignment horizontal="center" vertical="center" wrapText="1"/>
    </xf>
    <xf numFmtId="15" fontId="1" fillId="12" borderId="1" xfId="47" applyNumberFormat="1" applyFill="1" applyBorder="1"/>
    <xf numFmtId="0" fontId="1" fillId="0" borderId="0" xfId="47" applyAlignment="1">
      <alignment wrapText="1"/>
    </xf>
    <xf numFmtId="0" fontId="1" fillId="0" borderId="1" xfId="47" applyBorder="1" applyAlignment="1">
      <alignment vertical="top" wrapText="1"/>
    </xf>
    <xf numFmtId="9" fontId="0" fillId="0" borderId="1" xfId="48" applyFont="1" applyFill="1" applyBorder="1" applyAlignment="1">
      <alignment horizontal="center" vertical="center" wrapText="1"/>
    </xf>
    <xf numFmtId="15" fontId="1" fillId="0" borderId="1" xfId="47" applyNumberFormat="1" applyBorder="1" applyAlignment="1">
      <alignment horizontal="right" vertical="top" wrapText="1"/>
    </xf>
    <xf numFmtId="0" fontId="1" fillId="0" borderId="1" xfId="47" applyBorder="1" applyAlignment="1">
      <alignment horizontal="left" vertical="top" wrapText="1"/>
    </xf>
    <xf numFmtId="0" fontId="1" fillId="0" borderId="1" xfId="47" applyBorder="1" applyAlignment="1">
      <alignment horizontal="center" vertical="center"/>
    </xf>
    <xf numFmtId="0" fontId="54" fillId="0" borderId="1" xfId="47" applyFont="1" applyBorder="1" applyAlignment="1">
      <alignment horizontal="center" vertical="center"/>
    </xf>
    <xf numFmtId="9" fontId="0" fillId="0" borderId="1" xfId="48" applyFont="1" applyFill="1" applyBorder="1" applyAlignment="1">
      <alignment horizontal="center"/>
    </xf>
    <xf numFmtId="0" fontId="1" fillId="13" borderId="1" xfId="47" applyFill="1" applyBorder="1"/>
    <xf numFmtId="0" fontId="1" fillId="12" borderId="1" xfId="47" applyFill="1" applyBorder="1" applyAlignment="1">
      <alignment horizontal="left" vertical="top" wrapText="1"/>
    </xf>
    <xf numFmtId="9" fontId="0" fillId="12" borderId="1" xfId="48" applyFont="1" applyFill="1" applyBorder="1" applyAlignment="1">
      <alignment horizontal="center"/>
    </xf>
    <xf numFmtId="0" fontId="0" fillId="12" borderId="1" xfId="48" applyNumberFormat="1" applyFont="1" applyFill="1" applyBorder="1" applyAlignment="1">
      <alignment horizontal="center" vertical="center"/>
    </xf>
    <xf numFmtId="0" fontId="1" fillId="12" borderId="0" xfId="47" applyFill="1" applyAlignment="1">
      <alignment wrapText="1"/>
    </xf>
    <xf numFmtId="0" fontId="0" fillId="0" borderId="1" xfId="47" applyFont="1" applyBorder="1" applyAlignment="1">
      <alignment wrapText="1"/>
    </xf>
    <xf numFmtId="9" fontId="0" fillId="0" borderId="1" xfId="48" applyFont="1" applyBorder="1" applyAlignment="1">
      <alignment horizontal="center"/>
    </xf>
    <xf numFmtId="0" fontId="0" fillId="0" borderId="1" xfId="47" applyFont="1" applyBorder="1"/>
    <xf numFmtId="0" fontId="1" fillId="0" borderId="0" xfId="47" applyAlignment="1">
      <alignment horizontal="left" vertical="top" wrapText="1"/>
    </xf>
    <xf numFmtId="0" fontId="54" fillId="0" borderId="1" xfId="47" applyFont="1" applyBorder="1" applyAlignment="1">
      <alignment horizontal="left" vertical="center" wrapText="1"/>
    </xf>
    <xf numFmtId="9" fontId="0" fillId="0" borderId="0" xfId="48" applyFont="1"/>
    <xf numFmtId="0" fontId="1" fillId="0" borderId="0" xfId="41" applyFont="1" applyAlignment="1">
      <alignment horizontal="left" vertical="top"/>
    </xf>
    <xf numFmtId="0" fontId="1" fillId="0" borderId="0" xfId="41" applyFont="1" applyAlignment="1">
      <alignment vertical="top"/>
    </xf>
    <xf numFmtId="0" fontId="1" fillId="12" borderId="1" xfId="33" applyFont="1" applyFill="1" applyBorder="1" applyAlignment="1">
      <alignment horizontal="center" vertical="center"/>
    </xf>
    <xf numFmtId="0" fontId="1" fillId="13" borderId="1" xfId="33" applyFont="1" applyFill="1" applyBorder="1" applyAlignment="1">
      <alignment horizontal="center" vertical="center"/>
    </xf>
    <xf numFmtId="0" fontId="1" fillId="19" borderId="1" xfId="33" applyFont="1" applyFill="1" applyBorder="1" applyAlignment="1">
      <alignment horizontal="center" vertical="center"/>
    </xf>
    <xf numFmtId="0" fontId="1" fillId="0" borderId="0" xfId="33" applyFont="1"/>
    <xf numFmtId="14" fontId="79" fillId="0" borderId="5" xfId="0" applyNumberFormat="1" applyFont="1" applyBorder="1" applyAlignment="1">
      <alignment horizontal="left" vertical="top" wrapText="1"/>
    </xf>
    <xf numFmtId="167" fontId="34" fillId="2" borderId="0" xfId="15" applyFont="1" applyFill="1" applyAlignment="1">
      <alignment horizontal="center" vertical="center"/>
    </xf>
    <xf numFmtId="0" fontId="44" fillId="0" borderId="28" xfId="0" applyFont="1" applyBorder="1" applyAlignment="1">
      <alignment horizontal="center" vertical="center"/>
    </xf>
    <xf numFmtId="0" fontId="44" fillId="0" borderId="30" xfId="0" applyFont="1" applyBorder="1" applyAlignment="1">
      <alignment horizontal="center" vertical="center"/>
    </xf>
    <xf numFmtId="0" fontId="44" fillId="0" borderId="31" xfId="0" applyFont="1" applyBorder="1" applyAlignment="1">
      <alignment horizontal="center" vertical="center"/>
    </xf>
    <xf numFmtId="0" fontId="44" fillId="0" borderId="28" xfId="0" applyFont="1" applyBorder="1" applyAlignment="1">
      <alignment horizontal="right" vertical="center"/>
    </xf>
    <xf numFmtId="0" fontId="44" fillId="0" borderId="31" xfId="0" applyFont="1" applyBorder="1" applyAlignment="1">
      <alignment horizontal="right" vertical="center"/>
    </xf>
    <xf numFmtId="0" fontId="44" fillId="0" borderId="30" xfId="0" applyFont="1" applyBorder="1" applyAlignment="1">
      <alignment horizontal="right" vertical="center"/>
    </xf>
    <xf numFmtId="0" fontId="0" fillId="0" borderId="1" xfId="0" applyBorder="1" applyAlignment="1">
      <alignment horizontal="center"/>
    </xf>
    <xf numFmtId="0" fontId="52" fillId="0" borderId="28" xfId="0" applyFont="1" applyBorder="1" applyAlignment="1">
      <alignment horizontal="center" vertical="center" wrapText="1"/>
    </xf>
    <xf numFmtId="0" fontId="52" fillId="0" borderId="30" xfId="0" applyFont="1" applyBorder="1" applyAlignment="1">
      <alignment horizontal="center" vertical="center" wrapText="1"/>
    </xf>
    <xf numFmtId="0" fontId="52" fillId="0" borderId="31" xfId="0" applyFont="1" applyBorder="1" applyAlignment="1">
      <alignment horizontal="center" vertical="center" wrapText="1"/>
    </xf>
    <xf numFmtId="0" fontId="72" fillId="0" borderId="5" xfId="0" applyFont="1" applyBorder="1" applyAlignment="1">
      <alignment horizontal="center" vertical="center"/>
    </xf>
    <xf numFmtId="0" fontId="72" fillId="0" borderId="2" xfId="0" applyFont="1" applyBorder="1" applyAlignment="1">
      <alignment horizontal="center" vertical="center"/>
    </xf>
    <xf numFmtId="0" fontId="25" fillId="0" borderId="1" xfId="0" applyFont="1" applyBorder="1" applyAlignment="1">
      <alignment horizontal="center" vertical="center" wrapText="1"/>
    </xf>
    <xf numFmtId="167" fontId="0" fillId="0" borderId="0" xfId="0" applyNumberFormat="1" applyAlignment="1">
      <alignment horizontal="center" vertical="center" wrapText="1"/>
    </xf>
    <xf numFmtId="0" fontId="72" fillId="0" borderId="1" xfId="0" applyFont="1" applyBorder="1" applyAlignment="1">
      <alignment horizontal="center" vertical="center"/>
    </xf>
    <xf numFmtId="0" fontId="72" fillId="0" borderId="5" xfId="0" applyFont="1" applyBorder="1" applyAlignment="1">
      <alignment horizontal="left"/>
    </xf>
    <xf numFmtId="0" fontId="72" fillId="0" borderId="2" xfId="0" applyFont="1" applyBorder="1" applyAlignment="1">
      <alignment horizontal="left"/>
    </xf>
    <xf numFmtId="0" fontId="54" fillId="0" borderId="1" xfId="33" applyFont="1" applyBorder="1" applyAlignment="1">
      <alignment horizontal="center" wrapText="1"/>
    </xf>
    <xf numFmtId="0" fontId="9" fillId="0" borderId="1" xfId="33" applyBorder="1" applyAlignment="1">
      <alignment horizontal="center" vertical="center" wrapText="1"/>
    </xf>
    <xf numFmtId="0" fontId="9" fillId="0" borderId="1" xfId="33" applyBorder="1" applyAlignment="1">
      <alignment horizontal="center" vertical="center"/>
    </xf>
    <xf numFmtId="0" fontId="9" fillId="0" borderId="5" xfId="33" applyBorder="1" applyAlignment="1">
      <alignment horizontal="center" vertical="center" wrapText="1"/>
    </xf>
    <xf numFmtId="0" fontId="9" fillId="0" borderId="6" xfId="33" applyBorder="1" applyAlignment="1">
      <alignment horizontal="center" vertical="center"/>
    </xf>
    <xf numFmtId="0" fontId="9" fillId="0" borderId="2" xfId="33" applyBorder="1" applyAlignment="1">
      <alignment horizontal="center" vertical="center"/>
    </xf>
    <xf numFmtId="0" fontId="54" fillId="0" borderId="1" xfId="47" applyFont="1" applyBorder="1" applyAlignment="1">
      <alignment horizontal="center" wrapText="1"/>
    </xf>
    <xf numFmtId="0" fontId="1" fillId="0" borderId="1" xfId="47" applyBorder="1" applyAlignment="1">
      <alignment horizontal="center" vertical="center" wrapText="1"/>
    </xf>
    <xf numFmtId="0" fontId="1" fillId="0" borderId="1" xfId="47" applyBorder="1" applyAlignment="1">
      <alignment horizontal="center" vertical="center"/>
    </xf>
    <xf numFmtId="0" fontId="1" fillId="0" borderId="5" xfId="47" applyBorder="1" applyAlignment="1">
      <alignment horizontal="center" vertical="center" wrapText="1"/>
    </xf>
    <xf numFmtId="0" fontId="1" fillId="0" borderId="6" xfId="47" applyBorder="1" applyAlignment="1">
      <alignment horizontal="center" vertical="center"/>
    </xf>
    <xf numFmtId="0" fontId="1" fillId="0" borderId="2" xfId="47" applyBorder="1" applyAlignment="1">
      <alignment horizontal="center" vertical="center"/>
    </xf>
    <xf numFmtId="0" fontId="2" fillId="0" borderId="0" xfId="46" applyAlignment="1">
      <alignment horizontal="center" vertical="center"/>
    </xf>
    <xf numFmtId="0" fontId="0" fillId="0" borderId="0" xfId="0" applyAlignment="1">
      <alignment horizontal="right"/>
    </xf>
    <xf numFmtId="0" fontId="9" fillId="0" borderId="5" xfId="33" applyBorder="1" applyAlignment="1">
      <alignment horizontal="center" vertical="center"/>
    </xf>
    <xf numFmtId="0" fontId="68" fillId="6" borderId="1" xfId="44" applyFont="1" applyFill="1" applyBorder="1" applyAlignment="1">
      <alignment horizontal="center" vertical="center"/>
    </xf>
    <xf numFmtId="0" fontId="72" fillId="0" borderId="1" xfId="0" applyFont="1" applyBorder="1" applyAlignment="1"/>
  </cellXfs>
  <cellStyles count="49">
    <cellStyle name="Comma 2" xfId="25" xr:uid="{7279DFE1-ED96-4C21-9444-42C9AFFF46BD}"/>
    <cellStyle name="Comma 3" xfId="26" xr:uid="{A2DCFAA2-6152-40C9-91FD-7C891780DC67}"/>
    <cellStyle name="Header-Black" xfId="2" xr:uid="{00000000-0005-0000-0000-000000000000}"/>
    <cellStyle name="Hyperlink 2" xfId="5" xr:uid="{00000000-0005-0000-0000-000001000000}"/>
    <cellStyle name="Normal" xfId="0" builtinId="0"/>
    <cellStyle name="Normal 10" xfId="23" xr:uid="{534C8120-6473-48C6-B633-74A359AA0AB8}"/>
    <cellStyle name="Normal 10 2" xfId="33" xr:uid="{575C24A1-A460-44AD-A3F1-46DED12DEEDF}"/>
    <cellStyle name="Normal 10 2 2" xfId="42" xr:uid="{27053535-558C-4B33-9EE9-256384DE9E0A}"/>
    <cellStyle name="Normal 10 2 2 2" xfId="44" xr:uid="{829439FE-B767-4525-AB78-3E75A47240EE}"/>
    <cellStyle name="Normal 10 2 3" xfId="43" xr:uid="{1F53D5DE-8DE8-4AB3-A4B8-A87BA3ECC9E5}"/>
    <cellStyle name="Normal 10 2 4" xfId="47" xr:uid="{FD05B6BE-18BB-4874-A82F-E6B909B46879}"/>
    <cellStyle name="Normal 11" xfId="28" xr:uid="{23B22188-19AD-4963-87DC-CFD8EDC67CC6}"/>
    <cellStyle name="Normal 12" xfId="30" xr:uid="{89B1B601-0608-471F-91C5-8A148D33B777}"/>
    <cellStyle name="Normal 13" xfId="31" xr:uid="{63FDD2B2-8F9C-4AFD-ABCA-9DFF15DD3ABD}"/>
    <cellStyle name="Normal 14" xfId="10" xr:uid="{00000000-0005-0000-0000-000003000000}"/>
    <cellStyle name="Normal 15" xfId="12" xr:uid="{00000000-0005-0000-0000-000004000000}"/>
    <cellStyle name="Normal 16" xfId="13" xr:uid="{00000000-0005-0000-0000-000005000000}"/>
    <cellStyle name="Normal 17" xfId="32" xr:uid="{6CDAD32B-5953-431B-9F01-B7E164C39234}"/>
    <cellStyle name="Normal 18" xfId="35" xr:uid="{64901B66-8923-4F33-89B0-AC567A52A7E6}"/>
    <cellStyle name="Normal 19" xfId="39" xr:uid="{663BF6E8-A04E-407D-8B58-C39D1829B41C}"/>
    <cellStyle name="Normal 2" xfId="6" xr:uid="{00000000-0005-0000-0000-000006000000}"/>
    <cellStyle name="Normal 2 2" xfId="7" xr:uid="{00000000-0005-0000-0000-000007000000}"/>
    <cellStyle name="Normal 2 2 2" xfId="4" xr:uid="{00000000-0005-0000-0000-000008000000}"/>
    <cellStyle name="Normal 2 2 2 2" xfId="8" xr:uid="{00000000-0005-0000-0000-000009000000}"/>
    <cellStyle name="Normal 2 2 2 3" xfId="16" xr:uid="{00000000-0005-0000-0000-00000A000000}"/>
    <cellStyle name="Normal 2 3" xfId="17" xr:uid="{00000000-0005-0000-0000-00000B000000}"/>
    <cellStyle name="Normal 2 4" xfId="37" xr:uid="{91AD2F6A-8E7B-4F2A-B43D-3450A220BDF6}"/>
    <cellStyle name="Normal 22" xfId="41" xr:uid="{5EAB9A44-55B6-482E-BD02-AF4DFE8AE3DC}"/>
    <cellStyle name="Normal 3" xfId="1" xr:uid="{00000000-0005-0000-0000-00000C000000}"/>
    <cellStyle name="Normal 3 2" xfId="38" xr:uid="{F040C5E7-8AD7-4FBB-8902-94E9DC6C9962}"/>
    <cellStyle name="Normal 3 3" xfId="40" xr:uid="{75E0868E-51BA-44B7-BE6A-9094BE7E64BA}"/>
    <cellStyle name="Normal 4" xfId="3" xr:uid="{00000000-0005-0000-0000-00000D000000}"/>
    <cellStyle name="Normal 4 2" xfId="29" xr:uid="{2CD3DE2F-DBB8-4D4A-891B-B58878648BC1}"/>
    <cellStyle name="Normal 4 3" xfId="11" xr:uid="{00000000-0005-0000-0000-00000E000000}"/>
    <cellStyle name="Normal 5" xfId="9" xr:uid="{00000000-0005-0000-0000-00000F000000}"/>
    <cellStyle name="Normal 5 2" xfId="18" xr:uid="{00000000-0005-0000-0000-000010000000}"/>
    <cellStyle name="Normal 6" xfId="14" xr:uid="{00000000-0005-0000-0000-000011000000}"/>
    <cellStyle name="Normal 6 2" xfId="19" xr:uid="{00000000-0005-0000-0000-000012000000}"/>
    <cellStyle name="Normal 7" xfId="15" xr:uid="{00000000-0005-0000-0000-000013000000}"/>
    <cellStyle name="Normal 7 2" xfId="45" xr:uid="{F79878D1-6214-42FB-A048-BF81DCEB8761}"/>
    <cellStyle name="Normal 7 3" xfId="46" xr:uid="{4F58F9A4-2B23-4766-AFCB-00B340F8B86F}"/>
    <cellStyle name="Normal 8" xfId="22" xr:uid="{00000000-0005-0000-0000-000043000000}"/>
    <cellStyle name="Normal 9" xfId="21" xr:uid="{00000000-0005-0000-0000-000014000000}"/>
    <cellStyle name="Percent" xfId="20" builtinId="5"/>
    <cellStyle name="Percent 2" xfId="24" xr:uid="{DE4A18AD-32BA-4234-8482-F13A916E1623}"/>
    <cellStyle name="Percent 2 2" xfId="34" xr:uid="{ACC2F2C4-648F-4D92-9206-835FBD7EF18F}"/>
    <cellStyle name="Percent 2 2 2" xfId="48" xr:uid="{D5947F3E-8DF7-4724-92C6-16E99E56A5AA}"/>
    <cellStyle name="Percent 3" xfId="27" xr:uid="{1C761F46-D25B-4F01-A0E6-F5ABE04079C3}"/>
    <cellStyle name="Percent 4" xfId="36" xr:uid="{3A2D2C65-18CC-4B8F-9EF7-174FE541469C}"/>
  </cellStyles>
  <dxfs count="1371">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8184"/>
        </patternFill>
      </fill>
    </dxf>
    <dxf>
      <fill>
        <patternFill>
          <bgColor theme="9" tint="0.59996337778862885"/>
        </patternFill>
      </fill>
    </dxf>
    <dxf>
      <fill>
        <patternFill>
          <bgColor theme="6" tint="0.39994506668294322"/>
        </patternFill>
      </fill>
    </dxf>
    <dxf>
      <fill>
        <patternFill>
          <bgColor rgb="FFFF818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7" formatCode="[$-409]d\-mmm;@"/>
      <fill>
        <patternFill patternType="solid">
          <fgColor indexed="64"/>
          <bgColor theme="2" tint="-9.9978637043366805E-2"/>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4" formatCode="0.00%"/>
      <fill>
        <patternFill>
          <fgColor indexed="64"/>
          <bgColor theme="9" tint="0.5999938962981048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4" formatCode="0.00%"/>
      <fill>
        <patternFill patternType="solid">
          <fgColor indexed="64"/>
          <bgColor theme="9" tint="0.5999938962981048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75" formatCode="dd/mm/yyyy"/>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75" formatCode="dd/mm/yyyy"/>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fill>
        <patternFill patternType="solid">
          <fgColor indexed="64"/>
          <bgColor theme="7" tint="0.79998168889431442"/>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fill>
        <patternFill patternType="solid">
          <fgColor indexed="64"/>
          <bgColor theme="4" tint="0.79998168889431442"/>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9" formatCode="[$-409]dd/mmm/yy;@"/>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9" formatCode="[$-409]dd/mmm/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9" formatCode="[$-409]dd/mmm/yy;@"/>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9" formatCode="[$-409]dd/mmm/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5" formatCode="dd/mm/yyyy"/>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75" formatCode="dd/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5" formatCode="dd/mm/yyyy"/>
      <alignment horizontal="left"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Calibri"/>
        <family val="2"/>
        <scheme val="none"/>
      </font>
      <numFmt numFmtId="175" formatCode="dd/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75" formatCode="dd/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5" formatCode="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75" formatCode="dd/mm/yyyy"/>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5" formatCode="dd/m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5" formatCode="dd/mmm/yyyy"/>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9" formatCode="[$-409]dd/mmm/yy;@"/>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5" formatCode="dd/m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5" formatCode="dd/mmm/yyyy"/>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1" formatCode="[$-14009]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71" formatCode="[$-14009]dd/mm/yyyy;@"/>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none"/>
      </font>
      <numFmt numFmtId="169" formatCode="[$-409]dd/mmm/yy;@"/>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alignment horizontal="general" vertical="center" textRotation="0" wrapText="1" indent="0" justifyLastLine="0" shrinkToFit="0" readingOrder="0"/>
      <border diagonalUp="0" diagonalDown="0">
        <left style="thin">
          <color indexed="64"/>
        </left>
        <right style="thin">
          <color indexed="64"/>
        </right>
        <top style="thin">
          <color indexed="64"/>
        </top>
        <bottom/>
        <vertical/>
        <horizontal/>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vertical/>
        <horizontal/>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right style="thin">
          <color indexed="64"/>
        </right>
        <top style="thin">
          <color indexed="64"/>
        </top>
        <bottom/>
      </border>
    </dxf>
    <dxf>
      <numFmt numFmtId="167" formatCode="[$-409]d\-mmm;@"/>
      <alignment horizontal="left" vertical="center" textRotation="0" wrapText="1" indent="0" justifyLastLine="0" shrinkToFit="0" readingOrder="0"/>
      <border diagonalUp="0" diagonalDown="0" outline="0">
        <left/>
        <right style="thin">
          <color indexed="64"/>
        </right>
        <top style="thin">
          <color indexed="64"/>
        </top>
        <bottom/>
      </border>
    </dxf>
    <dxf>
      <border outline="0">
        <bottom style="thin">
          <color rgb="FF000000"/>
        </bottom>
      </border>
    </dxf>
    <dxf>
      <border outline="0">
        <left style="thin">
          <color rgb="FF000000"/>
        </lef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general" vertical="center" textRotation="0" wrapText="1" indent="0" justifyLastLine="0" shrinkToFit="0" readingOrder="0"/>
    </dxf>
    <dxf>
      <font>
        <b/>
        <i val="0"/>
        <strike val="0"/>
        <condense val="0"/>
        <extend val="0"/>
        <outline val="0"/>
        <shadow val="0"/>
        <u val="none"/>
        <vertAlign val="baseline"/>
        <sz val="10"/>
        <color theme="0"/>
        <name val="Trebuchet MS"/>
        <family val="2"/>
        <scheme val="none"/>
      </font>
      <numFmt numFmtId="2" formatCode="0.00"/>
      <fill>
        <patternFill patternType="solid">
          <fgColor indexed="64"/>
          <bgColor theme="4"/>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indexed="20"/>
      </font>
      <fill>
        <patternFill>
          <bgColor indexed="45"/>
        </patternFill>
      </fill>
    </dxf>
    <dxf>
      <font>
        <color rgb="FF9C0006"/>
      </font>
      <fill>
        <patternFill>
          <bgColor rgb="FFFFC7CE"/>
        </patternFill>
      </fill>
    </dxf>
    <dxf>
      <font>
        <color indexed="20"/>
      </font>
      <fill>
        <patternFill>
          <bgColor indexed="45"/>
        </patternFill>
      </fill>
    </dxf>
    <dxf>
      <font>
        <color rgb="FF9C0006"/>
      </font>
      <fill>
        <patternFill>
          <bgColor rgb="FFFFC7CE"/>
        </patternFill>
      </fill>
    </dxf>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font>
      <fill>
        <patternFill>
          <bgColor theme="0" tint="-0.34998626667073579"/>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font>
      <fill>
        <patternFill>
          <bgColor theme="0" tint="-0.34998626667073579"/>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font>
      <fill>
        <patternFill>
          <bgColor theme="0" tint="-0.34998626667073579"/>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9" formatCode="m/d/yyyy"/>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4" formatCode="0.0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4" formatCode="0.0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9" formatCode="[$-409]dd/mmm/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9" formatCode="[$-409]dd/mmm/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5" formatCode="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75" formatCode="dd/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9" formatCode="m/d/yy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5" formatCode="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75" formatCode="dd/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5" formatCode="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75" formatCode="dd/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5" formatCode="dd/m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dd/m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9" formatCode="[$-409]dd/mmm/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5" formatCode="dd/m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dd/m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1" formatCode="[$-14009]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14009]dd/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none"/>
      </font>
      <numFmt numFmtId="169" formatCode="[$-409]dd/mmm/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right style="thin">
          <color indexed="64"/>
        </right>
        <top style="thin">
          <color indexed="64"/>
        </top>
        <bottom/>
      </border>
    </dxf>
    <dxf>
      <numFmt numFmtId="167" formatCode="[$-409]d\-mmm;@"/>
      <alignment horizontal="left" vertical="center" textRotation="0" wrapText="1" indent="0" justifyLastLine="0" shrinkToFit="0" readingOrder="0"/>
      <border diagonalUp="0" diagonalDown="0" outline="0">
        <left/>
        <right style="thin">
          <color indexed="64"/>
        </right>
        <top style="thin">
          <color indexed="64"/>
        </top>
        <bottom/>
      </border>
    </dxf>
    <dxf>
      <border outline="0">
        <bottom style="thin">
          <color rgb="FF000000"/>
        </bottom>
      </border>
    </dxf>
    <dxf>
      <border outline="0">
        <left style="thin">
          <color rgb="FF000000"/>
        </lef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fill>
        <patternFill patternType="none">
          <fgColor rgb="FF000000"/>
          <bgColor auto="1"/>
        </patternFill>
      </fill>
      <alignment horizontal="general" vertical="center" textRotation="0" wrapText="1" indent="0" justifyLastLine="0" shrinkToFit="0" readingOrder="0"/>
    </dxf>
    <dxf>
      <font>
        <b/>
        <i val="0"/>
        <strike val="0"/>
        <condense val="0"/>
        <extend val="0"/>
        <outline val="0"/>
        <shadow val="0"/>
        <u val="none"/>
        <vertAlign val="baseline"/>
        <sz val="10"/>
        <color theme="0"/>
        <name val="Trebuchet MS"/>
        <family val="2"/>
        <scheme val="none"/>
      </font>
      <numFmt numFmtId="2" formatCode="0.00"/>
      <fill>
        <patternFill patternType="solid">
          <fgColor indexed="64"/>
          <bgColor theme="4"/>
        </patternFill>
      </fill>
      <alignment horizontal="center" vertical="center" textRotation="0" wrapText="1" indent="0" justifyLastLine="0" shrinkToFit="0" readingOrder="0"/>
      <border diagonalUp="0" diagonalDown="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font>
      <fill>
        <patternFill>
          <bgColor theme="0" tint="-0.34998626667073579"/>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font>
      <fill>
        <patternFill>
          <bgColor theme="0" tint="-0.34998626667073579"/>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4" formatCode="0.0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75" formatCode="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9" formatCode="m/d/yy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5" formatCode="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75" formatCode="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165" formatCode="dd/m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dd/m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9" formatCode="[$-409]dd/mmm/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5" formatCode="dd/m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dd/m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1" formatCode="[$-14009]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none"/>
      </font>
      <numFmt numFmtId="169" formatCode="[$-409]dd/mmm/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right style="thin">
          <color indexed="64"/>
        </right>
        <top style="thin">
          <color indexed="64"/>
        </top>
        <bottom/>
      </border>
    </dxf>
    <dxf>
      <numFmt numFmtId="167" formatCode="[$-409]d\-mmm;@"/>
      <alignment horizontal="left" vertical="center" textRotation="0" wrapText="1" indent="0" justifyLastLine="0" shrinkToFit="0" readingOrder="0"/>
      <border diagonalUp="0" diagonalDown="0" outline="0">
        <left/>
        <right style="thin">
          <color indexed="64"/>
        </right>
        <top style="thin">
          <color indexed="64"/>
        </top>
        <bottom/>
      </border>
    </dxf>
    <dxf>
      <border outline="0">
        <bottom style="thin">
          <color indexed="64"/>
        </bottom>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dxf>
    <dxf>
      <font>
        <b/>
        <i val="0"/>
        <strike val="0"/>
        <condense val="0"/>
        <extend val="0"/>
        <outline val="0"/>
        <shadow val="0"/>
        <u val="none"/>
        <vertAlign val="baseline"/>
        <sz val="10"/>
        <color theme="0"/>
        <name val="Trebuchet MS"/>
        <family val="2"/>
        <scheme val="none"/>
      </font>
      <numFmt numFmtId="2" formatCode="0.00"/>
      <fill>
        <patternFill patternType="solid">
          <fgColor indexed="64"/>
          <bgColor theme="4"/>
        </patternFill>
      </fill>
      <alignment horizontal="center" vertical="center" textRotation="0" wrapText="1" indent="0" justifyLastLine="0" shrinkToFit="0" readingOrder="0"/>
      <border diagonalUp="0" diagonalDown="0">
        <left style="thin">
          <color indexed="64"/>
        </left>
        <right style="thin">
          <color indexed="64"/>
        </right>
        <top/>
        <bottom/>
      </border>
    </dxf>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font>
      <fill>
        <patternFill>
          <bgColor theme="0" tint="-0.34998626667073579"/>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font>
      <fill>
        <patternFill>
          <bgColor theme="0" tint="-0.34998626667073579"/>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0"/>
        <color theme="1"/>
        <name val="Trebuchet MS"/>
        <scheme val="none"/>
      </font>
      <fill>
        <patternFill patternType="solid">
          <fgColor indexed="64"/>
          <bgColor indexed="65"/>
        </patternFill>
      </fill>
      <alignment horizontal="general" vertical="center" textRotation="0" wrapText="0" relative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Trebuchet MS"/>
        <scheme val="none"/>
      </font>
      <fill>
        <patternFill patternType="solid">
          <fgColor indexed="64"/>
          <bgColor indexed="6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Trebuchet MS"/>
        <scheme val="none"/>
      </font>
      <fill>
        <patternFill patternType="solid">
          <fgColor indexed="64"/>
          <bgColor indexed="6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Trebuchet MS"/>
        <scheme val="none"/>
      </font>
      <numFmt numFmtId="170" formatCode="[$-F800]dddd\,\ mmmm\ dd\,\ yyyy"/>
      <fill>
        <patternFill patternType="solid">
          <fgColor indexed="64"/>
          <bgColor indexed="65"/>
        </patternFill>
      </fill>
      <alignment horizontal="general" vertical="center" textRotation="0" wrapText="1" relative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0"/>
        <color theme="1"/>
        <name val="Trebuchet MS"/>
        <scheme val="none"/>
      </font>
      <numFmt numFmtId="166" formatCode="0.0"/>
      <fill>
        <patternFill patternType="solid">
          <fgColor indexed="64"/>
          <bgColor indexed="65"/>
        </patternFill>
      </fill>
      <alignment horizontal="general" vertical="center" textRotation="0" wrapText="0" relativeIndent="0" justifyLastLine="0" shrinkToFit="0" readingOrder="0"/>
      <border diagonalUp="0" diagonalDown="0" outline="0">
        <left/>
        <right style="thin">
          <color indexed="64"/>
        </right>
        <top style="thin">
          <color indexed="64"/>
        </top>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0"/>
        <name val="Trebuchet MS"/>
        <scheme val="none"/>
      </font>
      <fill>
        <patternFill patternType="solid">
          <fgColor indexed="64"/>
          <bgColor theme="4"/>
        </patternFill>
      </fill>
      <alignment horizontal="center" vertical="center" textRotation="0" wrapText="0" relativeIndent="0" justifyLastLine="0" shrinkToFit="0" readingOrder="0"/>
    </dxf>
    <dxf>
      <font>
        <b val="0"/>
        <i val="0"/>
        <strike val="0"/>
        <condense val="0"/>
        <extend val="0"/>
        <outline val="0"/>
        <shadow val="0"/>
        <u val="none"/>
        <vertAlign val="baseline"/>
        <sz val="10"/>
        <color theme="1"/>
        <name val="Trebuchet MS"/>
        <scheme val="none"/>
      </font>
      <fill>
        <patternFill patternType="solid">
          <fgColor indexed="64"/>
          <bgColor theme="4" tint="0.79998168889431442"/>
        </patternFill>
      </fill>
      <alignment horizontal="general" vertical="center" textRotation="0" wrapText="0" relativeIndent="0" justifyLastLine="0" shrinkToFit="0" readingOrder="0"/>
    </dxf>
    <dxf>
      <font>
        <b val="0"/>
        <i val="0"/>
        <strike val="0"/>
        <condense val="0"/>
        <extend val="0"/>
        <outline val="0"/>
        <shadow val="0"/>
        <u val="none"/>
        <vertAlign val="baseline"/>
        <sz val="10"/>
        <color theme="1"/>
        <name val="Trebuchet MS"/>
        <scheme val="none"/>
      </font>
      <fill>
        <patternFill patternType="solid">
          <fgColor indexed="64"/>
          <bgColor theme="4" tint="0.79998168889431442"/>
        </patternFill>
      </fill>
      <alignment horizontal="general" vertical="center" textRotation="0" wrapText="0" relativeIndent="0" justifyLastLine="0" shrinkToFit="0" readingOrder="0"/>
      <border diagonalUp="0" diagonalDown="0">
        <left style="thin">
          <color indexed="64"/>
        </left>
        <right/>
        <top style="thin">
          <color indexed="64"/>
        </top>
        <bottom style="thin">
          <color indexed="64"/>
        </bottom>
      </border>
    </dxf>
    <dxf>
      <fill>
        <patternFill patternType="solid">
          <fgColor indexed="64"/>
          <bgColor theme="4" tint="0.79998168889431442"/>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rebuchet MS"/>
        <scheme val="none"/>
      </font>
      <numFmt numFmtId="0" formatCode="General"/>
      <fill>
        <patternFill patternType="solid">
          <fgColor indexed="64"/>
          <bgColor theme="4" tint="0.79998168889431442"/>
        </patternFill>
      </fill>
      <alignment horizontal="general" vertical="center"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rebuchet MS"/>
        <scheme val="none"/>
      </font>
      <fill>
        <patternFill patternType="solid">
          <fgColor indexed="64"/>
          <bgColor theme="4" tint="0.79998168889431442"/>
        </patternFill>
      </fill>
      <alignment horizontal="general" vertical="center" textRotation="0" wrapText="0" relativeIndent="0" justifyLastLine="0" shrinkToFit="0" readingOrder="0"/>
      <border diagonalUp="0" diagonalDown="0">
        <left/>
        <right style="thin">
          <color indexed="64"/>
        </right>
        <top style="thin">
          <color indexed="64"/>
        </top>
        <bottom style="thin">
          <color indexed="64"/>
        </bottom>
      </border>
    </dxf>
    <dxf>
      <border>
        <top style="thin">
          <color indexed="64"/>
        </top>
        <vertical/>
        <horizontal/>
      </border>
    </dxf>
    <dxf>
      <border>
        <bottom style="thin">
          <color indexed="64"/>
        </bottom>
        <vertical/>
        <horizontal/>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rebuchet MS"/>
        <scheme val="none"/>
      </font>
      <fill>
        <patternFill patternType="solid">
          <fgColor indexed="64"/>
          <bgColor theme="4" tint="0.79998168889431442"/>
        </patternFill>
      </fill>
      <alignment horizontal="general" vertical="center" textRotation="0" wrapText="0" relativeIndent="0" justifyLastLine="0" shrinkToFit="0" readingOrder="0"/>
    </dxf>
    <dxf>
      <font>
        <b val="0"/>
        <i val="0"/>
        <strike val="0"/>
        <condense val="0"/>
        <extend val="0"/>
        <outline val="0"/>
        <shadow val="0"/>
        <u val="none"/>
        <vertAlign val="baseline"/>
        <sz val="10"/>
        <color theme="0"/>
        <name val="Trebuchet MS"/>
        <scheme val="none"/>
      </font>
      <fill>
        <patternFill patternType="solid">
          <fgColor indexed="6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4" formatCode="0.0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4" formatCode="0.0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9" formatCode="[$-409]dd/mmm/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9" formatCode="[$-409]dd/mmm/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5" formatCode="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75" formatCode="dd/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5" formatCode="dd/mm/yy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Calibri"/>
        <family val="2"/>
        <scheme val="none"/>
      </font>
      <numFmt numFmtId="175" formatCode="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75" formatCode="dd/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5" formatCode="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75" formatCode="dd/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5" formatCode="dd/m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dd/m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9" formatCode="[$-409]dd/mmm/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5" formatCode="dd/m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dd/m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71" formatCode="[$-14009]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14009]dd/mm/yy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none"/>
      </font>
      <numFmt numFmtId="169" formatCode="[$-409]dd/mmm/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none"/>
      </font>
      <numFmt numFmtId="169" formatCode="[$-409]dd/mmm/yy;@"/>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vertical/>
        <horizontal/>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409]d\-mmm;@"/>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167" formatCode="[$-409]d\-mmm;@"/>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vertical/>
        <horizontal/>
      </border>
    </dxf>
    <dxf>
      <numFmt numFmtId="167" formatCode="[$-409]d\-mmm;@"/>
      <alignment horizontal="left" vertical="center" textRotation="0" wrapText="1" indent="0" justifyLastLine="0" shrinkToFit="0" readingOrder="0"/>
      <border diagonalUp="0" diagonalDown="0" outline="0">
        <left/>
        <right style="thin">
          <color indexed="64"/>
        </right>
        <top style="thin">
          <color indexed="64"/>
        </top>
        <bottom/>
      </border>
    </dxf>
    <dxf>
      <border outline="0">
        <bottom style="thin">
          <color rgb="FF000000"/>
        </bottom>
      </border>
    </dxf>
    <dxf>
      <border outline="0">
        <left style="thin">
          <color rgb="FF000000"/>
        </lef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fill>
        <patternFill patternType="none">
          <fgColor rgb="FF000000"/>
          <bgColor auto="1"/>
        </patternFill>
      </fill>
      <alignment horizontal="general" vertical="center" textRotation="0" wrapText="1" indent="0" justifyLastLine="0" shrinkToFit="0" readingOrder="0"/>
    </dxf>
    <dxf>
      <font>
        <b/>
        <i val="0"/>
        <strike val="0"/>
        <condense val="0"/>
        <extend val="0"/>
        <outline val="0"/>
        <shadow val="0"/>
        <u val="none"/>
        <vertAlign val="baseline"/>
        <sz val="10"/>
        <color theme="0"/>
        <name val="Trebuchet MS"/>
        <family val="2"/>
        <scheme val="none"/>
      </font>
      <numFmt numFmtId="2" formatCode="0.00"/>
      <fill>
        <patternFill patternType="solid">
          <fgColor indexed="64"/>
          <bgColor theme="4"/>
        </patternFill>
      </fill>
      <alignment horizontal="center" vertical="center" textRotation="0" wrapText="1" indent="0" justifyLastLine="0" shrinkToFit="0" readingOrder="0"/>
      <border diagonalUp="0" diagonalDown="0">
        <left style="thin">
          <color indexed="64"/>
        </left>
        <right style="thin">
          <color indexed="64"/>
        </right>
        <top/>
        <bottom/>
      </border>
    </dxf>
    <dxf>
      <font>
        <color indexed="20"/>
      </font>
      <fill>
        <patternFill>
          <bgColor indexed="45"/>
        </patternFill>
      </fill>
    </dxf>
    <dxf>
      <font>
        <color rgb="FF9C0006"/>
      </font>
      <fill>
        <patternFill>
          <bgColor rgb="FFFFC7CE"/>
        </patternFill>
      </fill>
    </dxf>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font>
      <fill>
        <patternFill>
          <bgColor theme="0" tint="-0.34998626667073579"/>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numFmt numFmtId="1" formatCode="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alignment horizontal="center"/>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66FF66"/>
      <color rgb="FF00FF00"/>
      <color rgb="FFFF00FF"/>
      <color rgb="FF0000FF"/>
      <color rgb="FFFF3338"/>
      <color rgb="FFFFFFFF"/>
      <color rgb="FFFF9393"/>
      <color rgb="FFCAE8AA"/>
      <color rgb="FFFFCCCC"/>
      <color rgb="FFD4AF8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externalLink" Target="externalLinks/externalLink8.xml"/><Relationship Id="rId42" Type="http://schemas.openxmlformats.org/officeDocument/2006/relationships/pivotCacheDefinition" Target="pivotCache/pivotCacheDefinition4.xml"/><Relationship Id="rId47" Type="http://schemas.microsoft.com/office/2017/10/relationships/person" Target="persons/person.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3.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6.xml"/><Relationship Id="rId37" Type="http://schemas.openxmlformats.org/officeDocument/2006/relationships/externalLink" Target="externalLinks/externalLink11.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openxmlformats.org/officeDocument/2006/relationships/externalLink" Target="externalLinks/externalLink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5.xml"/><Relationship Id="rId44" Type="http://schemas.openxmlformats.org/officeDocument/2006/relationships/styles" Target="style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externalLink" Target="externalLinks/externalLink4.xml"/><Relationship Id="rId35" Type="http://schemas.openxmlformats.org/officeDocument/2006/relationships/externalLink" Target="externalLinks/externalLink9.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7.xml"/><Relationship Id="rId38" Type="http://schemas.openxmlformats.org/officeDocument/2006/relationships/externalLink" Target="externalLinks/externalLink12.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Q3'26 Evaluation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0"/>
          <c:order val="1"/>
          <c:tx>
            <c:strRef>
              <c:f>'[12]CSAR_WSR_Graph (Non-STLA)'!$I$3</c:f>
              <c:strCache>
                <c:ptCount val="1"/>
                <c:pt idx="0">
                  <c:v>Cumulative (Baseline Plan)</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(Non-STLA)'!$D$4:$D$16</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(Non-STLA)'!$I$4:$I$16</c:f>
              <c:numCache>
                <c:formatCode>General</c:formatCode>
                <c:ptCount val="13"/>
                <c:pt idx="0">
                  <c:v>1</c:v>
                </c:pt>
                <c:pt idx="1">
                  <c:v>9</c:v>
                </c:pt>
                <c:pt idx="2">
                  <c:v>10</c:v>
                </c:pt>
                <c:pt idx="3">
                  <c:v>11</c:v>
                </c:pt>
                <c:pt idx="4">
                  <c:v>13</c:v>
                </c:pt>
                <c:pt idx="5">
                  <c:v>29</c:v>
                </c:pt>
                <c:pt idx="6">
                  <c:v>35</c:v>
                </c:pt>
                <c:pt idx="7">
                  <c:v>35</c:v>
                </c:pt>
                <c:pt idx="8">
                  <c:v>35</c:v>
                </c:pt>
                <c:pt idx="9">
                  <c:v>43</c:v>
                </c:pt>
                <c:pt idx="10">
                  <c:v>48</c:v>
                </c:pt>
                <c:pt idx="11">
                  <c:v>49</c:v>
                </c:pt>
                <c:pt idx="12">
                  <c:v>49</c:v>
                </c:pt>
              </c:numCache>
            </c:numRef>
          </c:val>
          <c:extLst xmlns:c15="http://schemas.microsoft.com/office/drawing/2012/chart">
            <c:ext xmlns:c16="http://schemas.microsoft.com/office/drawing/2014/chart" uri="{C3380CC4-5D6E-409C-BE32-E72D297353CC}">
              <c16:uniqueId val="{0000000D-402E-49C5-AE56-C8387209C718}"/>
            </c:ext>
          </c:extLst>
        </c:ser>
        <c:ser>
          <c:idx val="1"/>
          <c:order val="2"/>
          <c:tx>
            <c:strRef>
              <c:f>'[12]CSAR_WSR_Graph (Non-STLA)'!$J$3</c:f>
              <c:strCache>
                <c:ptCount val="1"/>
                <c:pt idx="0">
                  <c:v>Cumulative Revised basline plan</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(Non-STLA)'!$D$4:$D$16</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(Non-STLA)'!$J$4:$J$16</c:f>
              <c:numCache>
                <c:formatCode>General</c:formatCode>
                <c:ptCount val="13"/>
                <c:pt idx="0">
                  <c:v>1</c:v>
                </c:pt>
                <c:pt idx="1">
                  <c:v>8</c:v>
                </c:pt>
                <c:pt idx="2">
                  <c:v>8</c:v>
                </c:pt>
                <c:pt idx="3">
                  <c:v>10</c:v>
                </c:pt>
                <c:pt idx="4">
                  <c:v>12</c:v>
                </c:pt>
                <c:pt idx="5">
                  <c:v>26</c:v>
                </c:pt>
                <c:pt idx="6">
                  <c:v>30</c:v>
                </c:pt>
                <c:pt idx="7">
                  <c:v>31</c:v>
                </c:pt>
                <c:pt idx="8">
                  <c:v>31</c:v>
                </c:pt>
                <c:pt idx="9">
                  <c:v>41</c:v>
                </c:pt>
                <c:pt idx="10">
                  <c:v>45</c:v>
                </c:pt>
                <c:pt idx="11">
                  <c:v>45</c:v>
                </c:pt>
                <c:pt idx="12">
                  <c:v>46</c:v>
                </c:pt>
              </c:numCache>
            </c:numRef>
          </c:val>
          <c:extLst>
            <c:ext xmlns:c16="http://schemas.microsoft.com/office/drawing/2014/chart" uri="{C3380CC4-5D6E-409C-BE32-E72D297353CC}">
              <c16:uniqueId val="{00000001-402E-49C5-AE56-C8387209C718}"/>
            </c:ext>
          </c:extLst>
        </c:ser>
        <c:ser>
          <c:idx val="2"/>
          <c:order val="3"/>
          <c:tx>
            <c:strRef>
              <c:f>'CSAR_WSR_Graph (Non-STLA)'!$K$3</c:f>
              <c:strCache>
                <c:ptCount val="1"/>
                <c:pt idx="0">
                  <c:v>Cumulative (Completed)</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(Non-STLA)'!$D$4:$D$16</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(Non-STLA)'!$K$4:$K$10</c:f>
              <c:numCache>
                <c:formatCode>General</c:formatCode>
                <c:ptCount val="7"/>
                <c:pt idx="0">
                  <c:v>1</c:v>
                </c:pt>
                <c:pt idx="1">
                  <c:v>8</c:v>
                </c:pt>
                <c:pt idx="2">
                  <c:v>9</c:v>
                </c:pt>
                <c:pt idx="3">
                  <c:v>10</c:v>
                </c:pt>
                <c:pt idx="4">
                  <c:v>12</c:v>
                </c:pt>
                <c:pt idx="5">
                  <c:v>14</c:v>
                </c:pt>
                <c:pt idx="6">
                  <c:v>25</c:v>
                </c:pt>
              </c:numCache>
            </c:numRef>
          </c:val>
          <c:extLst xmlns:c15="http://schemas.microsoft.com/office/drawing/2012/chart">
            <c:ext xmlns:c16="http://schemas.microsoft.com/office/drawing/2014/chart" uri="{C3380CC4-5D6E-409C-BE32-E72D297353CC}">
              <c16:uniqueId val="{00000004-402E-49C5-AE56-C8387209C718}"/>
            </c:ext>
          </c:extLst>
        </c:ser>
        <c:ser>
          <c:idx val="8"/>
          <c:order val="4"/>
          <c:tx>
            <c:strRef>
              <c:f>'[12]CSAR_WSR_Graph (Non-STLA)'!$H$3</c:f>
              <c:strCache>
                <c:ptCount val="1"/>
                <c:pt idx="0">
                  <c:v>Rejected / Transferred/ Moved to next quarter</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(Non-STLA)'!$D$4:$D$16</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(Non-STLA)'!$H$4:$H$16</c:f>
              <c:numCache>
                <c:formatCode>General</c:formatCode>
                <c:ptCount val="13"/>
                <c:pt idx="0">
                  <c:v>0</c:v>
                </c:pt>
                <c:pt idx="1">
                  <c:v>1</c:v>
                </c:pt>
                <c:pt idx="2">
                  <c:v>1</c:v>
                </c:pt>
                <c:pt idx="3">
                  <c:v>1</c:v>
                </c:pt>
                <c:pt idx="4">
                  <c:v>1</c:v>
                </c:pt>
                <c:pt idx="5">
                  <c:v>2</c:v>
                </c:pt>
                <c:pt idx="6">
                  <c:v>3</c:v>
                </c:pt>
                <c:pt idx="7">
                  <c:v>3</c:v>
                </c:pt>
                <c:pt idx="8">
                  <c:v>3</c:v>
                </c:pt>
                <c:pt idx="9">
                  <c:v>3</c:v>
                </c:pt>
                <c:pt idx="10">
                  <c:v>3</c:v>
                </c:pt>
                <c:pt idx="11">
                  <c:v>3</c:v>
                </c:pt>
                <c:pt idx="12">
                  <c:v>3</c:v>
                </c:pt>
              </c:numCache>
            </c:numRef>
          </c:val>
          <c:extLst xmlns:c15="http://schemas.microsoft.com/office/drawing/2012/chart">
            <c:ext xmlns:c16="http://schemas.microsoft.com/office/drawing/2014/chart" uri="{C3380CC4-5D6E-409C-BE32-E72D297353CC}">
              <c16:uniqueId val="{0000000E-402E-49C5-AE56-C8387209C718}"/>
            </c:ext>
          </c:extLst>
        </c:ser>
        <c:ser>
          <c:idx val="7"/>
          <c:order val="5"/>
          <c:tx>
            <c:strRef>
              <c:f>'[12]CSAR_WSR_Graph (Non-STLA)'!$M$3</c:f>
              <c:strCache>
                <c:ptCount val="1"/>
                <c:pt idx="0">
                  <c:v>Eval In Progress</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(Non-STLA)'!$D$4:$D$16</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(Non-STLA)'!$M$4:$M$10</c:f>
              <c:numCache>
                <c:formatCode>General</c:formatCode>
                <c:ptCount val="7"/>
                <c:pt idx="0">
                  <c:v>6</c:v>
                </c:pt>
                <c:pt idx="1">
                  <c:v>5</c:v>
                </c:pt>
                <c:pt idx="2">
                  <c:v>8</c:v>
                </c:pt>
                <c:pt idx="3">
                  <c:v>31</c:v>
                </c:pt>
                <c:pt idx="4">
                  <c:v>26</c:v>
                </c:pt>
                <c:pt idx="5">
                  <c:v>20</c:v>
                </c:pt>
                <c:pt idx="6">
                  <c:v>16</c:v>
                </c:pt>
              </c:numCache>
            </c:numRef>
          </c:val>
          <c:extLst xmlns:c15="http://schemas.microsoft.com/office/drawing/2012/chart">
            <c:ext xmlns:c16="http://schemas.microsoft.com/office/drawing/2014/chart" uri="{C3380CC4-5D6E-409C-BE32-E72D297353CC}">
              <c16:uniqueId val="{00000005-402E-49C5-AE56-C8387209C718}"/>
            </c:ext>
          </c:extLst>
        </c:ser>
        <c:ser>
          <c:idx val="0"/>
          <c:order val="6"/>
          <c:tx>
            <c:strRef>
              <c:f>'CSAR_WSR_Graph (Non-STLA)'!$N$3</c:f>
              <c:strCache>
                <c:ptCount val="1"/>
                <c:pt idx="0">
                  <c:v>DRB /l2 Reviews &amp; Rework  in progress</c:v>
                </c:pt>
              </c:strCache>
            </c:strRef>
          </c:tx>
          <c:spPr>
            <a:solidFill>
              <a:schemeClr val="accent1"/>
            </a:solidFill>
            <a:ln>
              <a:noFill/>
            </a:ln>
            <a:effectLst/>
          </c:spPr>
          <c:invertIfNegative val="0"/>
          <c:cat>
            <c:numRef>
              <c:f>'CSAR_WSR_Graph (Non-STLA)'!$D$4:$D$16</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(Non-STLA)'!$N$4:$N$16</c:f>
              <c:numCache>
                <c:formatCode>General</c:formatCode>
                <c:ptCount val="13"/>
                <c:pt idx="4">
                  <c:v>6</c:v>
                </c:pt>
                <c:pt idx="5">
                  <c:v>11</c:v>
                </c:pt>
                <c:pt idx="6">
                  <c:v>5</c:v>
                </c:pt>
              </c:numCache>
            </c:numRef>
          </c:val>
          <c:extLst>
            <c:ext xmlns:c16="http://schemas.microsoft.com/office/drawing/2014/chart" uri="{C3380CC4-5D6E-409C-BE32-E72D297353CC}">
              <c16:uniqueId val="{00000000-94F4-41F4-B0DC-6977B7474D82}"/>
            </c:ext>
          </c:extLst>
        </c:ser>
        <c:dLbls>
          <c:showLegendKey val="0"/>
          <c:showVal val="0"/>
          <c:showCatName val="0"/>
          <c:showSerName val="0"/>
          <c:showPercent val="0"/>
          <c:showBubbleSize val="0"/>
        </c:dLbls>
        <c:gapWidth val="150"/>
        <c:axId val="1192694767"/>
        <c:axId val="1192696207"/>
      </c:barChart>
      <c:lineChart>
        <c:grouping val="standard"/>
        <c:varyColors val="0"/>
        <c:ser>
          <c:idx val="3"/>
          <c:order val="7"/>
          <c:tx>
            <c:strRef>
              <c:f>'[12]CSAR_WSR_Graph (Non-STLA)'!$N$3</c:f>
              <c:strCache>
                <c:ptCount val="1"/>
                <c:pt idx="0">
                  <c:v>% Completion Confidence - Overall</c:v>
                </c:pt>
              </c:strCache>
            </c:strRef>
          </c:tx>
          <c:spPr>
            <a:ln w="28575" cap="rnd">
              <a:solidFill>
                <a:sysClr val="windowText" lastClr="0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(Non-STLA)'!$D$4:$D$16</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(Non-STLA)'!$O$4:$O$16</c:f>
              <c:numCache>
                <c:formatCode>0%</c:formatCode>
                <c:ptCount val="13"/>
                <c:pt idx="0">
                  <c:v>0.95121951219512191</c:v>
                </c:pt>
                <c:pt idx="1">
                  <c:v>0.95121951219512191</c:v>
                </c:pt>
                <c:pt idx="2">
                  <c:v>0.95121951219512191</c:v>
                </c:pt>
                <c:pt idx="3">
                  <c:v>0.95238095238095233</c:v>
                </c:pt>
                <c:pt idx="4">
                  <c:v>1</c:v>
                </c:pt>
                <c:pt idx="5">
                  <c:v>1</c:v>
                </c:pt>
                <c:pt idx="6">
                  <c:v>1</c:v>
                </c:pt>
                <c:pt idx="7">
                  <c:v>1</c:v>
                </c:pt>
                <c:pt idx="8">
                  <c:v>1</c:v>
                </c:pt>
                <c:pt idx="9">
                  <c:v>1</c:v>
                </c:pt>
                <c:pt idx="10">
                  <c:v>1</c:v>
                </c:pt>
                <c:pt idx="11">
                  <c:v>1</c:v>
                </c:pt>
                <c:pt idx="12">
                  <c:v>1</c:v>
                </c:pt>
              </c:numCache>
            </c:numRef>
          </c:val>
          <c:smooth val="0"/>
          <c:extLst xmlns:c15="http://schemas.microsoft.com/office/drawing/2012/chart">
            <c:ext xmlns:c16="http://schemas.microsoft.com/office/drawing/2014/chart" uri="{C3380CC4-5D6E-409C-BE32-E72D297353CC}">
              <c16:uniqueId val="{00000007-402E-49C5-AE56-C8387209C718}"/>
            </c:ext>
          </c:extLst>
        </c:ser>
        <c:ser>
          <c:idx val="5"/>
          <c:order val="8"/>
          <c:tx>
            <c:strRef>
              <c:f>'CSAR_WSR_Graph (Non-STLA)'!$Q$3</c:f>
              <c:strCache>
                <c:ptCount val="1"/>
                <c:pt idx="0">
                  <c:v>% Actual weekly completion wr.t  revised Baseline</c:v>
                </c:pt>
              </c:strCache>
            </c:strRef>
          </c:tx>
          <c:spPr>
            <a:ln w="28575" cap="rnd">
              <a:solidFill>
                <a:srgbClr val="7030A0"/>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(Non-STLA)'!$D$4:$D$16</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(Non-STLA)'!$Q$4:$Q$10</c:f>
              <c:numCache>
                <c:formatCode>0%</c:formatCode>
                <c:ptCount val="7"/>
                <c:pt idx="0">
                  <c:v>1</c:v>
                </c:pt>
                <c:pt idx="1">
                  <c:v>1</c:v>
                </c:pt>
                <c:pt idx="2">
                  <c:v>1.125</c:v>
                </c:pt>
                <c:pt idx="3">
                  <c:v>1</c:v>
                </c:pt>
                <c:pt idx="4">
                  <c:v>1</c:v>
                </c:pt>
                <c:pt idx="5">
                  <c:v>0.53846153846153844</c:v>
                </c:pt>
                <c:pt idx="6">
                  <c:v>0.83333333333333337</c:v>
                </c:pt>
              </c:numCache>
            </c:numRef>
          </c:val>
          <c:smooth val="0"/>
          <c:extLst>
            <c:ext xmlns:c16="http://schemas.microsoft.com/office/drawing/2014/chart" uri="{C3380CC4-5D6E-409C-BE32-E72D297353CC}">
              <c16:uniqueId val="{00000003-90E2-4867-A603-B0A89E7F1CA9}"/>
            </c:ext>
          </c:extLst>
        </c:ser>
        <c:dLbls>
          <c:showLegendKey val="0"/>
          <c:showVal val="0"/>
          <c:showCatName val="0"/>
          <c:showSerName val="0"/>
          <c:showPercent val="0"/>
          <c:showBubbleSize val="0"/>
        </c:dLbls>
        <c:marker val="1"/>
        <c:smooth val="0"/>
        <c:axId val="1521042895"/>
        <c:axId val="1521042415"/>
        <c:extLst>
          <c:ext xmlns:c15="http://schemas.microsoft.com/office/drawing/2012/chart" uri="{02D57815-91ED-43cb-92C2-25804820EDAC}">
            <c15:filteredLineSeries>
              <c15:ser>
                <c:idx val="6"/>
                <c:order val="0"/>
                <c:tx>
                  <c:strRef>
                    <c:extLst>
                      <c:ext uri="{02D57815-91ED-43cb-92C2-25804820EDAC}">
                        <c15:formulaRef>
                          <c15:sqref>'[12]CSAR_WSR_Graph (Non-STLA)'!$D$3</c15:sqref>
                        </c15:formulaRef>
                      </c:ext>
                    </c:extLst>
                    <c:strCache>
                      <c:ptCount val="1"/>
                      <c:pt idx="0">
                        <c:v>Week No</c:v>
                      </c:pt>
                    </c:strCache>
                  </c:strRef>
                </c:tx>
                <c:spPr>
                  <a:ln w="28575" cap="rnd">
                    <a:solidFill>
                      <a:srgbClr val="002060"/>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'CSAR_WSR_Graph (Non-STLA)'!$D$4:$D$16</c15:sqref>
                        </c15:formulaRef>
                      </c:ext>
                    </c:extLst>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extLst>
                      <c:ext uri="{02D57815-91ED-43cb-92C2-25804820EDAC}">
                        <c15:formulaRef>
                          <c15:sqref>'CSAR_WSR_Graph (Non-STLA)'!$E$4:$E$11</c15:sqref>
                        </c15:formulaRef>
                      </c:ext>
                    </c:extLst>
                    <c:numCache>
                      <c:formatCode>General</c:formatCode>
                      <c:ptCount val="8"/>
                      <c:pt idx="0">
                        <c:v>1</c:v>
                      </c:pt>
                      <c:pt idx="1">
                        <c:v>8</c:v>
                      </c:pt>
                      <c:pt idx="2">
                        <c:v>1</c:v>
                      </c:pt>
                      <c:pt idx="3">
                        <c:v>1</c:v>
                      </c:pt>
                      <c:pt idx="4">
                        <c:v>2</c:v>
                      </c:pt>
                      <c:pt idx="5">
                        <c:v>16</c:v>
                      </c:pt>
                      <c:pt idx="6">
                        <c:v>6</c:v>
                      </c:pt>
                      <c:pt idx="7">
                        <c:v>0</c:v>
                      </c:pt>
                    </c:numCache>
                  </c:numRef>
                </c:val>
                <c:smooth val="0"/>
                <c:extLst>
                  <c:ext xmlns:c16="http://schemas.microsoft.com/office/drawing/2014/chart" uri="{C3380CC4-5D6E-409C-BE32-E72D297353CC}">
                    <c16:uniqueId val="{0000000F-402E-49C5-AE56-C8387209C718}"/>
                  </c:ext>
                </c:extLst>
              </c15:ser>
            </c15:filteredLineSeries>
          </c:ext>
        </c:extLst>
      </c:lineChart>
      <c:catAx>
        <c:axId val="1192694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696207"/>
        <c:crosses val="autoZero"/>
        <c:auto val="1"/>
        <c:lblAlgn val="ctr"/>
        <c:lblOffset val="100"/>
        <c:noMultiLvlLbl val="0"/>
      </c:catAx>
      <c:valAx>
        <c:axId val="1192696207"/>
        <c:scaling>
          <c:orientation val="minMax"/>
          <c:max val="5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694767"/>
        <c:crosses val="autoZero"/>
        <c:crossBetween val="between"/>
        <c:majorUnit val="4"/>
        <c:minorUnit val="1"/>
      </c:valAx>
      <c:valAx>
        <c:axId val="1521042415"/>
        <c:scaling>
          <c:orientation val="minMax"/>
          <c:max val="1.2"/>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042895"/>
        <c:crosses val="max"/>
        <c:crossBetween val="between"/>
        <c:majorUnit val="0.2"/>
      </c:valAx>
      <c:catAx>
        <c:axId val="1521042895"/>
        <c:scaling>
          <c:orientation val="minMax"/>
        </c:scaling>
        <c:delete val="1"/>
        <c:axPos val="b"/>
        <c:numFmt formatCode="General" sourceLinked="1"/>
        <c:majorTickMark val="out"/>
        <c:minorTickMark val="none"/>
        <c:tickLblPos val="nextTo"/>
        <c:crossAx val="152104241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Q3'26 Implementation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0"/>
          <c:order val="1"/>
          <c:tx>
            <c:strRef>
              <c:f>'CSAR_WSR_Graph (Non-STLA)'!$I$21</c:f>
              <c:strCache>
                <c:ptCount val="1"/>
                <c:pt idx="0">
                  <c:v>Cumulative (Baseline Plan)</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(Non-STLA)'!$I$22:$I$34</c:f>
              <c:numCache>
                <c:formatCode>General</c:formatCode>
                <c:ptCount val="13"/>
                <c:pt idx="0">
                  <c:v>1</c:v>
                </c:pt>
                <c:pt idx="1">
                  <c:v>4</c:v>
                </c:pt>
                <c:pt idx="2">
                  <c:v>10</c:v>
                </c:pt>
                <c:pt idx="3">
                  <c:v>23</c:v>
                </c:pt>
                <c:pt idx="4">
                  <c:v>28</c:v>
                </c:pt>
                <c:pt idx="5">
                  <c:v>33</c:v>
                </c:pt>
                <c:pt idx="6">
                  <c:v>35</c:v>
                </c:pt>
                <c:pt idx="7">
                  <c:v>38</c:v>
                </c:pt>
                <c:pt idx="8">
                  <c:v>43</c:v>
                </c:pt>
                <c:pt idx="9">
                  <c:v>50</c:v>
                </c:pt>
                <c:pt idx="10">
                  <c:v>63</c:v>
                </c:pt>
                <c:pt idx="11">
                  <c:v>77</c:v>
                </c:pt>
                <c:pt idx="12">
                  <c:v>80</c:v>
                </c:pt>
              </c:numCache>
            </c:numRef>
          </c:val>
          <c:extLst xmlns:c15="http://schemas.microsoft.com/office/drawing/2012/chart">
            <c:ext xmlns:c16="http://schemas.microsoft.com/office/drawing/2014/chart" uri="{C3380CC4-5D6E-409C-BE32-E72D297353CC}">
              <c16:uniqueId val="{00000009-F762-4674-B121-02F09408805A}"/>
            </c:ext>
          </c:extLst>
        </c:ser>
        <c:ser>
          <c:idx val="1"/>
          <c:order val="2"/>
          <c:tx>
            <c:strRef>
              <c:f>'CSAR_WSR_Graph (Non-STLA)'!$J$21</c:f>
              <c:strCache>
                <c:ptCount val="1"/>
                <c:pt idx="0">
                  <c:v>Cumulative Revised basline plan</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(Non-STLA)'!$J$22:$J$34</c:f>
              <c:numCache>
                <c:formatCode>General</c:formatCode>
                <c:ptCount val="13"/>
                <c:pt idx="0">
                  <c:v>1</c:v>
                </c:pt>
                <c:pt idx="1">
                  <c:v>5</c:v>
                </c:pt>
                <c:pt idx="2">
                  <c:v>13</c:v>
                </c:pt>
                <c:pt idx="3">
                  <c:v>25</c:v>
                </c:pt>
                <c:pt idx="4">
                  <c:v>30</c:v>
                </c:pt>
                <c:pt idx="5">
                  <c:v>32</c:v>
                </c:pt>
                <c:pt idx="6">
                  <c:v>34</c:v>
                </c:pt>
                <c:pt idx="7">
                  <c:v>35</c:v>
                </c:pt>
                <c:pt idx="8">
                  <c:v>39</c:v>
                </c:pt>
                <c:pt idx="9">
                  <c:v>45</c:v>
                </c:pt>
                <c:pt idx="10">
                  <c:v>56</c:v>
                </c:pt>
                <c:pt idx="11">
                  <c:v>68</c:v>
                </c:pt>
                <c:pt idx="12">
                  <c:v>74</c:v>
                </c:pt>
              </c:numCache>
            </c:numRef>
          </c:val>
          <c:extLst>
            <c:ext xmlns:c16="http://schemas.microsoft.com/office/drawing/2014/chart" uri="{C3380CC4-5D6E-409C-BE32-E72D297353CC}">
              <c16:uniqueId val="{00000000-F762-4674-B121-02F09408805A}"/>
            </c:ext>
          </c:extLst>
        </c:ser>
        <c:ser>
          <c:idx val="7"/>
          <c:order val="3"/>
          <c:tx>
            <c:strRef>
              <c:f>'CSAR_WSR_Graph (Non-STLA)'!$K$21</c:f>
              <c:strCache>
                <c:ptCount val="1"/>
                <c:pt idx="0">
                  <c:v>Cumulative (Completed)</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(Non-STLA)'!$K$22:$K$28</c:f>
              <c:numCache>
                <c:formatCode>General</c:formatCode>
                <c:ptCount val="7"/>
                <c:pt idx="0">
                  <c:v>1</c:v>
                </c:pt>
                <c:pt idx="1">
                  <c:v>5</c:v>
                </c:pt>
                <c:pt idx="2">
                  <c:v>13</c:v>
                </c:pt>
                <c:pt idx="3">
                  <c:v>25</c:v>
                </c:pt>
                <c:pt idx="4">
                  <c:v>27</c:v>
                </c:pt>
                <c:pt idx="5">
                  <c:v>30</c:v>
                </c:pt>
                <c:pt idx="6">
                  <c:v>32</c:v>
                </c:pt>
              </c:numCache>
            </c:numRef>
          </c:val>
          <c:extLst xmlns:c15="http://schemas.microsoft.com/office/drawing/2012/chart">
            <c:ext xmlns:c16="http://schemas.microsoft.com/office/drawing/2014/chart" uri="{C3380CC4-5D6E-409C-BE32-E72D297353CC}">
              <c16:uniqueId val="{00000001-F762-4674-B121-02F09408805A}"/>
            </c:ext>
          </c:extLst>
        </c:ser>
        <c:ser>
          <c:idx val="2"/>
          <c:order val="4"/>
          <c:tx>
            <c:strRef>
              <c:f>'CSAR_WSR_Graph (Non-STLA)'!$H$21</c:f>
              <c:strCache>
                <c:ptCount val="1"/>
                <c:pt idx="0">
                  <c:v> Cumulative Rejected / Transferred/ Moved to next quarter</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(Non-STLA)'!$H$22:$H$34</c:f>
              <c:numCache>
                <c:formatCode>General</c:formatCode>
                <c:ptCount val="13"/>
                <c:pt idx="0">
                  <c:v>0</c:v>
                </c:pt>
                <c:pt idx="1">
                  <c:v>0</c:v>
                </c:pt>
                <c:pt idx="2">
                  <c:v>0</c:v>
                </c:pt>
                <c:pt idx="3">
                  <c:v>0</c:v>
                </c:pt>
                <c:pt idx="4">
                  <c:v>1</c:v>
                </c:pt>
                <c:pt idx="5">
                  <c:v>1</c:v>
                </c:pt>
                <c:pt idx="6">
                  <c:v>6</c:v>
                </c:pt>
                <c:pt idx="7">
                  <c:v>6</c:v>
                </c:pt>
                <c:pt idx="8">
                  <c:v>6</c:v>
                </c:pt>
                <c:pt idx="9">
                  <c:v>6</c:v>
                </c:pt>
                <c:pt idx="10">
                  <c:v>6</c:v>
                </c:pt>
                <c:pt idx="11">
                  <c:v>6</c:v>
                </c:pt>
                <c:pt idx="12">
                  <c:v>6</c:v>
                </c:pt>
              </c:numCache>
            </c:numRef>
          </c:val>
          <c:extLst xmlns:c15="http://schemas.microsoft.com/office/drawing/2012/chart">
            <c:ext xmlns:c16="http://schemas.microsoft.com/office/drawing/2014/chart" uri="{C3380CC4-5D6E-409C-BE32-E72D297353CC}">
              <c16:uniqueId val="{00000002-F762-4674-B121-02F09408805A}"/>
            </c:ext>
          </c:extLst>
        </c:ser>
        <c:ser>
          <c:idx val="8"/>
          <c:order val="5"/>
          <c:tx>
            <c:strRef>
              <c:f>'CSAR_WSR_Graph (Non-STLA)'!$M$21</c:f>
              <c:strCache>
                <c:ptCount val="1"/>
                <c:pt idx="0">
                  <c:v>Impl In Progress</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(Non-STLA)'!$M$22:$M$34</c:f>
              <c:numCache>
                <c:formatCode>General</c:formatCode>
                <c:ptCount val="13"/>
                <c:pt idx="0">
                  <c:v>11</c:v>
                </c:pt>
                <c:pt idx="1">
                  <c:v>23</c:v>
                </c:pt>
                <c:pt idx="2">
                  <c:v>23</c:v>
                </c:pt>
                <c:pt idx="3">
                  <c:v>15</c:v>
                </c:pt>
                <c:pt idx="4">
                  <c:v>12</c:v>
                </c:pt>
                <c:pt idx="5">
                  <c:v>22</c:v>
                </c:pt>
                <c:pt idx="6">
                  <c:v>25</c:v>
                </c:pt>
              </c:numCache>
            </c:numRef>
          </c:val>
          <c:extLst xmlns:c15="http://schemas.microsoft.com/office/drawing/2012/chart">
            <c:ext xmlns:c16="http://schemas.microsoft.com/office/drawing/2014/chart" uri="{C3380CC4-5D6E-409C-BE32-E72D297353CC}">
              <c16:uniqueId val="{0000000A-F762-4674-B121-02F09408805A}"/>
            </c:ext>
          </c:extLst>
        </c:ser>
        <c:ser>
          <c:idx val="3"/>
          <c:order val="6"/>
          <c:tx>
            <c:strRef>
              <c:f>'CSAR_WSR_Graph (Non-STLA)'!$N$21</c:f>
              <c:strCache>
                <c:ptCount val="1"/>
                <c:pt idx="0">
                  <c:v>DRB /l2 Reviews &amp; Rework  in progress</c:v>
                </c:pt>
              </c:strCache>
            </c:strRef>
          </c:tx>
          <c:spPr>
            <a:solidFill>
              <a:schemeClr val="accent4"/>
            </a:solidFill>
            <a:ln>
              <a:noFill/>
            </a:ln>
            <a:effectLst/>
          </c:spPr>
          <c:invertIfNegative val="0"/>
          <c:cat>
            <c:numRef>
              <c:f>'CSAR_WSR_Graph (Non-STLA)'!$D$22:$D$34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(Non-STLA)'!$N$22:$N$34</c:f>
              <c:numCache>
                <c:formatCode>General</c:formatCode>
                <c:ptCount val="13"/>
                <c:pt idx="4">
                  <c:v>3</c:v>
                </c:pt>
                <c:pt idx="5">
                  <c:v>2</c:v>
                </c:pt>
                <c:pt idx="6">
                  <c:v>2</c:v>
                </c:pt>
              </c:numCache>
            </c:numRef>
          </c:val>
          <c:extLst>
            <c:ext xmlns:c16="http://schemas.microsoft.com/office/drawing/2014/chart" uri="{C3380CC4-5D6E-409C-BE32-E72D297353CC}">
              <c16:uniqueId val="{00000001-F234-4913-91C7-CDE333C0E23E}"/>
            </c:ext>
          </c:extLst>
        </c:ser>
        <c:dLbls>
          <c:showLegendKey val="0"/>
          <c:showVal val="0"/>
          <c:showCatName val="0"/>
          <c:showSerName val="0"/>
          <c:showPercent val="0"/>
          <c:showBubbleSize val="0"/>
        </c:dLbls>
        <c:gapWidth val="150"/>
        <c:axId val="1533774751"/>
        <c:axId val="1533748351"/>
        <c:extLst>
          <c:ext xmlns:c15="http://schemas.microsoft.com/office/drawing/2012/chart" uri="{02D57815-91ED-43cb-92C2-25804820EDAC}">
            <c15:filteredBarSeries>
              <c15:ser>
                <c:idx val="0"/>
                <c:order val="0"/>
                <c:tx>
                  <c:strRef>
                    <c:extLst>
                      <c:ext uri="{02D57815-91ED-43cb-92C2-25804820EDAC}">
                        <c15:formulaRef>
                          <c15:sqref>'CSAR_WSR_Graph (Non-STLA)'!$E$21</c15:sqref>
                        </c15:formulaRef>
                      </c:ext>
                    </c:extLst>
                    <c:strCache>
                      <c:ptCount val="1"/>
                      <c:pt idx="0">
                        <c:v>Baseline Plan</c:v>
                      </c:pt>
                    </c:strCache>
                  </c:strRef>
                </c:tx>
                <c:spPr>
                  <a:solidFill>
                    <a:schemeClr val="accent1"/>
                  </a:solidFill>
                  <a:ln>
                    <a:noFill/>
                  </a:ln>
                  <a:effectLst/>
                </c:spPr>
                <c:invertIfNegative val="0"/>
                <c:cat>
                  <c:numRef>
                    <c:extLst>
                      <c:ext uri="{02D57815-91ED-43cb-92C2-25804820EDAC}">
                        <c15:formulaRef>
                          <c15:sqref>'CSAR_WSR_Graph (Non-STLA)'!$D$22:$D$34</c15:sqref>
                        </c15:formulaRef>
                      </c:ext>
                    </c:extLst>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extLst>
                      <c:ext uri="{02D57815-91ED-43cb-92C2-25804820EDAC}">
                        <c15:formulaRef>
                          <c15:sqref>'CSAR_WSR_Graph (Non-STLA)'!$E$22:$E$34</c15:sqref>
                        </c15:formulaRef>
                      </c:ext>
                    </c:extLst>
                    <c:numCache>
                      <c:formatCode>General</c:formatCode>
                      <c:ptCount val="13"/>
                      <c:pt idx="0">
                        <c:v>1</c:v>
                      </c:pt>
                      <c:pt idx="1">
                        <c:v>3</c:v>
                      </c:pt>
                      <c:pt idx="2">
                        <c:v>6</c:v>
                      </c:pt>
                      <c:pt idx="3">
                        <c:v>13</c:v>
                      </c:pt>
                      <c:pt idx="4">
                        <c:v>5</c:v>
                      </c:pt>
                      <c:pt idx="5">
                        <c:v>5</c:v>
                      </c:pt>
                      <c:pt idx="6">
                        <c:v>2</c:v>
                      </c:pt>
                      <c:pt idx="7">
                        <c:v>3</c:v>
                      </c:pt>
                      <c:pt idx="8">
                        <c:v>5</c:v>
                      </c:pt>
                      <c:pt idx="9">
                        <c:v>7</c:v>
                      </c:pt>
                      <c:pt idx="10">
                        <c:v>13</c:v>
                      </c:pt>
                      <c:pt idx="11">
                        <c:v>14</c:v>
                      </c:pt>
                      <c:pt idx="12">
                        <c:v>3</c:v>
                      </c:pt>
                    </c:numCache>
                  </c:numRef>
                </c:val>
                <c:extLst>
                  <c:ext xmlns:c16="http://schemas.microsoft.com/office/drawing/2014/chart" uri="{C3380CC4-5D6E-409C-BE32-E72D297353CC}">
                    <c16:uniqueId val="{00000008-F762-4674-B121-02F09408805A}"/>
                  </c:ext>
                </c:extLst>
              </c15:ser>
            </c15:filteredBarSeries>
          </c:ext>
        </c:extLst>
      </c:barChart>
      <c:lineChart>
        <c:grouping val="standard"/>
        <c:varyColors val="0"/>
        <c:ser>
          <c:idx val="5"/>
          <c:order val="7"/>
          <c:tx>
            <c:strRef>
              <c:f>'CSAR_WSR_Graph (Non-STLA)'!$O$21</c:f>
              <c:strCache>
                <c:ptCount val="1"/>
                <c:pt idx="0">
                  <c:v>% Completion Confidence - Overall</c:v>
                </c:pt>
              </c:strCache>
            </c:strRef>
          </c:tx>
          <c:spPr>
            <a:ln w="28575" cap="rnd">
              <a:solidFill>
                <a:schemeClr val="tx1"/>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(Non-STLA)'!$O$22:$O$34</c:f>
              <c:numCache>
                <c:formatCode>0%</c:formatCode>
                <c:ptCount val="13"/>
                <c:pt idx="0">
                  <c:v>0.93150684931506844</c:v>
                </c:pt>
                <c:pt idx="1">
                  <c:v>0.93150684931506844</c:v>
                </c:pt>
                <c:pt idx="2">
                  <c:v>0.93150684931506844</c:v>
                </c:pt>
                <c:pt idx="3">
                  <c:v>0.95890410958904104</c:v>
                </c:pt>
                <c:pt idx="4">
                  <c:v>0.98684210526315785</c:v>
                </c:pt>
                <c:pt idx="5">
                  <c:v>1</c:v>
                </c:pt>
                <c:pt idx="6">
                  <c:v>1</c:v>
                </c:pt>
                <c:pt idx="7">
                  <c:v>1</c:v>
                </c:pt>
                <c:pt idx="8">
                  <c:v>1</c:v>
                </c:pt>
                <c:pt idx="9">
                  <c:v>1</c:v>
                </c:pt>
                <c:pt idx="10">
                  <c:v>1</c:v>
                </c:pt>
                <c:pt idx="11">
                  <c:v>1</c:v>
                </c:pt>
                <c:pt idx="12">
                  <c:v>1</c:v>
                </c:pt>
              </c:numCache>
            </c:numRef>
          </c:val>
          <c:smooth val="0"/>
          <c:extLst>
            <c:ext xmlns:c16="http://schemas.microsoft.com/office/drawing/2014/chart" uri="{C3380CC4-5D6E-409C-BE32-E72D297353CC}">
              <c16:uniqueId val="{00000006-F762-4674-B121-02F09408805A}"/>
            </c:ext>
          </c:extLst>
        </c:ser>
        <c:ser>
          <c:idx val="4"/>
          <c:order val="8"/>
          <c:tx>
            <c:strRef>
              <c:f>'CSAR_WSR_Graph (Non-STLA)'!$Q$21</c:f>
              <c:strCache>
                <c:ptCount val="1"/>
                <c:pt idx="0">
                  <c:v>% Actual weekly completion wr.t  revised Baseline</c:v>
                </c:pt>
              </c:strCache>
            </c:strRef>
          </c:tx>
          <c:spPr>
            <a:ln w="28575" cap="rnd">
              <a:solidFill>
                <a:srgbClr val="7030A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(Non-STLA)'!$D$22:$D$34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(Non-STLA)'!$Q$22:$Q$28</c:f>
              <c:numCache>
                <c:formatCode>0%</c:formatCode>
                <c:ptCount val="7"/>
                <c:pt idx="0">
                  <c:v>1</c:v>
                </c:pt>
                <c:pt idx="1">
                  <c:v>1</c:v>
                </c:pt>
                <c:pt idx="2">
                  <c:v>1</c:v>
                </c:pt>
                <c:pt idx="3">
                  <c:v>1</c:v>
                </c:pt>
                <c:pt idx="4">
                  <c:v>0.9</c:v>
                </c:pt>
                <c:pt idx="5">
                  <c:v>0.9375</c:v>
                </c:pt>
                <c:pt idx="6">
                  <c:v>0.94117647058823528</c:v>
                </c:pt>
              </c:numCache>
            </c:numRef>
          </c:val>
          <c:smooth val="0"/>
          <c:extLst xmlns:c15="http://schemas.microsoft.com/office/drawing/2012/chart">
            <c:ext xmlns:c16="http://schemas.microsoft.com/office/drawing/2014/chart" uri="{C3380CC4-5D6E-409C-BE32-E72D297353CC}">
              <c16:uniqueId val="{00000003-F762-4674-B121-02F09408805A}"/>
            </c:ext>
          </c:extLst>
        </c:ser>
        <c:dLbls>
          <c:showLegendKey val="0"/>
          <c:showVal val="0"/>
          <c:showCatName val="0"/>
          <c:showSerName val="0"/>
          <c:showPercent val="0"/>
          <c:showBubbleSize val="0"/>
        </c:dLbls>
        <c:marker val="1"/>
        <c:smooth val="0"/>
        <c:axId val="1672005856"/>
        <c:axId val="1672023136"/>
      </c:lineChart>
      <c:catAx>
        <c:axId val="153377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748351"/>
        <c:crosses val="autoZero"/>
        <c:auto val="1"/>
        <c:lblAlgn val="ctr"/>
        <c:lblOffset val="100"/>
        <c:noMultiLvlLbl val="0"/>
      </c:catAx>
      <c:valAx>
        <c:axId val="1533748351"/>
        <c:scaling>
          <c:orientation val="minMax"/>
          <c:max val="12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774751"/>
        <c:crosses val="autoZero"/>
        <c:crossBetween val="between"/>
        <c:majorUnit val="20"/>
        <c:minorUnit val="5"/>
      </c:valAx>
      <c:valAx>
        <c:axId val="1672023136"/>
        <c:scaling>
          <c:orientation val="minMax"/>
          <c:max val="1.2"/>
          <c:min val="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2005856"/>
        <c:crosses val="max"/>
        <c:crossBetween val="between"/>
        <c:majorUnit val="0.2"/>
      </c:valAx>
      <c:catAx>
        <c:axId val="1672005856"/>
        <c:scaling>
          <c:orientation val="minMax"/>
        </c:scaling>
        <c:delete val="1"/>
        <c:axPos val="b"/>
        <c:numFmt formatCode="General" sourceLinked="1"/>
        <c:majorTickMark val="out"/>
        <c:minorTickMark val="none"/>
        <c:tickLblPos val="nextTo"/>
        <c:crossAx val="16720231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Q3'26 Evaluation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0"/>
          <c:order val="1"/>
          <c:tx>
            <c:strRef>
              <c:f>'[12]CSAR_WSR_Graph (Non-STLA)'!$I$3</c:f>
              <c:strCache>
                <c:ptCount val="1"/>
                <c:pt idx="0">
                  <c:v>Cumulative (Baseline Plan)</c:v>
                </c:pt>
              </c:strCache>
              <c:extLst xmlns:c15="http://schemas.microsoft.com/office/drawing/2012/chart"/>
            </c:strRef>
          </c:tx>
          <c:spPr>
            <a:solidFill>
              <a:schemeClr val="accent5">
                <a:lumMod val="60000"/>
              </a:schemeClr>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0-55F1-4B01-9768-B336B5DC2D43}"/>
                </c:ext>
              </c:extLst>
            </c:dLbl>
            <c:dLbl>
              <c:idx val="1"/>
              <c:delete val="1"/>
              <c:extLst>
                <c:ext xmlns:c15="http://schemas.microsoft.com/office/drawing/2012/chart" uri="{CE6537A1-D6FC-4f65-9D91-7224C49458BB}"/>
                <c:ext xmlns:c16="http://schemas.microsoft.com/office/drawing/2014/chart" uri="{C3380CC4-5D6E-409C-BE32-E72D297353CC}">
                  <c16:uniqueId val="{00000001-55F1-4B01-9768-B336B5DC2D4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STLA_Sabre)'!$D$4:$D$13</c:f>
              <c:numCache>
                <c:formatCode>General</c:formatCode>
                <c:ptCount val="10"/>
                <c:pt idx="0">
                  <c:v>19</c:v>
                </c:pt>
                <c:pt idx="1">
                  <c:v>20</c:v>
                </c:pt>
                <c:pt idx="2">
                  <c:v>21</c:v>
                </c:pt>
                <c:pt idx="3">
                  <c:v>22</c:v>
                </c:pt>
                <c:pt idx="4">
                  <c:v>23</c:v>
                </c:pt>
                <c:pt idx="5">
                  <c:v>24</c:v>
                </c:pt>
                <c:pt idx="6">
                  <c:v>25</c:v>
                </c:pt>
                <c:pt idx="7">
                  <c:v>26</c:v>
                </c:pt>
                <c:pt idx="8">
                  <c:v>27</c:v>
                </c:pt>
                <c:pt idx="9">
                  <c:v>28</c:v>
                </c:pt>
              </c:numCache>
            </c:numRef>
          </c:cat>
          <c:val>
            <c:numRef>
              <c:f>'CSAR_WSR_GRAPH ( STLA_Sabre)'!$I$4:$I$13</c:f>
              <c:numCache>
                <c:formatCode>General</c:formatCode>
                <c:ptCount val="10"/>
                <c:pt idx="0">
                  <c:v>0</c:v>
                </c:pt>
                <c:pt idx="1">
                  <c:v>0</c:v>
                </c:pt>
                <c:pt idx="2">
                  <c:v>1</c:v>
                </c:pt>
                <c:pt idx="3">
                  <c:v>2</c:v>
                </c:pt>
                <c:pt idx="4">
                  <c:v>3</c:v>
                </c:pt>
                <c:pt idx="5">
                  <c:v>4</c:v>
                </c:pt>
                <c:pt idx="6">
                  <c:v>5</c:v>
                </c:pt>
                <c:pt idx="7">
                  <c:v>5</c:v>
                </c:pt>
                <c:pt idx="8">
                  <c:v>5</c:v>
                </c:pt>
                <c:pt idx="9">
                  <c:v>6</c:v>
                </c:pt>
              </c:numCache>
            </c:numRef>
          </c:val>
          <c:extLst xmlns:c15="http://schemas.microsoft.com/office/drawing/2012/chart">
            <c:ext xmlns:c16="http://schemas.microsoft.com/office/drawing/2014/chart" uri="{C3380CC4-5D6E-409C-BE32-E72D297353CC}">
              <c16:uniqueId val="{00000002-55F1-4B01-9768-B336B5DC2D43}"/>
            </c:ext>
          </c:extLst>
        </c:ser>
        <c:ser>
          <c:idx val="1"/>
          <c:order val="2"/>
          <c:tx>
            <c:strRef>
              <c:f>'[12]CSAR_WSR_Graph (Non-STLA)'!$J$3</c:f>
              <c:strCache>
                <c:ptCount val="1"/>
                <c:pt idx="0">
                  <c:v>Cumulative Revised basline plan</c:v>
                </c:pt>
              </c:strCache>
            </c:strRef>
          </c:tx>
          <c:spPr>
            <a:solidFill>
              <a:srgbClr val="92D050"/>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3-55F1-4B01-9768-B336B5DC2D43}"/>
                </c:ext>
              </c:extLst>
            </c:dLbl>
            <c:dLbl>
              <c:idx val="1"/>
              <c:delete val="1"/>
              <c:extLst>
                <c:ext xmlns:c15="http://schemas.microsoft.com/office/drawing/2012/chart" uri="{CE6537A1-D6FC-4f65-9D91-7224C49458BB}"/>
                <c:ext xmlns:c16="http://schemas.microsoft.com/office/drawing/2014/chart" uri="{C3380CC4-5D6E-409C-BE32-E72D297353CC}">
                  <c16:uniqueId val="{00000004-55F1-4B01-9768-B336B5DC2D4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STLA_Sabre)'!$D$4:$D$13</c:f>
              <c:numCache>
                <c:formatCode>General</c:formatCode>
                <c:ptCount val="10"/>
                <c:pt idx="0">
                  <c:v>19</c:v>
                </c:pt>
                <c:pt idx="1">
                  <c:v>20</c:v>
                </c:pt>
                <c:pt idx="2">
                  <c:v>21</c:v>
                </c:pt>
                <c:pt idx="3">
                  <c:v>22</c:v>
                </c:pt>
                <c:pt idx="4">
                  <c:v>23</c:v>
                </c:pt>
                <c:pt idx="5">
                  <c:v>24</c:v>
                </c:pt>
                <c:pt idx="6">
                  <c:v>25</c:v>
                </c:pt>
                <c:pt idx="7">
                  <c:v>26</c:v>
                </c:pt>
                <c:pt idx="8">
                  <c:v>27</c:v>
                </c:pt>
                <c:pt idx="9">
                  <c:v>28</c:v>
                </c:pt>
              </c:numCache>
            </c:numRef>
          </c:cat>
          <c:val>
            <c:numRef>
              <c:f>'CSAR_WSR_GRAPH ( STLA_Sabre)'!$J$4:$J$13</c:f>
              <c:numCache>
                <c:formatCode>General</c:formatCode>
                <c:ptCount val="10"/>
                <c:pt idx="0">
                  <c:v>0</c:v>
                </c:pt>
                <c:pt idx="1">
                  <c:v>0</c:v>
                </c:pt>
                <c:pt idx="2">
                  <c:v>1</c:v>
                </c:pt>
                <c:pt idx="3">
                  <c:v>2</c:v>
                </c:pt>
                <c:pt idx="4">
                  <c:v>3</c:v>
                </c:pt>
                <c:pt idx="5">
                  <c:v>4</c:v>
                </c:pt>
                <c:pt idx="6">
                  <c:v>5</c:v>
                </c:pt>
                <c:pt idx="7">
                  <c:v>5</c:v>
                </c:pt>
                <c:pt idx="8">
                  <c:v>5</c:v>
                </c:pt>
                <c:pt idx="9">
                  <c:v>6</c:v>
                </c:pt>
              </c:numCache>
            </c:numRef>
          </c:val>
          <c:extLst>
            <c:ext xmlns:c16="http://schemas.microsoft.com/office/drawing/2014/chart" uri="{C3380CC4-5D6E-409C-BE32-E72D297353CC}">
              <c16:uniqueId val="{00000005-55F1-4B01-9768-B336B5DC2D43}"/>
            </c:ext>
          </c:extLst>
        </c:ser>
        <c:ser>
          <c:idx val="2"/>
          <c:order val="3"/>
          <c:tx>
            <c:strRef>
              <c:f>'CSAR_WSR_GRAPH ( STLA_Sabre)'!$K$3</c:f>
              <c:strCache>
                <c:ptCount val="1"/>
                <c:pt idx="0">
                  <c:v>Cumulative (Completed)</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STLA_Sabre)'!$D$4:$D$13</c:f>
              <c:numCache>
                <c:formatCode>General</c:formatCode>
                <c:ptCount val="10"/>
                <c:pt idx="0">
                  <c:v>19</c:v>
                </c:pt>
                <c:pt idx="1">
                  <c:v>20</c:v>
                </c:pt>
                <c:pt idx="2">
                  <c:v>21</c:v>
                </c:pt>
                <c:pt idx="3">
                  <c:v>22</c:v>
                </c:pt>
                <c:pt idx="4">
                  <c:v>23</c:v>
                </c:pt>
                <c:pt idx="5">
                  <c:v>24</c:v>
                </c:pt>
                <c:pt idx="6">
                  <c:v>25</c:v>
                </c:pt>
                <c:pt idx="7">
                  <c:v>26</c:v>
                </c:pt>
                <c:pt idx="8">
                  <c:v>27</c:v>
                </c:pt>
                <c:pt idx="9">
                  <c:v>28</c:v>
                </c:pt>
              </c:numCache>
            </c:numRef>
          </c:cat>
          <c:val>
            <c:numRef>
              <c:f>'CSAR_WSR_GRAPH ( STLA_Sabre)'!$K$4:$K$10</c:f>
              <c:numCache>
                <c:formatCode>General</c:formatCode>
                <c:ptCount val="7"/>
                <c:pt idx="0">
                  <c:v>0</c:v>
                </c:pt>
                <c:pt idx="1">
                  <c:v>0</c:v>
                </c:pt>
                <c:pt idx="2">
                  <c:v>1</c:v>
                </c:pt>
                <c:pt idx="3">
                  <c:v>2</c:v>
                </c:pt>
                <c:pt idx="4">
                  <c:v>3</c:v>
                </c:pt>
                <c:pt idx="5">
                  <c:v>4</c:v>
                </c:pt>
                <c:pt idx="6">
                  <c:v>5</c:v>
                </c:pt>
              </c:numCache>
            </c:numRef>
          </c:val>
          <c:extLst xmlns:c15="http://schemas.microsoft.com/office/drawing/2012/chart">
            <c:ext xmlns:c16="http://schemas.microsoft.com/office/drawing/2014/chart" uri="{C3380CC4-5D6E-409C-BE32-E72D297353CC}">
              <c16:uniqueId val="{00000006-55F1-4B01-9768-B336B5DC2D43}"/>
            </c:ext>
          </c:extLst>
        </c:ser>
        <c:ser>
          <c:idx val="8"/>
          <c:order val="4"/>
          <c:tx>
            <c:strRef>
              <c:f>'[12]CSAR_WSR_Graph (Non-STLA)'!$H$3</c:f>
              <c:strCache>
                <c:ptCount val="1"/>
                <c:pt idx="0">
                  <c:v>Rejected / Transferred/ Moved to next quarter</c:v>
                </c:pt>
              </c:strCache>
            </c:strRef>
          </c:tx>
          <c:spPr>
            <a:solidFill>
              <a:schemeClr val="bg2">
                <a:lumMod val="90000"/>
              </a:schemeClr>
            </a:solidFill>
            <a:ln>
              <a:noFill/>
            </a:ln>
            <a:effectLst/>
          </c:spPr>
          <c:invertIfNegative val="0"/>
          <c:cat>
            <c:numRef>
              <c:f>'CSAR_WSR_GRAPH ( STLA_Sabre)'!$D$4:$D$13</c:f>
              <c:numCache>
                <c:formatCode>General</c:formatCode>
                <c:ptCount val="10"/>
                <c:pt idx="0">
                  <c:v>19</c:v>
                </c:pt>
                <c:pt idx="1">
                  <c:v>20</c:v>
                </c:pt>
                <c:pt idx="2">
                  <c:v>21</c:v>
                </c:pt>
                <c:pt idx="3">
                  <c:v>22</c:v>
                </c:pt>
                <c:pt idx="4">
                  <c:v>23</c:v>
                </c:pt>
                <c:pt idx="5">
                  <c:v>24</c:v>
                </c:pt>
                <c:pt idx="6">
                  <c:v>25</c:v>
                </c:pt>
                <c:pt idx="7">
                  <c:v>26</c:v>
                </c:pt>
                <c:pt idx="8">
                  <c:v>27</c:v>
                </c:pt>
                <c:pt idx="9">
                  <c:v>28</c:v>
                </c:pt>
              </c:numCache>
            </c:numRef>
          </c:cat>
          <c:val>
            <c:numRef>
              <c:f>'CSAR_WSR_GRAPH ( STLA_Sabre)'!$H$4:$H$16</c:f>
              <c:numCache>
                <c:formatCode>General</c:formatCode>
                <c:ptCount val="13"/>
                <c:pt idx="11">
                  <c:v>0</c:v>
                </c:pt>
                <c:pt idx="12">
                  <c:v>0</c:v>
                </c:pt>
              </c:numCache>
            </c:numRef>
          </c:val>
          <c:extLst xmlns:c15="http://schemas.microsoft.com/office/drawing/2012/chart">
            <c:ext xmlns:c16="http://schemas.microsoft.com/office/drawing/2014/chart" uri="{C3380CC4-5D6E-409C-BE32-E72D297353CC}">
              <c16:uniqueId val="{00000007-55F1-4B01-9768-B336B5DC2D43}"/>
            </c:ext>
          </c:extLst>
        </c:ser>
        <c:ser>
          <c:idx val="7"/>
          <c:order val="5"/>
          <c:tx>
            <c:strRef>
              <c:f>'[12]CSAR_WSR_Graph (Non-STLA)'!$M$3</c:f>
              <c:strCache>
                <c:ptCount val="1"/>
                <c:pt idx="0">
                  <c:v>Eval In Progress</c:v>
                </c:pt>
              </c:strCache>
              <c:extLst xmlns:c15="http://schemas.microsoft.com/office/drawing/2012/chart"/>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STLA_Sabre)'!$D$4:$D$13</c:f>
              <c:numCache>
                <c:formatCode>General</c:formatCode>
                <c:ptCount val="10"/>
                <c:pt idx="0">
                  <c:v>19</c:v>
                </c:pt>
                <c:pt idx="1">
                  <c:v>20</c:v>
                </c:pt>
                <c:pt idx="2">
                  <c:v>21</c:v>
                </c:pt>
                <c:pt idx="3">
                  <c:v>22</c:v>
                </c:pt>
                <c:pt idx="4">
                  <c:v>23</c:v>
                </c:pt>
                <c:pt idx="5">
                  <c:v>24</c:v>
                </c:pt>
                <c:pt idx="6">
                  <c:v>25</c:v>
                </c:pt>
                <c:pt idx="7">
                  <c:v>26</c:v>
                </c:pt>
                <c:pt idx="8">
                  <c:v>27</c:v>
                </c:pt>
                <c:pt idx="9">
                  <c:v>28</c:v>
                </c:pt>
              </c:numCache>
            </c:numRef>
          </c:cat>
          <c:val>
            <c:numRef>
              <c:f>'CSAR_WSR_GRAPH ( STLA_Sabre)'!$M$4:$M$9</c:f>
              <c:numCache>
                <c:formatCode>General</c:formatCode>
                <c:ptCount val="6"/>
                <c:pt idx="1">
                  <c:v>3</c:v>
                </c:pt>
                <c:pt idx="2">
                  <c:v>3</c:v>
                </c:pt>
                <c:pt idx="3">
                  <c:v>2</c:v>
                </c:pt>
                <c:pt idx="4">
                  <c:v>1</c:v>
                </c:pt>
                <c:pt idx="5">
                  <c:v>0</c:v>
                </c:pt>
              </c:numCache>
            </c:numRef>
          </c:val>
          <c:extLst xmlns:c15="http://schemas.microsoft.com/office/drawing/2012/chart">
            <c:ext xmlns:c16="http://schemas.microsoft.com/office/drawing/2014/chart" uri="{C3380CC4-5D6E-409C-BE32-E72D297353CC}">
              <c16:uniqueId val="{00000008-55F1-4B01-9768-B336B5DC2D43}"/>
            </c:ext>
          </c:extLst>
        </c:ser>
        <c:ser>
          <c:idx val="0"/>
          <c:order val="6"/>
          <c:tx>
            <c:strRef>
              <c:f>'CSAR_WSR_GRAPH ( STLA_Sabre)'!$N$3</c:f>
              <c:strCache>
                <c:ptCount val="1"/>
                <c:pt idx="0">
                  <c:v>DRB /l2 Reviews &amp; Rework  in progress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STLA_Sabre)'!$D$4:$D$13</c:f>
              <c:numCache>
                <c:formatCode>General</c:formatCode>
                <c:ptCount val="10"/>
                <c:pt idx="0">
                  <c:v>19</c:v>
                </c:pt>
                <c:pt idx="1">
                  <c:v>20</c:v>
                </c:pt>
                <c:pt idx="2">
                  <c:v>21</c:v>
                </c:pt>
                <c:pt idx="3">
                  <c:v>22</c:v>
                </c:pt>
                <c:pt idx="4">
                  <c:v>23</c:v>
                </c:pt>
                <c:pt idx="5">
                  <c:v>24</c:v>
                </c:pt>
                <c:pt idx="6">
                  <c:v>25</c:v>
                </c:pt>
                <c:pt idx="7">
                  <c:v>26</c:v>
                </c:pt>
                <c:pt idx="8">
                  <c:v>27</c:v>
                </c:pt>
                <c:pt idx="9">
                  <c:v>28</c:v>
                </c:pt>
              </c:numCache>
            </c:numRef>
          </c:cat>
          <c:val>
            <c:numRef>
              <c:f>'CSAR_WSR_GRAPH ( STLA_Sabre)'!$N$4:$N$16</c:f>
              <c:numCache>
                <c:formatCode>General</c:formatCode>
                <c:ptCount val="13"/>
                <c:pt idx="4">
                  <c:v>1</c:v>
                </c:pt>
                <c:pt idx="5">
                  <c:v>1</c:v>
                </c:pt>
                <c:pt idx="6">
                  <c:v>0</c:v>
                </c:pt>
              </c:numCache>
            </c:numRef>
          </c:val>
          <c:extLst>
            <c:ext xmlns:c16="http://schemas.microsoft.com/office/drawing/2014/chart" uri="{C3380CC4-5D6E-409C-BE32-E72D297353CC}">
              <c16:uniqueId val="{00000009-55F1-4B01-9768-B336B5DC2D43}"/>
            </c:ext>
          </c:extLst>
        </c:ser>
        <c:dLbls>
          <c:showLegendKey val="0"/>
          <c:showVal val="0"/>
          <c:showCatName val="0"/>
          <c:showSerName val="0"/>
          <c:showPercent val="0"/>
          <c:showBubbleSize val="0"/>
        </c:dLbls>
        <c:gapWidth val="150"/>
        <c:axId val="1192694767"/>
        <c:axId val="1192696207"/>
      </c:barChart>
      <c:lineChart>
        <c:grouping val="standard"/>
        <c:varyColors val="0"/>
        <c:ser>
          <c:idx val="3"/>
          <c:order val="7"/>
          <c:tx>
            <c:strRef>
              <c:f>'[12]CSAR_WSR_Graph (Non-STLA)'!$N$3</c:f>
              <c:strCache>
                <c:ptCount val="1"/>
                <c:pt idx="0">
                  <c:v>% Completion Confidence - Overall</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STLA_Sabre)'!$D$4:$D$13</c:f>
              <c:numCache>
                <c:formatCode>General</c:formatCode>
                <c:ptCount val="10"/>
                <c:pt idx="0">
                  <c:v>19</c:v>
                </c:pt>
                <c:pt idx="1">
                  <c:v>20</c:v>
                </c:pt>
                <c:pt idx="2">
                  <c:v>21</c:v>
                </c:pt>
                <c:pt idx="3">
                  <c:v>22</c:v>
                </c:pt>
                <c:pt idx="4">
                  <c:v>23</c:v>
                </c:pt>
                <c:pt idx="5">
                  <c:v>24</c:v>
                </c:pt>
                <c:pt idx="6">
                  <c:v>25</c:v>
                </c:pt>
                <c:pt idx="7">
                  <c:v>26</c:v>
                </c:pt>
                <c:pt idx="8">
                  <c:v>27</c:v>
                </c:pt>
                <c:pt idx="9">
                  <c:v>28</c:v>
                </c:pt>
              </c:numCache>
            </c:numRef>
          </c:cat>
          <c:val>
            <c:numRef>
              <c:f>'CSAR_WSR_GRAPH ( STLA_Sabre)'!$O$4:$O$13</c:f>
              <c:numCache>
                <c:formatCode>0%</c:formatCode>
                <c:ptCount val="10"/>
                <c:pt idx="0">
                  <c:v>1</c:v>
                </c:pt>
                <c:pt idx="1">
                  <c:v>1</c:v>
                </c:pt>
                <c:pt idx="2">
                  <c:v>1</c:v>
                </c:pt>
                <c:pt idx="3">
                  <c:v>1</c:v>
                </c:pt>
                <c:pt idx="4">
                  <c:v>1</c:v>
                </c:pt>
                <c:pt idx="5">
                  <c:v>1</c:v>
                </c:pt>
                <c:pt idx="6">
                  <c:v>1</c:v>
                </c:pt>
                <c:pt idx="7">
                  <c:v>1</c:v>
                </c:pt>
                <c:pt idx="8">
                  <c:v>1</c:v>
                </c:pt>
                <c:pt idx="9">
                  <c:v>1</c:v>
                </c:pt>
              </c:numCache>
            </c:numRef>
          </c:val>
          <c:smooth val="0"/>
          <c:extLst xmlns:c15="http://schemas.microsoft.com/office/drawing/2012/chart">
            <c:ext xmlns:c16="http://schemas.microsoft.com/office/drawing/2014/chart" uri="{C3380CC4-5D6E-409C-BE32-E72D297353CC}">
              <c16:uniqueId val="{0000000A-55F1-4B01-9768-B336B5DC2D43}"/>
            </c:ext>
          </c:extLst>
        </c:ser>
        <c:ser>
          <c:idx val="5"/>
          <c:order val="8"/>
          <c:tx>
            <c:strRef>
              <c:f>'CSAR_WSR_GRAPH ( STLA_Sabre)'!$Q$3</c:f>
              <c:strCache>
                <c:ptCount val="1"/>
                <c:pt idx="0">
                  <c:v>% Actual weekly completion wr.t  revised Baseline</c:v>
                </c:pt>
              </c:strCache>
            </c:strRef>
          </c:tx>
          <c:spPr>
            <a:ln w="28575" cap="rnd">
              <a:solidFill>
                <a:srgbClr val="7030A0"/>
              </a:solidFill>
              <a:prstDash val="solid"/>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55F1-4B01-9768-B336B5DC2D4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STLA_Sabre)'!$D$4:$D$13</c:f>
              <c:numCache>
                <c:formatCode>General</c:formatCode>
                <c:ptCount val="10"/>
                <c:pt idx="0">
                  <c:v>19</c:v>
                </c:pt>
                <c:pt idx="1">
                  <c:v>20</c:v>
                </c:pt>
                <c:pt idx="2">
                  <c:v>21</c:v>
                </c:pt>
                <c:pt idx="3">
                  <c:v>22</c:v>
                </c:pt>
                <c:pt idx="4">
                  <c:v>23</c:v>
                </c:pt>
                <c:pt idx="5">
                  <c:v>24</c:v>
                </c:pt>
                <c:pt idx="6">
                  <c:v>25</c:v>
                </c:pt>
                <c:pt idx="7">
                  <c:v>26</c:v>
                </c:pt>
                <c:pt idx="8">
                  <c:v>27</c:v>
                </c:pt>
                <c:pt idx="9">
                  <c:v>28</c:v>
                </c:pt>
              </c:numCache>
            </c:numRef>
          </c:cat>
          <c:val>
            <c:numRef>
              <c:f>'CSAR_WSR_GRAPH ( STLA_Sabre)'!$Q$4:$Q$10</c:f>
              <c:numCache>
                <c:formatCode>0%</c:formatCode>
                <c:ptCount val="7"/>
                <c:pt idx="0">
                  <c:v>0</c:v>
                </c:pt>
                <c:pt idx="1">
                  <c:v>0</c:v>
                </c:pt>
                <c:pt idx="2">
                  <c:v>1</c:v>
                </c:pt>
                <c:pt idx="3">
                  <c:v>1</c:v>
                </c:pt>
                <c:pt idx="4">
                  <c:v>1</c:v>
                </c:pt>
                <c:pt idx="5">
                  <c:v>1</c:v>
                </c:pt>
                <c:pt idx="6">
                  <c:v>1</c:v>
                </c:pt>
              </c:numCache>
            </c:numRef>
          </c:val>
          <c:smooth val="0"/>
          <c:extLst>
            <c:ext xmlns:c16="http://schemas.microsoft.com/office/drawing/2014/chart" uri="{C3380CC4-5D6E-409C-BE32-E72D297353CC}">
              <c16:uniqueId val="{0000000C-55F1-4B01-9768-B336B5DC2D43}"/>
            </c:ext>
          </c:extLst>
        </c:ser>
        <c:dLbls>
          <c:showLegendKey val="0"/>
          <c:showVal val="0"/>
          <c:showCatName val="0"/>
          <c:showSerName val="0"/>
          <c:showPercent val="0"/>
          <c:showBubbleSize val="0"/>
        </c:dLbls>
        <c:marker val="1"/>
        <c:smooth val="0"/>
        <c:axId val="1521042895"/>
        <c:axId val="1521042415"/>
        <c:extLst>
          <c:ext xmlns:c15="http://schemas.microsoft.com/office/drawing/2012/chart" uri="{02D57815-91ED-43cb-92C2-25804820EDAC}">
            <c15:filteredLineSeries>
              <c15:ser>
                <c:idx val="6"/>
                <c:order val="0"/>
                <c:tx>
                  <c:strRef>
                    <c:extLst>
                      <c:ext uri="{02D57815-91ED-43cb-92C2-25804820EDAC}">
                        <c15:formulaRef>
                          <c15:sqref>'[12]CSAR_WSR_Graph (Non-STLA)'!$D$3</c15:sqref>
                        </c15:formulaRef>
                      </c:ext>
                    </c:extLst>
                    <c:strCache>
                      <c:ptCount val="1"/>
                      <c:pt idx="0">
                        <c:v>Week No</c:v>
                      </c:pt>
                    </c:strCache>
                  </c:strRef>
                </c:tx>
                <c:spPr>
                  <a:ln w="28575" cap="rnd">
                    <a:solidFill>
                      <a:srgbClr val="002060"/>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'CSAR_WSR_GRAPH ( STLA_Sabre)'!$D$4:$D$13</c15:sqref>
                        </c15:formulaRef>
                      </c:ext>
                    </c:extLst>
                    <c:numCache>
                      <c:formatCode>General</c:formatCode>
                      <c:ptCount val="10"/>
                      <c:pt idx="0">
                        <c:v>19</c:v>
                      </c:pt>
                      <c:pt idx="1">
                        <c:v>20</c:v>
                      </c:pt>
                      <c:pt idx="2">
                        <c:v>21</c:v>
                      </c:pt>
                      <c:pt idx="3">
                        <c:v>22</c:v>
                      </c:pt>
                      <c:pt idx="4">
                        <c:v>23</c:v>
                      </c:pt>
                      <c:pt idx="5">
                        <c:v>24</c:v>
                      </c:pt>
                      <c:pt idx="6">
                        <c:v>25</c:v>
                      </c:pt>
                      <c:pt idx="7">
                        <c:v>26</c:v>
                      </c:pt>
                      <c:pt idx="8">
                        <c:v>27</c:v>
                      </c:pt>
                      <c:pt idx="9">
                        <c:v>28</c:v>
                      </c:pt>
                    </c:numCache>
                  </c:numRef>
                </c:cat>
                <c:val>
                  <c:numRef>
                    <c:extLst>
                      <c:ext uri="{02D57815-91ED-43cb-92C2-25804820EDAC}">
                        <c15:formulaRef>
                          <c15:sqref>'CSAR_WSR_GRAPH ( STLA_Sabre)'!$E$4:$E$11</c15:sqref>
                        </c15:formulaRef>
                      </c:ext>
                    </c:extLst>
                    <c:numCache>
                      <c:formatCode>General</c:formatCode>
                      <c:ptCount val="8"/>
                      <c:pt idx="2">
                        <c:v>1</c:v>
                      </c:pt>
                      <c:pt idx="3">
                        <c:v>1</c:v>
                      </c:pt>
                      <c:pt idx="4">
                        <c:v>1</c:v>
                      </c:pt>
                      <c:pt idx="5">
                        <c:v>1</c:v>
                      </c:pt>
                      <c:pt idx="6">
                        <c:v>1</c:v>
                      </c:pt>
                    </c:numCache>
                  </c:numRef>
                </c:val>
                <c:smooth val="0"/>
                <c:extLst>
                  <c:ext xmlns:c16="http://schemas.microsoft.com/office/drawing/2014/chart" uri="{C3380CC4-5D6E-409C-BE32-E72D297353CC}">
                    <c16:uniqueId val="{0000000D-55F1-4B01-9768-B336B5DC2D43}"/>
                  </c:ext>
                </c:extLst>
              </c15:ser>
            </c15:filteredLineSeries>
          </c:ext>
        </c:extLst>
      </c:lineChart>
      <c:catAx>
        <c:axId val="1192694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696207"/>
        <c:crosses val="autoZero"/>
        <c:auto val="1"/>
        <c:lblAlgn val="ctr"/>
        <c:lblOffset val="100"/>
        <c:noMultiLvlLbl val="0"/>
      </c:catAx>
      <c:valAx>
        <c:axId val="1192696207"/>
        <c:scaling>
          <c:orientation val="minMax"/>
          <c:max val="6"/>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694767"/>
        <c:crosses val="autoZero"/>
        <c:crossBetween val="between"/>
        <c:majorUnit val="2"/>
        <c:minorUnit val="1"/>
      </c:valAx>
      <c:valAx>
        <c:axId val="1521042415"/>
        <c:scaling>
          <c:orientation val="minMax"/>
          <c:max val="1"/>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042895"/>
        <c:crosses val="max"/>
        <c:crossBetween val="between"/>
        <c:majorUnit val="0.2"/>
      </c:valAx>
      <c:catAx>
        <c:axId val="1521042895"/>
        <c:scaling>
          <c:orientation val="minMax"/>
        </c:scaling>
        <c:delete val="1"/>
        <c:axPos val="b"/>
        <c:numFmt formatCode="General" sourceLinked="1"/>
        <c:majorTickMark val="out"/>
        <c:minorTickMark val="none"/>
        <c:tickLblPos val="nextTo"/>
        <c:crossAx val="152104241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Q3'26 Implementation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0"/>
          <c:order val="1"/>
          <c:tx>
            <c:strRef>
              <c:f>'CSAR_WSR_GRAPH ( STLA_Sabre)'!$I$21</c:f>
              <c:strCache>
                <c:ptCount val="1"/>
                <c:pt idx="0">
                  <c:v>Cumulative (Baseline Plan)</c:v>
                </c:pt>
              </c:strCache>
            </c:strRef>
          </c:tx>
          <c:spPr>
            <a:solidFill>
              <a:srgbClr val="66FF66"/>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0-404F-4CFD-BE51-B59698041D2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 STLA_Sabre)'!$I$22:$I$34</c:f>
              <c:numCache>
                <c:formatCode>General</c:formatCode>
                <c:ptCount val="13"/>
                <c:pt idx="0">
                  <c:v>0</c:v>
                </c:pt>
                <c:pt idx="1">
                  <c:v>1</c:v>
                </c:pt>
                <c:pt idx="2">
                  <c:v>1</c:v>
                </c:pt>
                <c:pt idx="3">
                  <c:v>1</c:v>
                </c:pt>
                <c:pt idx="4">
                  <c:v>2</c:v>
                </c:pt>
                <c:pt idx="5">
                  <c:v>3</c:v>
                </c:pt>
                <c:pt idx="6">
                  <c:v>6</c:v>
                </c:pt>
                <c:pt idx="7">
                  <c:v>13</c:v>
                </c:pt>
                <c:pt idx="8">
                  <c:v>14</c:v>
                </c:pt>
                <c:pt idx="9">
                  <c:v>14</c:v>
                </c:pt>
                <c:pt idx="10">
                  <c:v>14</c:v>
                </c:pt>
                <c:pt idx="11">
                  <c:v>16</c:v>
                </c:pt>
                <c:pt idx="12">
                  <c:v>17</c:v>
                </c:pt>
              </c:numCache>
            </c:numRef>
          </c:val>
          <c:extLst xmlns:c15="http://schemas.microsoft.com/office/drawing/2012/chart">
            <c:ext xmlns:c16="http://schemas.microsoft.com/office/drawing/2014/chart" uri="{C3380CC4-5D6E-409C-BE32-E72D297353CC}">
              <c16:uniqueId val="{00000001-404F-4CFD-BE51-B59698041D2B}"/>
            </c:ext>
          </c:extLst>
        </c:ser>
        <c:ser>
          <c:idx val="1"/>
          <c:order val="2"/>
          <c:tx>
            <c:strRef>
              <c:f>'CSAR_WSR_GRAPH ( STLA_Sabre)'!$J$21</c:f>
              <c:strCache>
                <c:ptCount val="1"/>
                <c:pt idx="0">
                  <c:v>Cumulative Revised basline plan</c:v>
                </c:pt>
              </c:strCache>
            </c:strRef>
          </c:tx>
          <c:spPr>
            <a:solidFill>
              <a:srgbClr val="92D050"/>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2-404F-4CFD-BE51-B59698041D2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 STLA_Sabre)'!$J$22:$J$34</c:f>
              <c:numCache>
                <c:formatCode>General</c:formatCode>
                <c:ptCount val="13"/>
                <c:pt idx="0">
                  <c:v>0</c:v>
                </c:pt>
                <c:pt idx="1">
                  <c:v>1</c:v>
                </c:pt>
                <c:pt idx="2">
                  <c:v>1</c:v>
                </c:pt>
                <c:pt idx="3">
                  <c:v>1</c:v>
                </c:pt>
                <c:pt idx="4">
                  <c:v>2</c:v>
                </c:pt>
                <c:pt idx="5">
                  <c:v>2</c:v>
                </c:pt>
                <c:pt idx="6">
                  <c:v>5</c:v>
                </c:pt>
                <c:pt idx="7">
                  <c:v>11</c:v>
                </c:pt>
                <c:pt idx="8">
                  <c:v>13</c:v>
                </c:pt>
                <c:pt idx="9">
                  <c:v>13</c:v>
                </c:pt>
                <c:pt idx="10">
                  <c:v>13</c:v>
                </c:pt>
                <c:pt idx="11">
                  <c:v>15</c:v>
                </c:pt>
                <c:pt idx="12">
                  <c:v>16</c:v>
                </c:pt>
              </c:numCache>
            </c:numRef>
          </c:val>
          <c:extLst>
            <c:ext xmlns:c16="http://schemas.microsoft.com/office/drawing/2014/chart" uri="{C3380CC4-5D6E-409C-BE32-E72D297353CC}">
              <c16:uniqueId val="{00000003-404F-4CFD-BE51-B59698041D2B}"/>
            </c:ext>
          </c:extLst>
        </c:ser>
        <c:ser>
          <c:idx val="7"/>
          <c:order val="3"/>
          <c:tx>
            <c:strRef>
              <c:f>'CSAR_WSR_GRAPH ( STLA_Sabre)'!$K$21</c:f>
              <c:strCache>
                <c:ptCount val="1"/>
                <c:pt idx="0">
                  <c:v>Cumulative (Completed)</c:v>
                </c:pt>
              </c:strCache>
            </c:strRef>
          </c:tx>
          <c:spPr>
            <a:solidFill>
              <a:schemeClr val="accent2">
                <a:lumMod val="60000"/>
              </a:schemeClr>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404F-4CFD-BE51-B59698041D2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 STLA_Sabre)'!$K$22:$K$28</c:f>
              <c:numCache>
                <c:formatCode>General</c:formatCode>
                <c:ptCount val="7"/>
                <c:pt idx="0">
                  <c:v>0</c:v>
                </c:pt>
                <c:pt idx="1">
                  <c:v>1</c:v>
                </c:pt>
                <c:pt idx="2">
                  <c:v>1</c:v>
                </c:pt>
                <c:pt idx="3">
                  <c:v>2</c:v>
                </c:pt>
                <c:pt idx="4">
                  <c:v>2</c:v>
                </c:pt>
                <c:pt idx="5">
                  <c:v>2</c:v>
                </c:pt>
                <c:pt idx="6">
                  <c:v>5</c:v>
                </c:pt>
              </c:numCache>
            </c:numRef>
          </c:val>
          <c:extLst xmlns:c15="http://schemas.microsoft.com/office/drawing/2012/chart">
            <c:ext xmlns:c16="http://schemas.microsoft.com/office/drawing/2014/chart" uri="{C3380CC4-5D6E-409C-BE32-E72D297353CC}">
              <c16:uniqueId val="{00000005-404F-4CFD-BE51-B59698041D2B}"/>
            </c:ext>
          </c:extLst>
        </c:ser>
        <c:ser>
          <c:idx val="2"/>
          <c:order val="4"/>
          <c:tx>
            <c:strRef>
              <c:f>'CSAR_WSR_GRAPH ( STLA_Sabre)'!$H$21</c:f>
              <c:strCache>
                <c:ptCount val="1"/>
                <c:pt idx="0">
                  <c:v>Rejected / Transferred/ Moved to next quarter</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 STLA_Sabre)'!$H$22:$H$34</c:f>
              <c:numCache>
                <c:formatCode>General</c:formatCode>
                <c:ptCount val="13"/>
                <c:pt idx="6">
                  <c:v>1</c:v>
                </c:pt>
                <c:pt idx="7">
                  <c:v>1</c:v>
                </c:pt>
                <c:pt idx="8">
                  <c:v>1</c:v>
                </c:pt>
                <c:pt idx="9">
                  <c:v>1</c:v>
                </c:pt>
                <c:pt idx="10">
                  <c:v>1</c:v>
                </c:pt>
                <c:pt idx="11">
                  <c:v>1</c:v>
                </c:pt>
                <c:pt idx="12">
                  <c:v>1</c:v>
                </c:pt>
              </c:numCache>
            </c:numRef>
          </c:val>
          <c:extLst xmlns:c15="http://schemas.microsoft.com/office/drawing/2012/chart">
            <c:ext xmlns:c16="http://schemas.microsoft.com/office/drawing/2014/chart" uri="{C3380CC4-5D6E-409C-BE32-E72D297353CC}">
              <c16:uniqueId val="{00000006-404F-4CFD-BE51-B59698041D2B}"/>
            </c:ext>
          </c:extLst>
        </c:ser>
        <c:ser>
          <c:idx val="8"/>
          <c:order val="5"/>
          <c:tx>
            <c:strRef>
              <c:f>'CSAR_WSR_GRAPH ( STLA_Sabre)'!$M$21</c:f>
              <c:strCache>
                <c:ptCount val="1"/>
                <c:pt idx="0">
                  <c:v>Impl In Progress</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 STLA_Sabre)'!$M$22:$M$34</c:f>
              <c:numCache>
                <c:formatCode>General</c:formatCode>
                <c:ptCount val="13"/>
                <c:pt idx="0">
                  <c:v>0</c:v>
                </c:pt>
                <c:pt idx="1">
                  <c:v>3</c:v>
                </c:pt>
                <c:pt idx="2">
                  <c:v>6</c:v>
                </c:pt>
                <c:pt idx="3">
                  <c:v>7</c:v>
                </c:pt>
                <c:pt idx="4">
                  <c:v>8</c:v>
                </c:pt>
                <c:pt idx="5">
                  <c:v>9</c:v>
                </c:pt>
                <c:pt idx="6">
                  <c:v>7</c:v>
                </c:pt>
              </c:numCache>
            </c:numRef>
          </c:val>
          <c:extLst xmlns:c15="http://schemas.microsoft.com/office/drawing/2012/chart">
            <c:ext xmlns:c16="http://schemas.microsoft.com/office/drawing/2014/chart" uri="{C3380CC4-5D6E-409C-BE32-E72D297353CC}">
              <c16:uniqueId val="{00000007-404F-4CFD-BE51-B59698041D2B}"/>
            </c:ext>
          </c:extLst>
        </c:ser>
        <c:ser>
          <c:idx val="6"/>
          <c:order val="6"/>
          <c:tx>
            <c:strRef>
              <c:f>'CSAR_WSR_GRAPH ( STLA_Sabre)'!$N$21</c:f>
              <c:strCache>
                <c:ptCount val="1"/>
                <c:pt idx="0">
                  <c:v>DRB /l2 Reviews &amp; Rework  in progress</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 STLA_Sabre)'!$N$22:$N$34</c:f>
              <c:numCache>
                <c:formatCode>General</c:formatCode>
                <c:ptCount val="13"/>
                <c:pt idx="4">
                  <c:v>0</c:v>
                </c:pt>
                <c:pt idx="5">
                  <c:v>4</c:v>
                </c:pt>
                <c:pt idx="6">
                  <c:v>3</c:v>
                </c:pt>
              </c:numCache>
            </c:numRef>
          </c:val>
          <c:extLst>
            <c:ext xmlns:c16="http://schemas.microsoft.com/office/drawing/2014/chart" uri="{C3380CC4-5D6E-409C-BE32-E72D297353CC}">
              <c16:uniqueId val="{00000008-404F-4CFD-BE51-B59698041D2B}"/>
            </c:ext>
          </c:extLst>
        </c:ser>
        <c:dLbls>
          <c:showLegendKey val="0"/>
          <c:showVal val="0"/>
          <c:showCatName val="0"/>
          <c:showSerName val="0"/>
          <c:showPercent val="0"/>
          <c:showBubbleSize val="0"/>
        </c:dLbls>
        <c:gapWidth val="150"/>
        <c:axId val="1533774751"/>
        <c:axId val="1533748351"/>
        <c:extLst>
          <c:ext xmlns:c15="http://schemas.microsoft.com/office/drawing/2012/chart" uri="{02D57815-91ED-43cb-92C2-25804820EDAC}">
            <c15:filteredBarSeries>
              <c15:ser>
                <c:idx val="0"/>
                <c:order val="0"/>
                <c:tx>
                  <c:strRef>
                    <c:extLst>
                      <c:ext uri="{02D57815-91ED-43cb-92C2-25804820EDAC}">
                        <c15:formulaRef>
                          <c15:sqref>'CSAR_WSR_GRAPH ( STLA_Sabre)'!$E$21</c15:sqref>
                        </c15:formulaRef>
                      </c:ext>
                    </c:extLst>
                    <c:strCache>
                      <c:ptCount val="1"/>
                      <c:pt idx="0">
                        <c:v>Baseline Plan</c:v>
                      </c:pt>
                    </c:strCache>
                  </c:strRef>
                </c:tx>
                <c:spPr>
                  <a:solidFill>
                    <a:schemeClr val="accent1"/>
                  </a:solidFill>
                  <a:ln>
                    <a:noFill/>
                  </a:ln>
                  <a:effectLst/>
                </c:spPr>
                <c:invertIfNegative val="0"/>
                <c:cat>
                  <c:numRef>
                    <c:extLst>
                      <c:ext uri="{02D57815-91ED-43cb-92C2-25804820EDAC}">
                        <c15:formulaRef>
                          <c15:sqref>'CSAR_WSR_GRAPH ( STLA_Sabre)'!$D$22:$D$34</c15:sqref>
                        </c15:formulaRef>
                      </c:ext>
                    </c:extLst>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extLst>
                      <c:ext uri="{02D57815-91ED-43cb-92C2-25804820EDAC}">
                        <c15:formulaRef>
                          <c15:sqref>'CSAR_WSR_GRAPH ( STLA_Sabre)'!$E$23:$E$34</c15:sqref>
                        </c15:formulaRef>
                      </c:ext>
                    </c:extLst>
                    <c:numCache>
                      <c:formatCode>General</c:formatCode>
                      <c:ptCount val="12"/>
                      <c:pt idx="0">
                        <c:v>1</c:v>
                      </c:pt>
                      <c:pt idx="1">
                        <c:v>0</c:v>
                      </c:pt>
                      <c:pt idx="2">
                        <c:v>0</c:v>
                      </c:pt>
                      <c:pt idx="3">
                        <c:v>1</c:v>
                      </c:pt>
                      <c:pt idx="4">
                        <c:v>1</c:v>
                      </c:pt>
                      <c:pt idx="5">
                        <c:v>3</c:v>
                      </c:pt>
                      <c:pt idx="6">
                        <c:v>7</c:v>
                      </c:pt>
                      <c:pt idx="7">
                        <c:v>1</c:v>
                      </c:pt>
                      <c:pt idx="10">
                        <c:v>2</c:v>
                      </c:pt>
                      <c:pt idx="11">
                        <c:v>1</c:v>
                      </c:pt>
                    </c:numCache>
                  </c:numRef>
                </c:val>
                <c:extLst>
                  <c:ext xmlns:c16="http://schemas.microsoft.com/office/drawing/2014/chart" uri="{C3380CC4-5D6E-409C-BE32-E72D297353CC}">
                    <c16:uniqueId val="{0000000B-404F-4CFD-BE51-B59698041D2B}"/>
                  </c:ext>
                </c:extLst>
              </c15:ser>
            </c15:filteredBarSeries>
          </c:ext>
        </c:extLst>
      </c:barChart>
      <c:lineChart>
        <c:grouping val="standard"/>
        <c:varyColors val="0"/>
        <c:ser>
          <c:idx val="5"/>
          <c:order val="7"/>
          <c:tx>
            <c:strRef>
              <c:f>'CSAR_WSR_GRAPH ( STLA_Sabre)'!$O$21</c:f>
              <c:strCache>
                <c:ptCount val="1"/>
                <c:pt idx="0">
                  <c:v>% Completion Confidence - Overall</c:v>
                </c:pt>
              </c:strCache>
            </c:strRef>
          </c:tx>
          <c:spPr>
            <a:ln w="28575" cap="rnd">
              <a:solidFill>
                <a:srgbClr val="7030A0"/>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 STLA_Sabre)'!$O$22:$O$34</c:f>
              <c:numCache>
                <c:formatCode>0%</c:formatCode>
                <c:ptCount val="13"/>
                <c:pt idx="0">
                  <c:v>1</c:v>
                </c:pt>
                <c:pt idx="1">
                  <c:v>1</c:v>
                </c:pt>
                <c:pt idx="2">
                  <c:v>1</c:v>
                </c:pt>
                <c:pt idx="3">
                  <c:v>1</c:v>
                </c:pt>
                <c:pt idx="4">
                  <c:v>1</c:v>
                </c:pt>
                <c:pt idx="5">
                  <c:v>0.87</c:v>
                </c:pt>
                <c:pt idx="6">
                  <c:v>1</c:v>
                </c:pt>
                <c:pt idx="7">
                  <c:v>1</c:v>
                </c:pt>
                <c:pt idx="8">
                  <c:v>1</c:v>
                </c:pt>
                <c:pt idx="9">
                  <c:v>1</c:v>
                </c:pt>
                <c:pt idx="10">
                  <c:v>1</c:v>
                </c:pt>
                <c:pt idx="11">
                  <c:v>1</c:v>
                </c:pt>
                <c:pt idx="12">
                  <c:v>1</c:v>
                </c:pt>
              </c:numCache>
            </c:numRef>
          </c:val>
          <c:smooth val="0"/>
          <c:extLst>
            <c:ext xmlns:c16="http://schemas.microsoft.com/office/drawing/2014/chart" uri="{C3380CC4-5D6E-409C-BE32-E72D297353CC}">
              <c16:uniqueId val="{00000009-404F-4CFD-BE51-B59698041D2B}"/>
            </c:ext>
          </c:extLst>
        </c:ser>
        <c:ser>
          <c:idx val="4"/>
          <c:order val="8"/>
          <c:tx>
            <c:strRef>
              <c:f>'CSAR_WSR_GRAPH ( STLA_Sabre)'!$Q$21</c:f>
              <c:strCache>
                <c:ptCount val="1"/>
                <c:pt idx="0">
                  <c:v>% Actual weekly completion wr.t  revised Baseline</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'CSAR_WSR_GRAPH ( STLA_Sabre)'!$D$22:$D$34</c:f>
              <c:numCache>
                <c:formatCode>General</c:formatCode>
                <c:ptCount val="13"/>
                <c:pt idx="0">
                  <c:v>19</c:v>
                </c:pt>
                <c:pt idx="1">
                  <c:v>20</c:v>
                </c:pt>
                <c:pt idx="2">
                  <c:v>21</c:v>
                </c:pt>
                <c:pt idx="3">
                  <c:v>22</c:v>
                </c:pt>
                <c:pt idx="4">
                  <c:v>23</c:v>
                </c:pt>
                <c:pt idx="5">
                  <c:v>24</c:v>
                </c:pt>
                <c:pt idx="6">
                  <c:v>25</c:v>
                </c:pt>
                <c:pt idx="7">
                  <c:v>26</c:v>
                </c:pt>
                <c:pt idx="8">
                  <c:v>27</c:v>
                </c:pt>
                <c:pt idx="9">
                  <c:v>28</c:v>
                </c:pt>
                <c:pt idx="10">
                  <c:v>29</c:v>
                </c:pt>
                <c:pt idx="11">
                  <c:v>30</c:v>
                </c:pt>
                <c:pt idx="12">
                  <c:v>31</c:v>
                </c:pt>
              </c:numCache>
            </c:numRef>
          </c:cat>
          <c:val>
            <c:numRef>
              <c:f>'CSAR_WSR_GRAPH ( STLA_Sabre)'!$Q$22:$Q$28</c:f>
              <c:numCache>
                <c:formatCode>0%</c:formatCode>
                <c:ptCount val="7"/>
                <c:pt idx="0">
                  <c:v>1</c:v>
                </c:pt>
                <c:pt idx="1">
                  <c:v>1</c:v>
                </c:pt>
                <c:pt idx="2">
                  <c:v>1</c:v>
                </c:pt>
                <c:pt idx="3">
                  <c:v>2</c:v>
                </c:pt>
                <c:pt idx="4">
                  <c:v>1</c:v>
                </c:pt>
                <c:pt idx="5">
                  <c:v>1</c:v>
                </c:pt>
                <c:pt idx="6">
                  <c:v>1</c:v>
                </c:pt>
              </c:numCache>
            </c:numRef>
          </c:val>
          <c:smooth val="0"/>
          <c:extLst xmlns:c15="http://schemas.microsoft.com/office/drawing/2012/chart">
            <c:ext xmlns:c16="http://schemas.microsoft.com/office/drawing/2014/chart" uri="{C3380CC4-5D6E-409C-BE32-E72D297353CC}">
              <c16:uniqueId val="{0000000A-404F-4CFD-BE51-B59698041D2B}"/>
            </c:ext>
          </c:extLst>
        </c:ser>
        <c:dLbls>
          <c:showLegendKey val="0"/>
          <c:showVal val="0"/>
          <c:showCatName val="0"/>
          <c:showSerName val="0"/>
          <c:showPercent val="0"/>
          <c:showBubbleSize val="0"/>
        </c:dLbls>
        <c:marker val="1"/>
        <c:smooth val="0"/>
        <c:axId val="1672005856"/>
        <c:axId val="1672023136"/>
        <c:extLst/>
      </c:lineChart>
      <c:catAx>
        <c:axId val="153377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748351"/>
        <c:crosses val="autoZero"/>
        <c:auto val="1"/>
        <c:lblAlgn val="ctr"/>
        <c:lblOffset val="100"/>
        <c:noMultiLvlLbl val="0"/>
      </c:catAx>
      <c:valAx>
        <c:axId val="1533748351"/>
        <c:scaling>
          <c:orientation val="minMax"/>
          <c:max val="17"/>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774751"/>
        <c:crosses val="autoZero"/>
        <c:crossBetween val="between"/>
        <c:majorUnit val="5"/>
      </c:valAx>
      <c:valAx>
        <c:axId val="1672023136"/>
        <c:scaling>
          <c:orientation val="minMax"/>
          <c:max val="2"/>
          <c:min val="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2005856"/>
        <c:crosses val="max"/>
        <c:crossBetween val="between"/>
        <c:majorUnit val="0.2"/>
      </c:valAx>
      <c:catAx>
        <c:axId val="1672005856"/>
        <c:scaling>
          <c:orientation val="minMax"/>
        </c:scaling>
        <c:delete val="1"/>
        <c:axPos val="b"/>
        <c:numFmt formatCode="General" sourceLinked="1"/>
        <c:majorTickMark val="out"/>
        <c:minorTickMark val="none"/>
        <c:tickLblPos val="nextTo"/>
        <c:crossAx val="16720231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Q1'26 Evaluation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2"/>
          <c:tx>
            <c:strRef>
              <c:f>'[12]CSAR_WSR_Graph (STLA_Phantom'!$I$3</c:f>
              <c:strCache>
                <c:ptCount val="1"/>
                <c:pt idx="0">
                  <c:v>Cumulative (Baseline Plan)</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'[12]CSAR_WSR_Graph (STLA_Phantom'!$D$4:$D$13</c:f>
              <c:strCache>
                <c:ptCount val="10"/>
                <c:pt idx="0">
                  <c:v>45</c:v>
                </c:pt>
                <c:pt idx="1">
                  <c:v>46</c:v>
                </c:pt>
                <c:pt idx="2">
                  <c:v>47</c:v>
                </c:pt>
                <c:pt idx="3">
                  <c:v>48</c:v>
                </c:pt>
                <c:pt idx="4">
                  <c:v>49</c:v>
                </c:pt>
                <c:pt idx="5">
                  <c:v>50</c:v>
                </c:pt>
                <c:pt idx="6">
                  <c:v>51</c:v>
                </c:pt>
                <c:pt idx="7">
                  <c:v>52</c:v>
                </c:pt>
                <c:pt idx="8">
                  <c:v>1</c:v>
                </c:pt>
                <c:pt idx="9">
                  <c:v>2</c:v>
                </c:pt>
              </c:strCache>
            </c:strRef>
          </c:cat>
          <c:val>
            <c:numRef>
              <c:f>'[12]CSAR_WSR_Graph (STLA_Phantom'!$I$4:$I$13</c:f>
              <c:numCache>
                <c:formatCode>General</c:formatCode>
                <c:ptCount val="10"/>
                <c:pt idx="0">
                  <c:v>0</c:v>
                </c:pt>
                <c:pt idx="1">
                  <c:v>0</c:v>
                </c:pt>
                <c:pt idx="2">
                  <c:v>0</c:v>
                </c:pt>
                <c:pt idx="3">
                  <c:v>2</c:v>
                </c:pt>
                <c:pt idx="4">
                  <c:v>5</c:v>
                </c:pt>
                <c:pt idx="5">
                  <c:v>9</c:v>
                </c:pt>
                <c:pt idx="6">
                  <c:v>10</c:v>
                </c:pt>
                <c:pt idx="7">
                  <c:v>10</c:v>
                </c:pt>
                <c:pt idx="8">
                  <c:v>10</c:v>
                </c:pt>
                <c:pt idx="9">
                  <c:v>10</c:v>
                </c:pt>
              </c:numCache>
            </c:numRef>
          </c:val>
          <c:extLst>
            <c:ext xmlns:c16="http://schemas.microsoft.com/office/drawing/2014/chart" uri="{C3380CC4-5D6E-409C-BE32-E72D297353CC}">
              <c16:uniqueId val="{00000000-DA21-41F4-BD9C-D0DF530482C0}"/>
            </c:ext>
          </c:extLst>
        </c:ser>
        <c:ser>
          <c:idx val="4"/>
          <c:order val="3"/>
          <c:tx>
            <c:strRef>
              <c:f>'[12]CSAR_WSR_Graph (STLA_Phantom'!$J$3</c:f>
              <c:strCache>
                <c:ptCount val="1"/>
                <c:pt idx="0">
                  <c:v>Cumulative Revised basline plan</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'[12]CSAR_WSR_Graph (STLA_Phantom'!$D$4:$D$13</c:f>
              <c:strCache>
                <c:ptCount val="10"/>
                <c:pt idx="0">
                  <c:v>45</c:v>
                </c:pt>
                <c:pt idx="1">
                  <c:v>46</c:v>
                </c:pt>
                <c:pt idx="2">
                  <c:v>47</c:v>
                </c:pt>
                <c:pt idx="3">
                  <c:v>48</c:v>
                </c:pt>
                <c:pt idx="4">
                  <c:v>49</c:v>
                </c:pt>
                <c:pt idx="5">
                  <c:v>50</c:v>
                </c:pt>
                <c:pt idx="6">
                  <c:v>51</c:v>
                </c:pt>
                <c:pt idx="7">
                  <c:v>52</c:v>
                </c:pt>
                <c:pt idx="8">
                  <c:v>1</c:v>
                </c:pt>
                <c:pt idx="9">
                  <c:v>2</c:v>
                </c:pt>
              </c:strCache>
            </c:strRef>
          </c:cat>
          <c:val>
            <c:numRef>
              <c:f>'[12]CSAR_WSR_Graph (STLA_Phantom'!$J$4:$J$13</c:f>
              <c:numCache>
                <c:formatCode>General</c:formatCode>
                <c:ptCount val="10"/>
                <c:pt idx="0">
                  <c:v>0</c:v>
                </c:pt>
                <c:pt idx="1">
                  <c:v>0</c:v>
                </c:pt>
                <c:pt idx="2">
                  <c:v>0</c:v>
                </c:pt>
                <c:pt idx="3">
                  <c:v>2</c:v>
                </c:pt>
                <c:pt idx="4">
                  <c:v>5</c:v>
                </c:pt>
                <c:pt idx="5">
                  <c:v>9</c:v>
                </c:pt>
                <c:pt idx="6">
                  <c:v>10</c:v>
                </c:pt>
                <c:pt idx="7">
                  <c:v>10</c:v>
                </c:pt>
                <c:pt idx="8">
                  <c:v>10</c:v>
                </c:pt>
                <c:pt idx="9">
                  <c:v>10</c:v>
                </c:pt>
              </c:numCache>
            </c:numRef>
          </c:val>
          <c:extLst xmlns:c15="http://schemas.microsoft.com/office/drawing/2012/chart">
            <c:ext xmlns:c16="http://schemas.microsoft.com/office/drawing/2014/chart" uri="{C3380CC4-5D6E-409C-BE32-E72D297353CC}">
              <c16:uniqueId val="{00000001-DA21-41F4-BD9C-D0DF530482C0}"/>
            </c:ext>
          </c:extLst>
        </c:ser>
        <c:ser>
          <c:idx val="2"/>
          <c:order val="4"/>
          <c:tx>
            <c:strRef>
              <c:f>'[12]CSAR_WSR_Graph (STLA_Phantom'!$K$3</c:f>
              <c:strCache>
                <c:ptCount val="1"/>
                <c:pt idx="0">
                  <c:v>Cumulative (Completed)</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'[12]CSAR_WSR_Graph (STLA_Phantom'!$D$4:$D$13</c:f>
              <c:strCache>
                <c:ptCount val="10"/>
                <c:pt idx="0">
                  <c:v>45</c:v>
                </c:pt>
                <c:pt idx="1">
                  <c:v>46</c:v>
                </c:pt>
                <c:pt idx="2">
                  <c:v>47</c:v>
                </c:pt>
                <c:pt idx="3">
                  <c:v>48</c:v>
                </c:pt>
                <c:pt idx="4">
                  <c:v>49</c:v>
                </c:pt>
                <c:pt idx="5">
                  <c:v>50</c:v>
                </c:pt>
                <c:pt idx="6">
                  <c:v>51</c:v>
                </c:pt>
                <c:pt idx="7">
                  <c:v>52</c:v>
                </c:pt>
                <c:pt idx="8">
                  <c:v>1</c:v>
                </c:pt>
                <c:pt idx="9">
                  <c:v>2</c:v>
                </c:pt>
              </c:strCache>
            </c:strRef>
          </c:cat>
          <c:val>
            <c:numRef>
              <c:f>'[12]CSAR_WSR_Graph (STLA_Phantom'!$K$4:$K$13</c:f>
              <c:numCache>
                <c:formatCode>General</c:formatCode>
                <c:ptCount val="10"/>
                <c:pt idx="0">
                  <c:v>0</c:v>
                </c:pt>
                <c:pt idx="1">
                  <c:v>0</c:v>
                </c:pt>
                <c:pt idx="2">
                  <c:v>0</c:v>
                </c:pt>
                <c:pt idx="3">
                  <c:v>2</c:v>
                </c:pt>
                <c:pt idx="4">
                  <c:v>5</c:v>
                </c:pt>
                <c:pt idx="5">
                  <c:v>7</c:v>
                </c:pt>
                <c:pt idx="6">
                  <c:v>9</c:v>
                </c:pt>
                <c:pt idx="7">
                  <c:v>9</c:v>
                </c:pt>
                <c:pt idx="8">
                  <c:v>9</c:v>
                </c:pt>
                <c:pt idx="9">
                  <c:v>10</c:v>
                </c:pt>
              </c:numCache>
            </c:numRef>
          </c:val>
          <c:extLst xmlns:c15="http://schemas.microsoft.com/office/drawing/2012/chart">
            <c:ext xmlns:c16="http://schemas.microsoft.com/office/drawing/2014/chart" uri="{C3380CC4-5D6E-409C-BE32-E72D297353CC}">
              <c16:uniqueId val="{00000002-DA21-41F4-BD9C-D0DF530482C0}"/>
            </c:ext>
          </c:extLst>
        </c:ser>
        <c:ser>
          <c:idx val="7"/>
          <c:order val="6"/>
          <c:tx>
            <c:strRef>
              <c:f>'[12]CSAR_WSR_Graph (STLA_Phantom'!$H$3</c:f>
              <c:strCache>
                <c:ptCount val="1"/>
                <c:pt idx="0">
                  <c:v>Rejected / Transferred/ Moved to next quarter</c:v>
                </c:pt>
              </c:strCache>
            </c:strRef>
          </c:tx>
          <c:spPr>
            <a:solidFill>
              <a:schemeClr val="accent2">
                <a:lumMod val="60000"/>
              </a:schemeClr>
            </a:solidFill>
            <a:ln>
              <a:noFill/>
            </a:ln>
            <a:effectLst/>
          </c:spPr>
          <c:invertIfNegative val="0"/>
          <c:cat>
            <c:strRef>
              <c:f>'[12]CSAR_WSR_Graph (STLA_Phantom'!$D$4:$D$13</c:f>
              <c:strCache>
                <c:ptCount val="10"/>
                <c:pt idx="0">
                  <c:v>45</c:v>
                </c:pt>
                <c:pt idx="1">
                  <c:v>46</c:v>
                </c:pt>
                <c:pt idx="2">
                  <c:v>47</c:v>
                </c:pt>
                <c:pt idx="3">
                  <c:v>48</c:v>
                </c:pt>
                <c:pt idx="4">
                  <c:v>49</c:v>
                </c:pt>
                <c:pt idx="5">
                  <c:v>50</c:v>
                </c:pt>
                <c:pt idx="6">
                  <c:v>51</c:v>
                </c:pt>
                <c:pt idx="7">
                  <c:v>52</c:v>
                </c:pt>
                <c:pt idx="8">
                  <c:v>1</c:v>
                </c:pt>
                <c:pt idx="9">
                  <c:v>2</c:v>
                </c:pt>
              </c:strCache>
            </c:strRef>
          </c:cat>
          <c:val>
            <c:numRef>
              <c:f>'[12]CSAR_WSR_Graph (STLA_Phantom'!$H$4:$H$5</c:f>
              <c:numCache>
                <c:formatCode>General</c:formatCode>
                <c:ptCount val="2"/>
                <c:pt idx="0">
                  <c:v>0</c:v>
                </c:pt>
                <c:pt idx="1">
                  <c:v>0</c:v>
                </c:pt>
              </c:numCache>
            </c:numRef>
          </c:val>
          <c:extLst xmlns:c15="http://schemas.microsoft.com/office/drawing/2012/chart">
            <c:ext xmlns:c16="http://schemas.microsoft.com/office/drawing/2014/chart" uri="{C3380CC4-5D6E-409C-BE32-E72D297353CC}">
              <c16:uniqueId val="{00000003-DA21-41F4-BD9C-D0DF530482C0}"/>
            </c:ext>
          </c:extLst>
        </c:ser>
        <c:ser>
          <c:idx val="3"/>
          <c:order val="7"/>
          <c:tx>
            <c:strRef>
              <c:f>'[12]CSAR_WSR_Graph (STLA_Phantom'!$M$3</c:f>
              <c:strCache>
                <c:ptCount val="1"/>
                <c:pt idx="0">
                  <c:v>Eval In Progress</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'[12]CSAR_WSR_Graph (STLA_Phantom'!$D$4:$D$13</c:f>
              <c:strCache>
                <c:ptCount val="10"/>
                <c:pt idx="0">
                  <c:v>45</c:v>
                </c:pt>
                <c:pt idx="1">
                  <c:v>46</c:v>
                </c:pt>
                <c:pt idx="2">
                  <c:v>47</c:v>
                </c:pt>
                <c:pt idx="3">
                  <c:v>48</c:v>
                </c:pt>
                <c:pt idx="4">
                  <c:v>49</c:v>
                </c:pt>
                <c:pt idx="5">
                  <c:v>50</c:v>
                </c:pt>
                <c:pt idx="6">
                  <c:v>51</c:v>
                </c:pt>
                <c:pt idx="7">
                  <c:v>52</c:v>
                </c:pt>
                <c:pt idx="8">
                  <c:v>1</c:v>
                </c:pt>
                <c:pt idx="9">
                  <c:v>2</c:v>
                </c:pt>
              </c:strCache>
            </c:strRef>
          </c:cat>
          <c:val>
            <c:numRef>
              <c:f>'[12]CSAR_WSR_Graph (STLA_Phantom'!$M$4:$M$13</c:f>
              <c:numCache>
                <c:formatCode>General</c:formatCode>
                <c:ptCount val="10"/>
                <c:pt idx="0">
                  <c:v>0</c:v>
                </c:pt>
                <c:pt idx="1">
                  <c:v>10</c:v>
                </c:pt>
                <c:pt idx="2">
                  <c:v>10</c:v>
                </c:pt>
                <c:pt idx="3">
                  <c:v>10</c:v>
                </c:pt>
                <c:pt idx="4">
                  <c:v>5</c:v>
                </c:pt>
                <c:pt idx="5">
                  <c:v>3</c:v>
                </c:pt>
                <c:pt idx="6">
                  <c:v>1</c:v>
                </c:pt>
                <c:pt idx="7">
                  <c:v>1</c:v>
                </c:pt>
                <c:pt idx="8">
                  <c:v>1</c:v>
                </c:pt>
                <c:pt idx="9">
                  <c:v>0</c:v>
                </c:pt>
              </c:numCache>
            </c:numRef>
          </c:val>
          <c:extLst xmlns:c15="http://schemas.microsoft.com/office/drawing/2012/chart">
            <c:ext xmlns:c16="http://schemas.microsoft.com/office/drawing/2014/chart" uri="{C3380CC4-5D6E-409C-BE32-E72D297353CC}">
              <c16:uniqueId val="{00000004-DA21-41F4-BD9C-D0DF530482C0}"/>
            </c:ext>
          </c:extLst>
        </c:ser>
        <c:dLbls>
          <c:showLegendKey val="0"/>
          <c:showVal val="0"/>
          <c:showCatName val="0"/>
          <c:showSerName val="0"/>
          <c:showPercent val="0"/>
          <c:showBubbleSize val="0"/>
        </c:dLbls>
        <c:gapWidth val="150"/>
        <c:axId val="1192694767"/>
        <c:axId val="1192696207"/>
        <c:extLst>
          <c:ext xmlns:c15="http://schemas.microsoft.com/office/drawing/2012/chart" uri="{02D57815-91ED-43cb-92C2-25804820EDAC}">
            <c15:filteredBarSeries>
              <c15:ser>
                <c:idx val="0"/>
                <c:order val="0"/>
                <c:tx>
                  <c:strRef>
                    <c:extLst>
                      <c:ext uri="{02D57815-91ED-43cb-92C2-25804820EDAC}">
                        <c15:formulaRef>
                          <c15:sqref>'[12]CSAR_WSR_Graph (STLA_Phantom'!$D$3</c15:sqref>
                        </c15:formulaRef>
                      </c:ext>
                    </c:extLst>
                    <c:strCache>
                      <c:ptCount val="1"/>
                      <c:pt idx="0">
                        <c:v>Week No</c:v>
                      </c:pt>
                    </c:strCache>
                  </c:strRef>
                </c:tx>
                <c:spPr>
                  <a:solidFill>
                    <a:schemeClr val="accent1"/>
                  </a:solidFill>
                  <a:ln>
                    <a:noFill/>
                  </a:ln>
                  <a:effectLst/>
                </c:spPr>
                <c:invertIfNegative val="0"/>
                <c:cat>
                  <c:strRef>
                    <c:extLst>
                      <c:ext uri="{02D57815-91ED-43cb-92C2-25804820EDAC}">
                        <c15:formulaRef>
                          <c15:sqref>'[12]CSAR_WSR_Graph (STLA_Phantom'!$D$4:$D$13</c15:sqref>
                        </c15:formulaRef>
                      </c:ext>
                    </c:extLst>
                    <c:strCache>
                      <c:ptCount val="10"/>
                      <c:pt idx="0">
                        <c:v>45</c:v>
                      </c:pt>
                      <c:pt idx="1">
                        <c:v>46</c:v>
                      </c:pt>
                      <c:pt idx="2">
                        <c:v>47</c:v>
                      </c:pt>
                      <c:pt idx="3">
                        <c:v>48</c:v>
                      </c:pt>
                      <c:pt idx="4">
                        <c:v>49</c:v>
                      </c:pt>
                      <c:pt idx="5">
                        <c:v>50</c:v>
                      </c:pt>
                      <c:pt idx="6">
                        <c:v>51</c:v>
                      </c:pt>
                      <c:pt idx="7">
                        <c:v>52</c:v>
                      </c:pt>
                      <c:pt idx="8">
                        <c:v>1</c:v>
                      </c:pt>
                      <c:pt idx="9">
                        <c:v>2</c:v>
                      </c:pt>
                    </c:strCache>
                  </c:strRef>
                </c:cat>
                <c:val>
                  <c:numRef>
                    <c:extLst>
                      <c:ext uri="{02D57815-91ED-43cb-92C2-25804820EDAC}">
                        <c15:formulaRef>
                          <c15:sqref>'[12]CSAR_WSR_Graph (STLA_Phantom'!$D$4:$D$16</c15:sqref>
                        </c15:formulaRef>
                      </c:ext>
                    </c:extLst>
                    <c:numCache>
                      <c:formatCode>General</c:formatCode>
                      <c:ptCount val="13"/>
                      <c:pt idx="0">
                        <c:v>45</c:v>
                      </c:pt>
                      <c:pt idx="1">
                        <c:v>46</c:v>
                      </c:pt>
                      <c:pt idx="2">
                        <c:v>47</c:v>
                      </c:pt>
                      <c:pt idx="3">
                        <c:v>48</c:v>
                      </c:pt>
                      <c:pt idx="4">
                        <c:v>49</c:v>
                      </c:pt>
                      <c:pt idx="5">
                        <c:v>50</c:v>
                      </c:pt>
                      <c:pt idx="6">
                        <c:v>51</c:v>
                      </c:pt>
                      <c:pt idx="7">
                        <c:v>52</c:v>
                      </c:pt>
                      <c:pt idx="8">
                        <c:v>1</c:v>
                      </c:pt>
                      <c:pt idx="9">
                        <c:v>2</c:v>
                      </c:pt>
                      <c:pt idx="10">
                        <c:v>3</c:v>
                      </c:pt>
                      <c:pt idx="11">
                        <c:v>4</c:v>
                      </c:pt>
                      <c:pt idx="12">
                        <c:v>5</c:v>
                      </c:pt>
                    </c:numCache>
                  </c:numRef>
                </c:val>
                <c:extLst>
                  <c:ext xmlns:c16="http://schemas.microsoft.com/office/drawing/2014/chart" uri="{C3380CC4-5D6E-409C-BE32-E72D297353CC}">
                    <c16:uniqueId val="{00000009-DA21-41F4-BD9C-D0DF530482C0}"/>
                  </c:ext>
                </c:extLst>
              </c15:ser>
            </c15:filteredBarSeries>
            <c15:filteredBarSeries>
              <c15:ser>
                <c:idx val="10"/>
                <c:order val="1"/>
                <c:tx>
                  <c:strRef>
                    <c:extLst xmlns:c15="http://schemas.microsoft.com/office/drawing/2012/chart">
                      <c:ext xmlns:c15="http://schemas.microsoft.com/office/drawing/2012/chart" uri="{02D57815-91ED-43cb-92C2-25804820EDAC}">
                        <c15:formulaRef>
                          <c15:sqref>'[12]CSAR_WSR_Graph (STLA_Phantom'!$E$3</c15:sqref>
                        </c15:formulaRef>
                      </c:ext>
                    </c:extLst>
                    <c:strCache>
                      <c:ptCount val="1"/>
                      <c:pt idx="0">
                        <c:v>Baseline Plan</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'[12]CSAR_WSR_Graph (STLA_Phantom'!$D$4:$D$13</c15:sqref>
                        </c15:formulaRef>
                      </c:ext>
                    </c:extLst>
                    <c:strCache>
                      <c:ptCount val="10"/>
                      <c:pt idx="0">
                        <c:v>45</c:v>
                      </c:pt>
                      <c:pt idx="1">
                        <c:v>46</c:v>
                      </c:pt>
                      <c:pt idx="2">
                        <c:v>47</c:v>
                      </c:pt>
                      <c:pt idx="3">
                        <c:v>48</c:v>
                      </c:pt>
                      <c:pt idx="4">
                        <c:v>49</c:v>
                      </c:pt>
                      <c:pt idx="5">
                        <c:v>50</c:v>
                      </c:pt>
                      <c:pt idx="6">
                        <c:v>51</c:v>
                      </c:pt>
                      <c:pt idx="7">
                        <c:v>52</c:v>
                      </c:pt>
                      <c:pt idx="8">
                        <c:v>1</c:v>
                      </c:pt>
                      <c:pt idx="9">
                        <c:v>2</c:v>
                      </c:pt>
                    </c:strCache>
                  </c:strRef>
                </c:cat>
                <c:val>
                  <c:numRef>
                    <c:extLst xmlns:c15="http://schemas.microsoft.com/office/drawing/2012/chart">
                      <c:ext xmlns:c15="http://schemas.microsoft.com/office/drawing/2012/chart" uri="{02D57815-91ED-43cb-92C2-25804820EDAC}">
                        <c15:formulaRef>
                          <c15:sqref>'[12]CSAR_WSR_Graph (STLA_Phantom'!$E$4:$E$16</c15:sqref>
                        </c15:formulaRef>
                      </c:ext>
                    </c:extLst>
                    <c:numCache>
                      <c:formatCode>General</c:formatCode>
                      <c:ptCount val="13"/>
                      <c:pt idx="0">
                        <c:v>0</c:v>
                      </c:pt>
                      <c:pt idx="1">
                        <c:v>0</c:v>
                      </c:pt>
                      <c:pt idx="2">
                        <c:v>0</c:v>
                      </c:pt>
                      <c:pt idx="3">
                        <c:v>2</c:v>
                      </c:pt>
                      <c:pt idx="4">
                        <c:v>3</c:v>
                      </c:pt>
                      <c:pt idx="5">
                        <c:v>4</c:v>
                      </c:pt>
                      <c:pt idx="6">
                        <c:v>1</c:v>
                      </c:pt>
                      <c:pt idx="7">
                        <c:v>0</c:v>
                      </c:pt>
                      <c:pt idx="8">
                        <c:v>0</c:v>
                      </c:pt>
                      <c:pt idx="9">
                        <c:v>0</c:v>
                      </c:pt>
                      <c:pt idx="10">
                        <c:v>0</c:v>
                      </c:pt>
                      <c:pt idx="11">
                        <c:v>0</c:v>
                      </c:pt>
                      <c:pt idx="12">
                        <c:v>0</c:v>
                      </c:pt>
                    </c:numCache>
                  </c:numRef>
                </c:val>
                <c:extLst xmlns:c15="http://schemas.microsoft.com/office/drawing/2012/chart">
                  <c:ext xmlns:c16="http://schemas.microsoft.com/office/drawing/2014/chart" uri="{C3380CC4-5D6E-409C-BE32-E72D297353CC}">
                    <c16:uniqueId val="{0000000A-DA21-41F4-BD9C-D0DF530482C0}"/>
                  </c:ext>
                </c:extLst>
              </c15:ser>
            </c15:filteredBarSeries>
            <c15:filteredBarSeries>
              <c15:ser>
                <c:idx val="8"/>
                <c:order val="5"/>
                <c:tx>
                  <c:strRef>
                    <c:extLst xmlns:c15="http://schemas.microsoft.com/office/drawing/2012/chart">
                      <c:ext xmlns:c15="http://schemas.microsoft.com/office/drawing/2012/chart" uri="{02D57815-91ED-43cb-92C2-25804820EDAC}">
                        <c15:formulaRef>
                          <c15:sqref>'[12]CSAR_WSR_Graph (STLA_Phantom'!$L$3</c15:sqref>
                        </c15:formulaRef>
                      </c:ext>
                    </c:extLst>
                    <c:strCache>
                      <c:ptCount val="1"/>
                      <c:pt idx="0">
                        <c:v>Cumulative Revised basline plan complted</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'[12]CSAR_WSR_Graph (STLA_Phantom'!$D$4:$D$13</c15:sqref>
                        </c15:formulaRef>
                      </c:ext>
                    </c:extLst>
                    <c:strCache>
                      <c:ptCount val="10"/>
                      <c:pt idx="0">
                        <c:v>45</c:v>
                      </c:pt>
                      <c:pt idx="1">
                        <c:v>46</c:v>
                      </c:pt>
                      <c:pt idx="2">
                        <c:v>47</c:v>
                      </c:pt>
                      <c:pt idx="3">
                        <c:v>48</c:v>
                      </c:pt>
                      <c:pt idx="4">
                        <c:v>49</c:v>
                      </c:pt>
                      <c:pt idx="5">
                        <c:v>50</c:v>
                      </c:pt>
                      <c:pt idx="6">
                        <c:v>51</c:v>
                      </c:pt>
                      <c:pt idx="7">
                        <c:v>52</c:v>
                      </c:pt>
                      <c:pt idx="8">
                        <c:v>1</c:v>
                      </c:pt>
                      <c:pt idx="9">
                        <c:v>2</c:v>
                      </c:pt>
                    </c:strCache>
                  </c:strRef>
                </c:cat>
                <c:val>
                  <c:numRef>
                    <c:extLst xmlns:c15="http://schemas.microsoft.com/office/drawing/2012/chart">
                      <c:ext xmlns:c15="http://schemas.microsoft.com/office/drawing/2012/chart" uri="{02D57815-91ED-43cb-92C2-25804820EDAC}">
                        <c15:formulaRef>
                          <c15:sqref>'[12]CSAR_WSR_Graph (STLA_Phantom'!$L$4:$L$5</c15:sqref>
                        </c15:formulaRef>
                      </c:ext>
                    </c:extLst>
                    <c:numCache>
                      <c:formatCode>General</c:formatCode>
                      <c:ptCount val="2"/>
                      <c:pt idx="0">
                        <c:v>0</c:v>
                      </c:pt>
                      <c:pt idx="1">
                        <c:v>0</c:v>
                      </c:pt>
                    </c:numCache>
                  </c:numRef>
                </c:val>
                <c:extLst xmlns:c15="http://schemas.microsoft.com/office/drawing/2012/chart">
                  <c:ext xmlns:c16="http://schemas.microsoft.com/office/drawing/2014/chart" uri="{C3380CC4-5D6E-409C-BE32-E72D297353CC}">
                    <c16:uniqueId val="{0000000B-DA21-41F4-BD9C-D0DF530482C0}"/>
                  </c:ext>
                </c:extLst>
              </c15:ser>
            </c15:filteredBarSeries>
          </c:ext>
        </c:extLst>
      </c:barChart>
      <c:lineChart>
        <c:grouping val="standard"/>
        <c:varyColors val="0"/>
        <c:ser>
          <c:idx val="5"/>
          <c:order val="8"/>
          <c:tx>
            <c:strRef>
              <c:f>'[12]CSAR_WSR_Graph (STLA_Phantom'!$N$3</c:f>
              <c:strCache>
                <c:ptCount val="1"/>
                <c:pt idx="0">
                  <c:v>% Completion Confidence - Overall</c:v>
                </c:pt>
              </c:strCache>
            </c:strRef>
          </c:tx>
          <c:spPr>
            <a:ln w="28575" cap="rnd">
              <a:solidFill>
                <a:srgbClr val="7030A0"/>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'[12]CSAR_WSR_Graph (STLA_Phantom'!$D$4:$D$16</c:f>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f>'[12]CSAR_WSR_Graph (STLA_Phantom'!$N$4:$N$13</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5-DA21-41F4-BD9C-D0DF530482C0}"/>
            </c:ext>
          </c:extLst>
        </c:ser>
        <c:ser>
          <c:idx val="9"/>
          <c:order val="10"/>
          <c:tx>
            <c:strRef>
              <c:f>'[12]CSAR_WSR_Graph (STLA_Phantom'!$P$3</c:f>
              <c:strCache>
                <c:ptCount val="1"/>
                <c:pt idx="0">
                  <c:v>% Actual weekly completion wr.t  revised Baseline</c:v>
                </c:pt>
              </c:strCache>
            </c:strRef>
          </c:tx>
          <c:spPr>
            <a:ln w="28575" cap="rnd">
              <a:solidFill>
                <a:schemeClr val="accent4">
                  <a:lumMod val="60000"/>
                </a:schemeClr>
              </a:solidFill>
              <a:round/>
            </a:ln>
            <a:effectLst/>
          </c:spPr>
          <c:marker>
            <c:symbol val="none"/>
          </c:marker>
          <c:dPt>
            <c:idx val="1"/>
            <c:marker>
              <c:symbol val="none"/>
            </c:marker>
            <c:bubble3D val="0"/>
            <c:spPr>
              <a:ln w="28575" cap="rnd">
                <a:solidFill>
                  <a:schemeClr val="accent4">
                    <a:lumMod val="60000"/>
                  </a:schemeClr>
                </a:solidFill>
                <a:round/>
              </a:ln>
              <a:effectLst/>
            </c:spPr>
            <c:extLst xmlns:c15="http://schemas.microsoft.com/office/drawing/2012/chart">
              <c:ext xmlns:c16="http://schemas.microsoft.com/office/drawing/2014/chart" uri="{C3380CC4-5D6E-409C-BE32-E72D297353CC}">
                <c16:uniqueId val="{00000007-DA21-41F4-BD9C-D0DF530482C0}"/>
              </c:ext>
            </c:extLst>
          </c:dPt>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'[12]CSAR_WSR_Graph (STLA_Phantom'!$D$4:$D$16</c:f>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f>'[12]CSAR_WSR_Graph (STLA_Phantom'!$P$4:$P$13</c:f>
              <c:numCache>
                <c:formatCode>General</c:formatCode>
                <c:ptCount val="10"/>
                <c:pt idx="0">
                  <c:v>1</c:v>
                </c:pt>
                <c:pt idx="1">
                  <c:v>1</c:v>
                </c:pt>
                <c:pt idx="2">
                  <c:v>1</c:v>
                </c:pt>
                <c:pt idx="3">
                  <c:v>1</c:v>
                </c:pt>
                <c:pt idx="4">
                  <c:v>1</c:v>
                </c:pt>
                <c:pt idx="5">
                  <c:v>0.77777777777777779</c:v>
                </c:pt>
                <c:pt idx="6">
                  <c:v>0.9</c:v>
                </c:pt>
                <c:pt idx="7">
                  <c:v>0.9</c:v>
                </c:pt>
                <c:pt idx="8">
                  <c:v>0.9</c:v>
                </c:pt>
                <c:pt idx="9">
                  <c:v>1</c:v>
                </c:pt>
              </c:numCache>
            </c:numRef>
          </c:val>
          <c:smooth val="0"/>
          <c:extLst xmlns:c15="http://schemas.microsoft.com/office/drawing/2012/chart">
            <c:ext xmlns:c16="http://schemas.microsoft.com/office/drawing/2014/chart" uri="{C3380CC4-5D6E-409C-BE32-E72D297353CC}">
              <c16:uniqueId val="{00000008-DA21-41F4-BD9C-D0DF530482C0}"/>
            </c:ext>
          </c:extLst>
        </c:ser>
        <c:dLbls>
          <c:showLegendKey val="0"/>
          <c:showVal val="0"/>
          <c:showCatName val="0"/>
          <c:showSerName val="0"/>
          <c:showPercent val="0"/>
          <c:showBubbleSize val="0"/>
        </c:dLbls>
        <c:marker val="1"/>
        <c:smooth val="0"/>
        <c:axId val="1521042895"/>
        <c:axId val="1521042415"/>
        <c:extLst>
          <c:ext xmlns:c15="http://schemas.microsoft.com/office/drawing/2012/chart" uri="{02D57815-91ED-43cb-92C2-25804820EDAC}">
            <c15:filteredLineSeries>
              <c15:ser>
                <c:idx val="6"/>
                <c:order val="9"/>
                <c:tx>
                  <c:strRef>
                    <c:extLst>
                      <c:ext uri="{02D57815-91ED-43cb-92C2-25804820EDAC}">
                        <c15:formulaRef>
                          <c15:sqref>'[12]CSAR_WSR_Graph (STLA_Phantom'!$O$3</c15:sqref>
                        </c15:formulaRef>
                      </c:ext>
                    </c:extLst>
                    <c:strCache>
                      <c:ptCount val="1"/>
                      <c:pt idx="0">
                        <c:v>% Actual weekly completion wr.t Baseline</c:v>
                      </c:pt>
                    </c:strCache>
                  </c:strRef>
                </c:tx>
                <c:spPr>
                  <a:ln w="28575" cap="rnd">
                    <a:solidFill>
                      <a:srgbClr val="002060"/>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'[12]CSAR_WSR_Graph (STLA_Phantom'!$D$4:$D$16</c15:sqref>
                        </c15:formulaRef>
                      </c:ext>
                    </c:extLst>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extLst>
                      <c:ext uri="{02D57815-91ED-43cb-92C2-25804820EDAC}">
                        <c15:formulaRef>
                          <c15:sqref>'[12]CSAR_WSR_Graph (STLA_Phantom'!$O$4:$O$5</c15:sqref>
                        </c15:formulaRef>
                      </c:ext>
                    </c:extLst>
                    <c:numCache>
                      <c:formatCode>General</c:formatCode>
                      <c:ptCount val="2"/>
                      <c:pt idx="0">
                        <c:v>1</c:v>
                      </c:pt>
                      <c:pt idx="1">
                        <c:v>1</c:v>
                      </c:pt>
                    </c:numCache>
                  </c:numRef>
                </c:val>
                <c:smooth val="0"/>
                <c:extLst>
                  <c:ext xmlns:c16="http://schemas.microsoft.com/office/drawing/2014/chart" uri="{C3380CC4-5D6E-409C-BE32-E72D297353CC}">
                    <c16:uniqueId val="{0000000C-DA21-41F4-BD9C-D0DF530482C0}"/>
                  </c:ext>
                </c:extLst>
              </c15:ser>
            </c15:filteredLineSeries>
          </c:ext>
        </c:extLst>
      </c:lineChart>
      <c:catAx>
        <c:axId val="1192694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696207"/>
        <c:crosses val="autoZero"/>
        <c:auto val="1"/>
        <c:lblAlgn val="ctr"/>
        <c:lblOffset val="100"/>
        <c:noMultiLvlLbl val="0"/>
      </c:catAx>
      <c:valAx>
        <c:axId val="1192696207"/>
        <c:scaling>
          <c:orientation val="minMax"/>
          <c:max val="11"/>
          <c:min val="1"/>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694767"/>
        <c:crosses val="autoZero"/>
        <c:crossBetween val="between"/>
        <c:majorUnit val="2"/>
      </c:valAx>
      <c:valAx>
        <c:axId val="1521042415"/>
        <c:scaling>
          <c:orientation val="minMax"/>
          <c:max val="1"/>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042895"/>
        <c:crosses val="max"/>
        <c:crossBetween val="between"/>
        <c:majorUnit val="0.2"/>
      </c:valAx>
      <c:catAx>
        <c:axId val="1521042895"/>
        <c:scaling>
          <c:orientation val="minMax"/>
        </c:scaling>
        <c:delete val="1"/>
        <c:axPos val="b"/>
        <c:numFmt formatCode="General" sourceLinked="1"/>
        <c:majorTickMark val="out"/>
        <c:minorTickMark val="none"/>
        <c:tickLblPos val="nextTo"/>
        <c:crossAx val="152104241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Q1'26 Implementation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2"/>
          <c:tx>
            <c:strRef>
              <c:f>'[12]CSAR_WSR_Graph (STLA_Phantom'!$I$21</c:f>
              <c:strCache>
                <c:ptCount val="1"/>
                <c:pt idx="0">
                  <c:v>Cumulative (Baseline Plan)</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'[12]CSAR_WSR_Graph (STLA_Phantom'!$D$22:$D$34</c:f>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f>'[12]CSAR_WSR_Graph (STLA_Phantom'!$I$22:$I$34</c:f>
              <c:numCache>
                <c:formatCode>General</c:formatCode>
                <c:ptCount val="13"/>
                <c:pt idx="0">
                  <c:v>0</c:v>
                </c:pt>
                <c:pt idx="1">
                  <c:v>0</c:v>
                </c:pt>
                <c:pt idx="2">
                  <c:v>0</c:v>
                </c:pt>
                <c:pt idx="3">
                  <c:v>0</c:v>
                </c:pt>
                <c:pt idx="4">
                  <c:v>0</c:v>
                </c:pt>
                <c:pt idx="5">
                  <c:v>1</c:v>
                </c:pt>
                <c:pt idx="6">
                  <c:v>2</c:v>
                </c:pt>
                <c:pt idx="7">
                  <c:v>3</c:v>
                </c:pt>
                <c:pt idx="8">
                  <c:v>3</c:v>
                </c:pt>
                <c:pt idx="9">
                  <c:v>3</c:v>
                </c:pt>
                <c:pt idx="10">
                  <c:v>5</c:v>
                </c:pt>
                <c:pt idx="11">
                  <c:v>7</c:v>
                </c:pt>
                <c:pt idx="12">
                  <c:v>11</c:v>
                </c:pt>
              </c:numCache>
            </c:numRef>
          </c:val>
          <c:extLst>
            <c:ext xmlns:c16="http://schemas.microsoft.com/office/drawing/2014/chart" uri="{C3380CC4-5D6E-409C-BE32-E72D297353CC}">
              <c16:uniqueId val="{00000000-F815-444D-A8FA-943B480D807B}"/>
            </c:ext>
          </c:extLst>
        </c:ser>
        <c:ser>
          <c:idx val="7"/>
          <c:order val="3"/>
          <c:tx>
            <c:strRef>
              <c:f>'[12]CSAR_WSR_Graph (STLA_Phantom'!$J$21</c:f>
              <c:strCache>
                <c:ptCount val="1"/>
                <c:pt idx="0">
                  <c:v>Cumulative Revised basline plan</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'[12]CSAR_WSR_Graph (STLA_Phantom'!$D$22:$D$34</c:f>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f>'[12]CSAR_WSR_Graph (STLA_Phantom'!$J$22:$J$23</c:f>
              <c:numCache>
                <c:formatCode>General</c:formatCode>
                <c:ptCount val="2"/>
                <c:pt idx="0">
                  <c:v>0</c:v>
                </c:pt>
                <c:pt idx="1">
                  <c:v>0</c:v>
                </c:pt>
              </c:numCache>
            </c:numRef>
          </c:val>
          <c:extLst xmlns:c15="http://schemas.microsoft.com/office/drawing/2012/chart">
            <c:ext xmlns:c16="http://schemas.microsoft.com/office/drawing/2014/chart" uri="{C3380CC4-5D6E-409C-BE32-E72D297353CC}">
              <c16:uniqueId val="{00000001-F815-444D-A8FA-943B480D807B}"/>
            </c:ext>
          </c:extLst>
        </c:ser>
        <c:ser>
          <c:idx val="2"/>
          <c:order val="4"/>
          <c:tx>
            <c:strRef>
              <c:f>'[12]CSAR_WSR_Graph (STLA_Phantom'!$K$21</c:f>
              <c:strCache>
                <c:ptCount val="1"/>
                <c:pt idx="0">
                  <c:v>Cumulative (Completed)</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'[12]CSAR_WSR_Graph (STLA_Phantom'!$D$22:$D$34</c:f>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f>'[12]CSAR_WSR_Graph (STLA_Phantom'!$K$22:$K$23</c:f>
              <c:numCache>
                <c:formatCode>General</c:formatCode>
                <c:ptCount val="2"/>
                <c:pt idx="0">
                  <c:v>0</c:v>
                </c:pt>
                <c:pt idx="1">
                  <c:v>0</c:v>
                </c:pt>
              </c:numCache>
            </c:numRef>
          </c:val>
          <c:extLst xmlns:c15="http://schemas.microsoft.com/office/drawing/2012/chart">
            <c:ext xmlns:c16="http://schemas.microsoft.com/office/drawing/2014/chart" uri="{C3380CC4-5D6E-409C-BE32-E72D297353CC}">
              <c16:uniqueId val="{00000002-F815-444D-A8FA-943B480D807B}"/>
            </c:ext>
          </c:extLst>
        </c:ser>
        <c:ser>
          <c:idx val="4"/>
          <c:order val="7"/>
          <c:tx>
            <c:strRef>
              <c:f>'[12]CSAR_WSR_Graph (STLA_Phantom'!$H$21</c:f>
              <c:strCache>
                <c:ptCount val="1"/>
                <c:pt idx="0">
                  <c:v>Rejected / Transferred/ Moved to next quarter</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'[12]CSAR_WSR_Graph (STLA_Phantom'!$D$22:$D$34</c:f>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f>'[12]CSAR_WSR_Graph (STLA_Phantom'!$H$22:$H$23</c:f>
              <c:numCache>
                <c:formatCode>General</c:formatCode>
                <c:ptCount val="2"/>
                <c:pt idx="0">
                  <c:v>0</c:v>
                </c:pt>
                <c:pt idx="1">
                  <c:v>0</c:v>
                </c:pt>
              </c:numCache>
            </c:numRef>
          </c:val>
          <c:extLst xmlns:c15="http://schemas.microsoft.com/office/drawing/2012/chart">
            <c:ext xmlns:c16="http://schemas.microsoft.com/office/drawing/2014/chart" uri="{C3380CC4-5D6E-409C-BE32-E72D297353CC}">
              <c16:uniqueId val="{00000003-F815-444D-A8FA-943B480D807B}"/>
            </c:ext>
          </c:extLst>
        </c:ser>
        <c:ser>
          <c:idx val="3"/>
          <c:order val="8"/>
          <c:tx>
            <c:strRef>
              <c:f>'[12]CSAR_WSR_Graph (STLA_Phantom'!$M$21</c:f>
              <c:strCache>
                <c:ptCount val="1"/>
                <c:pt idx="0">
                  <c:v>Impl In Progress</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'[12]CSAR_WSR_Graph (STLA_Phantom'!$D$22:$D$34</c:f>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f>'[12]CSAR_WSR_Graph (STLA_Phantom'!$M$22:$M$23</c:f>
              <c:numCache>
                <c:formatCode>General</c:formatCode>
                <c:ptCount val="2"/>
                <c:pt idx="0">
                  <c:v>0</c:v>
                </c:pt>
                <c:pt idx="1">
                  <c:v>0</c:v>
                </c:pt>
              </c:numCache>
            </c:numRef>
          </c:val>
          <c:extLst xmlns:c15="http://schemas.microsoft.com/office/drawing/2012/chart">
            <c:ext xmlns:c16="http://schemas.microsoft.com/office/drawing/2014/chart" uri="{C3380CC4-5D6E-409C-BE32-E72D297353CC}">
              <c16:uniqueId val="{00000004-F815-444D-A8FA-943B480D807B}"/>
            </c:ext>
          </c:extLst>
        </c:ser>
        <c:dLbls>
          <c:showLegendKey val="0"/>
          <c:showVal val="0"/>
          <c:showCatName val="0"/>
          <c:showSerName val="0"/>
          <c:showPercent val="0"/>
          <c:showBubbleSize val="0"/>
        </c:dLbls>
        <c:gapWidth val="150"/>
        <c:axId val="1533774751"/>
        <c:axId val="1533748351"/>
        <c:extLst>
          <c:ext xmlns:c15="http://schemas.microsoft.com/office/drawing/2012/chart" uri="{02D57815-91ED-43cb-92C2-25804820EDAC}">
            <c15:filteredBarSeries>
              <c15:ser>
                <c:idx val="0"/>
                <c:order val="0"/>
                <c:tx>
                  <c:strRef>
                    <c:extLst>
                      <c:ext uri="{02D57815-91ED-43cb-92C2-25804820EDAC}">
                        <c15:formulaRef>
                          <c15:sqref>'[12]CSAR_WSR_Graph (STLA_Phantom'!$D$21</c15:sqref>
                        </c15:formulaRef>
                      </c:ext>
                    </c:extLst>
                    <c:strCache>
                      <c:ptCount val="1"/>
                      <c:pt idx="0">
                        <c:v>Week No</c:v>
                      </c:pt>
                    </c:strCache>
                  </c:strRef>
                </c:tx>
                <c:spPr>
                  <a:solidFill>
                    <a:schemeClr val="accent1"/>
                  </a:solidFill>
                  <a:ln>
                    <a:noFill/>
                  </a:ln>
                  <a:effectLst/>
                </c:spPr>
                <c:invertIfNegative val="0"/>
                <c:cat>
                  <c:strRef>
                    <c:extLst>
                      <c:ext uri="{02D57815-91ED-43cb-92C2-25804820EDAC}">
                        <c15:formulaRef>
                          <c15:sqref>'[12]CSAR_WSR_Graph (STLA_Phantom'!$D$22:$D$34</c15:sqref>
                        </c15:formulaRef>
                      </c:ext>
                    </c:extLst>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extLst>
                      <c:ext uri="{02D57815-91ED-43cb-92C2-25804820EDAC}">
                        <c15:formulaRef>
                          <c15:sqref>'[12]CSAR_WSR_Graph (STLA_Phantom'!$D$22:$D$34</c15:sqref>
                        </c15:formulaRef>
                      </c:ext>
                    </c:extLst>
                    <c:numCache>
                      <c:formatCode>General</c:formatCode>
                      <c:ptCount val="13"/>
                      <c:pt idx="0">
                        <c:v>45</c:v>
                      </c:pt>
                      <c:pt idx="1">
                        <c:v>46</c:v>
                      </c:pt>
                      <c:pt idx="2">
                        <c:v>47</c:v>
                      </c:pt>
                      <c:pt idx="3">
                        <c:v>48</c:v>
                      </c:pt>
                      <c:pt idx="4">
                        <c:v>49</c:v>
                      </c:pt>
                      <c:pt idx="5">
                        <c:v>50</c:v>
                      </c:pt>
                      <c:pt idx="6">
                        <c:v>51</c:v>
                      </c:pt>
                      <c:pt idx="7">
                        <c:v>52</c:v>
                      </c:pt>
                      <c:pt idx="8">
                        <c:v>1</c:v>
                      </c:pt>
                      <c:pt idx="9">
                        <c:v>2</c:v>
                      </c:pt>
                      <c:pt idx="10">
                        <c:v>3</c:v>
                      </c:pt>
                      <c:pt idx="11">
                        <c:v>4</c:v>
                      </c:pt>
                      <c:pt idx="12">
                        <c:v>5</c:v>
                      </c:pt>
                    </c:numCache>
                  </c:numRef>
                </c:val>
                <c:extLst>
                  <c:ext xmlns:c16="http://schemas.microsoft.com/office/drawing/2014/chart" uri="{C3380CC4-5D6E-409C-BE32-E72D297353CC}">
                    <c16:uniqueId val="{00000008-F815-444D-A8FA-943B480D807B}"/>
                  </c:ext>
                </c:extLst>
              </c15:ser>
            </c15:filteredBarSeries>
            <c15:filteredBarSeries>
              <c15:ser>
                <c:idx val="10"/>
                <c:order val="1"/>
                <c:tx>
                  <c:strRef>
                    <c:extLst xmlns:c15="http://schemas.microsoft.com/office/drawing/2012/chart">
                      <c:ext xmlns:c15="http://schemas.microsoft.com/office/drawing/2012/chart" uri="{02D57815-91ED-43cb-92C2-25804820EDAC}">
                        <c15:formulaRef>
                          <c15:sqref>'[12]CSAR_WSR_Graph (STLA_Phantom'!$E$21</c15:sqref>
                        </c15:formulaRef>
                      </c:ext>
                    </c:extLst>
                    <c:strCache>
                      <c:ptCount val="1"/>
                      <c:pt idx="0">
                        <c:v>Baseline Plan</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'[12]CSAR_WSR_Graph (STLA_Phantom'!$D$22:$D$34</c15:sqref>
                        </c15:formulaRef>
                      </c:ext>
                    </c:extLst>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extLst xmlns:c15="http://schemas.microsoft.com/office/drawing/2012/chart">
                      <c:ext xmlns:c15="http://schemas.microsoft.com/office/drawing/2012/chart" uri="{02D57815-91ED-43cb-92C2-25804820EDAC}">
                        <c15:formulaRef>
                          <c15:sqref>'[12]CSAR_WSR_Graph (STLA_Phantom'!$E$22:$E$34</c15:sqref>
                        </c15:formulaRef>
                      </c:ext>
                    </c:extLst>
                    <c:numCache>
                      <c:formatCode>General</c:formatCode>
                      <c:ptCount val="13"/>
                      <c:pt idx="0">
                        <c:v>0</c:v>
                      </c:pt>
                      <c:pt idx="1">
                        <c:v>0</c:v>
                      </c:pt>
                      <c:pt idx="2">
                        <c:v>0</c:v>
                      </c:pt>
                      <c:pt idx="3">
                        <c:v>0</c:v>
                      </c:pt>
                      <c:pt idx="4">
                        <c:v>0</c:v>
                      </c:pt>
                      <c:pt idx="5">
                        <c:v>1</c:v>
                      </c:pt>
                      <c:pt idx="6">
                        <c:v>1</c:v>
                      </c:pt>
                      <c:pt idx="7">
                        <c:v>1</c:v>
                      </c:pt>
                      <c:pt idx="8">
                        <c:v>0</c:v>
                      </c:pt>
                      <c:pt idx="9">
                        <c:v>0</c:v>
                      </c:pt>
                      <c:pt idx="10">
                        <c:v>2</c:v>
                      </c:pt>
                      <c:pt idx="11">
                        <c:v>2</c:v>
                      </c:pt>
                      <c:pt idx="12">
                        <c:v>4</c:v>
                      </c:pt>
                    </c:numCache>
                  </c:numRef>
                </c:val>
                <c:extLst xmlns:c15="http://schemas.microsoft.com/office/drawing/2012/chart">
                  <c:ext xmlns:c16="http://schemas.microsoft.com/office/drawing/2014/chart" uri="{C3380CC4-5D6E-409C-BE32-E72D297353CC}">
                    <c16:uniqueId val="{00000009-F815-444D-A8FA-943B480D807B}"/>
                  </c:ext>
                </c:extLst>
              </c15:ser>
            </c15:filteredBarSeries>
            <c15:filteredBarSeries>
              <c15:ser>
                <c:idx val="8"/>
                <c:order val="5"/>
                <c:tx>
                  <c:strRef>
                    <c:extLst xmlns:c15="http://schemas.microsoft.com/office/drawing/2012/chart">
                      <c:ext xmlns:c15="http://schemas.microsoft.com/office/drawing/2012/chart" uri="{02D57815-91ED-43cb-92C2-25804820EDAC}">
                        <c15:formulaRef>
                          <c15:sqref>'[12]CSAR_WSR_Graph (STLA_Phantom'!$L$21</c15:sqref>
                        </c15:formulaRef>
                      </c:ext>
                    </c:extLst>
                    <c:strCache>
                      <c:ptCount val="1"/>
                      <c:pt idx="0">
                        <c:v>Cumulative Revised basline plan complted</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'[12]CSAR_WSR_Graph (STLA_Phantom'!$D$22:$D$34</c15:sqref>
                        </c15:formulaRef>
                      </c:ext>
                    </c:extLst>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extLst xmlns:c15="http://schemas.microsoft.com/office/drawing/2012/chart">
                      <c:ext xmlns:c15="http://schemas.microsoft.com/office/drawing/2012/chart" uri="{02D57815-91ED-43cb-92C2-25804820EDAC}">
                        <c15:formulaRef>
                          <c15:sqref>'[12]CSAR_WSR_Graph (STLA_Phantom'!$L$22:$L$23</c15:sqref>
                        </c15:formulaRef>
                      </c:ext>
                    </c:extLst>
                    <c:numCache>
                      <c:formatCode>General</c:formatCode>
                      <c:ptCount val="2"/>
                      <c:pt idx="0">
                        <c:v>0</c:v>
                      </c:pt>
                      <c:pt idx="1">
                        <c:v>0</c:v>
                      </c:pt>
                    </c:numCache>
                  </c:numRef>
                </c:val>
                <c:extLst xmlns:c15="http://schemas.microsoft.com/office/drawing/2012/chart">
                  <c:ext xmlns:c16="http://schemas.microsoft.com/office/drawing/2014/chart" uri="{C3380CC4-5D6E-409C-BE32-E72D297353CC}">
                    <c16:uniqueId val="{0000000A-F815-444D-A8FA-943B480D807B}"/>
                  </c:ext>
                </c:extLst>
              </c15:ser>
            </c15:filteredBarSeries>
          </c:ext>
        </c:extLst>
      </c:barChart>
      <c:lineChart>
        <c:grouping val="standard"/>
        <c:varyColors val="0"/>
        <c:ser>
          <c:idx val="5"/>
          <c:order val="6"/>
          <c:tx>
            <c:strRef>
              <c:f>'[12]CSAR_WSR_Graph (STLA_Phantom'!$N$21</c:f>
              <c:strCache>
                <c:ptCount val="1"/>
                <c:pt idx="0">
                  <c:v>% Completion Confidence - Overall</c:v>
                </c:pt>
              </c:strCache>
            </c:strRef>
          </c:tx>
          <c:spPr>
            <a:ln w="28575" cap="rnd">
              <a:solidFill>
                <a:srgbClr val="7030A0"/>
              </a:solidFill>
              <a:prstDash val="solid"/>
              <a:round/>
            </a:ln>
            <a:effectLst/>
          </c:spPr>
          <c:marker>
            <c:symbol val="none"/>
          </c:marker>
          <c:dLbls>
            <c:dLbl>
              <c:idx val="4"/>
              <c:layout>
                <c:manualLayout>
                  <c:x val="-4.2389881573418227E-2"/>
                  <c:y val="7.301757659240264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815-444D-A8FA-943B480D80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'[12]CSAR_WSR_Graph (STLA_Phantom'!$D$22:$D$34</c:f>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f>'[12]CSAR_WSR_Graph (STLA_Phantom'!$N$22:$N$34</c:f>
              <c:numCache>
                <c:formatCode>General</c:formatCode>
                <c:ptCount val="13"/>
                <c:pt idx="0">
                  <c:v>1</c:v>
                </c:pt>
                <c:pt idx="1">
                  <c:v>1</c:v>
                </c:pt>
                <c:pt idx="2">
                  <c:v>1</c:v>
                </c:pt>
                <c:pt idx="3">
                  <c:v>1</c:v>
                </c:pt>
                <c:pt idx="4">
                  <c:v>1</c:v>
                </c:pt>
                <c:pt idx="5">
                  <c:v>1</c:v>
                </c:pt>
                <c:pt idx="6">
                  <c:v>1</c:v>
                </c:pt>
                <c:pt idx="7">
                  <c:v>1</c:v>
                </c:pt>
                <c:pt idx="8">
                  <c:v>1</c:v>
                </c:pt>
                <c:pt idx="9">
                  <c:v>1</c:v>
                </c:pt>
                <c:pt idx="10">
                  <c:v>1</c:v>
                </c:pt>
                <c:pt idx="11">
                  <c:v>1</c:v>
                </c:pt>
                <c:pt idx="12">
                  <c:v>1</c:v>
                </c:pt>
              </c:numCache>
            </c:numRef>
          </c:val>
          <c:smooth val="0"/>
          <c:extLst>
            <c:ext xmlns:c16="http://schemas.microsoft.com/office/drawing/2014/chart" uri="{C3380CC4-5D6E-409C-BE32-E72D297353CC}">
              <c16:uniqueId val="{00000006-F815-444D-A8FA-943B480D807B}"/>
            </c:ext>
          </c:extLst>
        </c:ser>
        <c:ser>
          <c:idx val="9"/>
          <c:order val="10"/>
          <c:tx>
            <c:strRef>
              <c:f>'[12]CSAR_WSR_Graph (STLA_Phantom'!$P$21</c:f>
              <c:strCache>
                <c:ptCount val="1"/>
                <c:pt idx="0">
                  <c:v>% Actual weekly completion wr.t  revised Baseline</c:v>
                </c:pt>
              </c:strCache>
            </c:strRef>
          </c:tx>
          <c:spPr>
            <a:ln w="28575" cap="rnd">
              <a:solidFill>
                <a:schemeClr val="accent4">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'[12]CSAR_WSR_Graph (STLA_Phantom'!$D$22:$D$34</c:f>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f>'[12]CSAR_WSR_Graph (STLA_Phantom'!$P$22:$P$23</c:f>
              <c:numCache>
                <c:formatCode>General</c:formatCode>
                <c:ptCount val="2"/>
                <c:pt idx="0">
                  <c:v>1</c:v>
                </c:pt>
                <c:pt idx="1">
                  <c:v>1</c:v>
                </c:pt>
              </c:numCache>
            </c:numRef>
          </c:val>
          <c:smooth val="0"/>
          <c:extLst xmlns:c15="http://schemas.microsoft.com/office/drawing/2012/chart">
            <c:ext xmlns:c16="http://schemas.microsoft.com/office/drawing/2014/chart" uri="{C3380CC4-5D6E-409C-BE32-E72D297353CC}">
              <c16:uniqueId val="{00000007-F815-444D-A8FA-943B480D807B}"/>
            </c:ext>
          </c:extLst>
        </c:ser>
        <c:dLbls>
          <c:showLegendKey val="0"/>
          <c:showVal val="0"/>
          <c:showCatName val="0"/>
          <c:showSerName val="0"/>
          <c:showPercent val="0"/>
          <c:showBubbleSize val="0"/>
        </c:dLbls>
        <c:marker val="1"/>
        <c:smooth val="0"/>
        <c:axId val="1672005856"/>
        <c:axId val="1672023136"/>
        <c:extLst>
          <c:ext xmlns:c15="http://schemas.microsoft.com/office/drawing/2012/chart" uri="{02D57815-91ED-43cb-92C2-25804820EDAC}">
            <c15:filteredLineSeries>
              <c15:ser>
                <c:idx val="6"/>
                <c:order val="9"/>
                <c:tx>
                  <c:strRef>
                    <c:extLst>
                      <c:ext uri="{02D57815-91ED-43cb-92C2-25804820EDAC}">
                        <c15:formulaRef>
                          <c15:sqref>'[12]CSAR_WSR_Graph (STLA_Phantom'!$O$21</c15:sqref>
                        </c15:formulaRef>
                      </c:ext>
                    </c:extLst>
                    <c:strCache>
                      <c:ptCount val="1"/>
                      <c:pt idx="0">
                        <c:v>% Actual Completion - Weekly</c:v>
                      </c:pt>
                    </c:strCache>
                  </c:strRef>
                </c:tx>
                <c:spPr>
                  <a:ln w="28575" cap="rnd">
                    <a:solidFill>
                      <a:srgbClr val="002060"/>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'[12]CSAR_WSR_Graph (STLA_Phantom'!$D$22:$D$34</c15:sqref>
                        </c15:formulaRef>
                      </c:ext>
                    </c:extLst>
                    <c:strCache>
                      <c:ptCount val="13"/>
                      <c:pt idx="0">
                        <c:v>45</c:v>
                      </c:pt>
                      <c:pt idx="1">
                        <c:v>46</c:v>
                      </c:pt>
                      <c:pt idx="2">
                        <c:v>47</c:v>
                      </c:pt>
                      <c:pt idx="3">
                        <c:v>48</c:v>
                      </c:pt>
                      <c:pt idx="4">
                        <c:v>49</c:v>
                      </c:pt>
                      <c:pt idx="5">
                        <c:v>50</c:v>
                      </c:pt>
                      <c:pt idx="6">
                        <c:v>51</c:v>
                      </c:pt>
                      <c:pt idx="7">
                        <c:v>52</c:v>
                      </c:pt>
                      <c:pt idx="8">
                        <c:v>1</c:v>
                      </c:pt>
                      <c:pt idx="9">
                        <c:v>2</c:v>
                      </c:pt>
                      <c:pt idx="10">
                        <c:v>3</c:v>
                      </c:pt>
                      <c:pt idx="11">
                        <c:v>4</c:v>
                      </c:pt>
                      <c:pt idx="12">
                        <c:v>5</c:v>
                      </c:pt>
                    </c:strCache>
                  </c:strRef>
                </c:cat>
                <c:val>
                  <c:numRef>
                    <c:extLst>
                      <c:ext uri="{02D57815-91ED-43cb-92C2-25804820EDAC}">
                        <c15:formulaRef>
                          <c15:sqref>'[12]CSAR_WSR_Graph (STLA_Phantom'!$O$22:$O$23</c15:sqref>
                        </c15:formulaRef>
                      </c:ext>
                    </c:extLst>
                    <c:numCache>
                      <c:formatCode>General</c:formatCode>
                      <c:ptCount val="2"/>
                      <c:pt idx="0">
                        <c:v>1</c:v>
                      </c:pt>
                      <c:pt idx="1">
                        <c:v>1</c:v>
                      </c:pt>
                    </c:numCache>
                  </c:numRef>
                </c:val>
                <c:smooth val="0"/>
                <c:extLst>
                  <c:ext xmlns:c16="http://schemas.microsoft.com/office/drawing/2014/chart" uri="{C3380CC4-5D6E-409C-BE32-E72D297353CC}">
                    <c16:uniqueId val="{0000000B-F815-444D-A8FA-943B480D807B}"/>
                  </c:ext>
                </c:extLst>
              </c15:ser>
            </c15:filteredLineSeries>
          </c:ext>
        </c:extLst>
      </c:lineChart>
      <c:catAx>
        <c:axId val="153377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748351"/>
        <c:crosses val="autoZero"/>
        <c:auto val="1"/>
        <c:lblAlgn val="ctr"/>
        <c:lblOffset val="100"/>
        <c:noMultiLvlLbl val="0"/>
      </c:catAx>
      <c:valAx>
        <c:axId val="1533748351"/>
        <c:scaling>
          <c:orientation val="minMax"/>
          <c:max val="12"/>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774751"/>
        <c:crosses val="autoZero"/>
        <c:crossBetween val="between"/>
        <c:majorUnit val="4"/>
        <c:minorUnit val="2"/>
      </c:valAx>
      <c:valAx>
        <c:axId val="1672023136"/>
        <c:scaling>
          <c:orientation val="minMax"/>
          <c:max val="1.2"/>
          <c:min val="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2005856"/>
        <c:crosses val="max"/>
        <c:crossBetween val="between"/>
        <c:majorUnit val="0.2"/>
      </c:valAx>
      <c:catAx>
        <c:axId val="1672005856"/>
        <c:scaling>
          <c:orientation val="minMax"/>
        </c:scaling>
        <c:delete val="1"/>
        <c:axPos val="b"/>
        <c:numFmt formatCode="General" sourceLinked="1"/>
        <c:majorTickMark val="out"/>
        <c:minorTickMark val="none"/>
        <c:tickLblPos val="nextTo"/>
        <c:crossAx val="16720231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680" b="0" i="0" u="none" strike="noStrike" kern="1200" spc="0" baseline="0">
                <a:solidFill>
                  <a:schemeClr val="tx1"/>
                </a:solidFill>
                <a:latin typeface="+mn-lt"/>
                <a:ea typeface="+mn-ea"/>
                <a:cs typeface="+mn-cs"/>
              </a:defRPr>
            </a:pPr>
            <a:r>
              <a:rPr lang="en-IN" sz="1600" b="1">
                <a:solidFill>
                  <a:schemeClr val="tx1"/>
                </a:solidFill>
              </a:rPr>
              <a:t>PFS - MS 1-3 </a:t>
            </a:r>
            <a:r>
              <a:rPr lang="en-IN" sz="1600" b="1" i="0" u="none" strike="noStrike" kern="1200" cap="all" spc="0" baseline="0">
                <a:solidFill>
                  <a:schemeClr val="tx1"/>
                </a:solidFill>
              </a:rPr>
              <a:t>Revisit Planned Vs ACTUAL completed VS appeared</a:t>
            </a:r>
            <a:endParaRPr lang="en-IN" b="1">
              <a:solidFill>
                <a:schemeClr val="tx1"/>
              </a:solidFill>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680" b="0" i="0" u="none" strike="noStrike" kern="1200" spc="0" baseline="0">
              <a:solidFill>
                <a:schemeClr val="tx1"/>
              </a:solidFill>
              <a:latin typeface="+mn-lt"/>
              <a:ea typeface="+mn-ea"/>
              <a:cs typeface="+mn-cs"/>
            </a:defRPr>
          </a:pPr>
          <a:endParaRPr lang="en-IN"/>
        </a:p>
      </c:txPr>
    </c:title>
    <c:autoTitleDeleted val="0"/>
    <c:plotArea>
      <c:layout>
        <c:manualLayout>
          <c:layoutTarget val="inner"/>
          <c:xMode val="edge"/>
          <c:yMode val="edge"/>
          <c:x val="6.4721005296650203E-2"/>
          <c:y val="0.14633207197540488"/>
          <c:w val="0.79398091451277064"/>
          <c:h val="0.53356036416608399"/>
        </c:manualLayout>
      </c:layout>
      <c:lineChart>
        <c:grouping val="standard"/>
        <c:varyColors val="0"/>
        <c:ser>
          <c:idx val="0"/>
          <c:order val="0"/>
          <c:tx>
            <c:strRef>
              <c:f>'DDP_MS1-5_Plan'!$E$4</c:f>
              <c:strCache>
                <c:ptCount val="1"/>
                <c:pt idx="0">
                  <c:v>Weekly planned completion (cumulative)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'DDP_MS1-5_Plan'!$D$5:$D$10</c:f>
              <c:numCache>
                <c:formatCode>d\-mmm</c:formatCode>
                <c:ptCount val="6"/>
                <c:pt idx="0">
                  <c:v>46003</c:v>
                </c:pt>
                <c:pt idx="1">
                  <c:v>46010</c:v>
                </c:pt>
                <c:pt idx="2">
                  <c:v>46031</c:v>
                </c:pt>
                <c:pt idx="3">
                  <c:v>46038</c:v>
                </c:pt>
                <c:pt idx="4">
                  <c:v>46045</c:v>
                </c:pt>
                <c:pt idx="5">
                  <c:v>46052</c:v>
                </c:pt>
              </c:numCache>
            </c:numRef>
          </c:cat>
          <c:val>
            <c:numRef>
              <c:f>'DDP_MS1-5_Plan'!$E$5:$E$10</c:f>
              <c:numCache>
                <c:formatCode>General</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0-F107-4305-850E-9AF45D4BCC07}"/>
            </c:ext>
          </c:extLst>
        </c:ser>
        <c:ser>
          <c:idx val="1"/>
          <c:order val="1"/>
          <c:tx>
            <c:strRef>
              <c:f>'DDP_MS1-5_Plan'!$F$4</c:f>
              <c:strCache>
                <c:ptCount val="1"/>
                <c:pt idx="0">
                  <c:v>Actual completed</c:v>
                </c:pt>
              </c:strCache>
            </c:strRef>
          </c:tx>
          <c:spPr>
            <a:ln w="28575" cap="rnd">
              <a:solidFill>
                <a:srgbClr val="00FF00"/>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'DDP_MS1-5_Plan'!$D$5:$D$10</c:f>
              <c:numCache>
                <c:formatCode>d\-mmm</c:formatCode>
                <c:ptCount val="6"/>
                <c:pt idx="0">
                  <c:v>46003</c:v>
                </c:pt>
                <c:pt idx="1">
                  <c:v>46010</c:v>
                </c:pt>
                <c:pt idx="2">
                  <c:v>46031</c:v>
                </c:pt>
                <c:pt idx="3">
                  <c:v>46038</c:v>
                </c:pt>
                <c:pt idx="4">
                  <c:v>46045</c:v>
                </c:pt>
                <c:pt idx="5">
                  <c:v>46052</c:v>
                </c:pt>
              </c:numCache>
            </c:numRef>
          </c:cat>
          <c:val>
            <c:numRef>
              <c:f>'DDP_MS1-5_Plan'!$F$5:$F$10</c:f>
              <c:numCache>
                <c:formatCode>General</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1-F107-4305-850E-9AF45D4BCC07}"/>
            </c:ext>
          </c:extLst>
        </c:ser>
        <c:ser>
          <c:idx val="3"/>
          <c:order val="2"/>
          <c:tx>
            <c:strRef>
              <c:f>'DDP_MS1-5_Plan'!$G$4</c:f>
              <c:strCache>
                <c:ptCount val="1"/>
                <c:pt idx="0">
                  <c:v>Appeared</c:v>
                </c:pt>
              </c:strCache>
            </c:strRef>
          </c:tx>
          <c:spPr>
            <a:ln w="28575" cap="rnd">
              <a:solidFill>
                <a:schemeClr val="accent4"/>
              </a:solidFill>
              <a:prstDash val="sysDash"/>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chemeClr val="tx1"/>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'DDP_MS1-5_Plan'!$D$5:$D$10</c:f>
              <c:numCache>
                <c:formatCode>d\-mmm</c:formatCode>
                <c:ptCount val="6"/>
                <c:pt idx="0">
                  <c:v>46003</c:v>
                </c:pt>
                <c:pt idx="1">
                  <c:v>46010</c:v>
                </c:pt>
                <c:pt idx="2">
                  <c:v>46031</c:v>
                </c:pt>
                <c:pt idx="3">
                  <c:v>46038</c:v>
                </c:pt>
                <c:pt idx="4">
                  <c:v>46045</c:v>
                </c:pt>
                <c:pt idx="5">
                  <c:v>46052</c:v>
                </c:pt>
              </c:numCache>
            </c:numRef>
          </c:cat>
          <c:val>
            <c:numRef>
              <c:f>'DDP_MS1-5_Plan'!$G$5:$G$10</c:f>
              <c:numCache>
                <c:formatCode>General</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F107-4305-850E-9AF45D4BCC07}"/>
            </c:ext>
          </c:extLst>
        </c:ser>
        <c:dLbls>
          <c:dLblPos val="t"/>
          <c:showLegendKey val="0"/>
          <c:showVal val="1"/>
          <c:showCatName val="0"/>
          <c:showSerName val="0"/>
          <c:showPercent val="0"/>
          <c:showBubbleSize val="0"/>
        </c:dLbls>
        <c:marker val="1"/>
        <c:smooth val="0"/>
        <c:axId val="1114357631"/>
        <c:axId val="2001207263"/>
      </c:lineChart>
      <c:dateAx>
        <c:axId val="1114357631"/>
        <c:scaling>
          <c:orientation val="minMax"/>
        </c:scaling>
        <c:delete val="0"/>
        <c:axPos val="b"/>
        <c:title>
          <c:tx>
            <c:rich>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r>
                  <a:rPr lang="en-US"/>
                  <a:t>Week </a:t>
                </a:r>
              </a:p>
            </c:rich>
          </c:tx>
          <c:layout>
            <c:manualLayout>
              <c:xMode val="edge"/>
              <c:yMode val="edge"/>
              <c:x val="0.41297790901137366"/>
              <c:y val="0.89256926217556143"/>
            </c:manualLayout>
          </c:layout>
          <c:overlay val="0"/>
          <c:spPr>
            <a:noFill/>
            <a:ln>
              <a:noFill/>
            </a:ln>
            <a:effectLst/>
          </c:spPr>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title>
        <c:numFmt formatCode="d\-mmm" sourceLinked="1"/>
        <c:majorTickMark val="none"/>
        <c:minorTickMark val="none"/>
        <c:tickLblPos val="nextTo"/>
        <c:spPr>
          <a:noFill/>
          <a:ln>
            <a:noFill/>
          </a:ln>
          <a:effectLst/>
        </c:spPr>
        <c:txPr>
          <a:bodyPr rot="-2700000" spcFirstLastPara="1" vertOverflow="ellipsis" wrap="square" anchor="ctr" anchorCtr="1"/>
          <a:lstStyle/>
          <a:p>
            <a:pPr>
              <a:defRPr lang="en-US" sz="1400" b="0" i="0" u="none" strike="noStrike" kern="1200" baseline="0">
                <a:solidFill>
                  <a:schemeClr val="tx1"/>
                </a:solidFill>
                <a:latin typeface="+mn-lt"/>
                <a:ea typeface="+mn-ea"/>
                <a:cs typeface="+mn-cs"/>
              </a:defRPr>
            </a:pPr>
            <a:endParaRPr lang="en-US"/>
          </a:p>
        </c:txPr>
        <c:crossAx val="2001207263"/>
        <c:crosses val="autoZero"/>
        <c:auto val="0"/>
        <c:lblOffset val="100"/>
        <c:baseTimeUnit val="days"/>
        <c:majorUnit val="7"/>
        <c:majorTimeUnit val="days"/>
      </c:dateAx>
      <c:valAx>
        <c:axId val="2001207263"/>
        <c:scaling>
          <c:orientation val="minMax"/>
          <c:max val="12"/>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1400" b="0" i="0" u="none" strike="noStrike" kern="1200" baseline="0">
                    <a:solidFill>
                      <a:schemeClr val="tx1"/>
                    </a:solidFill>
                    <a:latin typeface="+mn-lt"/>
                    <a:ea typeface="+mn-ea"/>
                    <a:cs typeface="+mn-cs"/>
                  </a:defRPr>
                </a:pPr>
                <a:r>
                  <a:rPr lang="en-IN"/>
                  <a:t> Errors #</a:t>
                </a:r>
              </a:p>
            </c:rich>
          </c:tx>
          <c:overlay val="0"/>
          <c:spPr>
            <a:noFill/>
            <a:ln>
              <a:noFill/>
            </a:ln>
            <a:effectLst/>
          </c:spPr>
          <c:txPr>
            <a:bodyPr rot="-540000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crossAx val="1114357631"/>
        <c:crosses val="autoZero"/>
        <c:crossBetween val="between"/>
        <c:majorUnit val="2"/>
      </c:valAx>
      <c:spPr>
        <a:noFill/>
        <a:ln>
          <a:noFill/>
        </a:ln>
        <a:effectLst/>
      </c:spPr>
    </c:plotArea>
    <c:legend>
      <c:legendPos val="r"/>
      <c:layout>
        <c:manualLayout>
          <c:xMode val="edge"/>
          <c:yMode val="edge"/>
          <c:x val="0.86733460050953348"/>
          <c:y val="0.24543600213256472"/>
          <c:w val="0.13266539949046655"/>
          <c:h val="0.62973981618456509"/>
        </c:manualLayout>
      </c:layout>
      <c:overlay val="0"/>
      <c:spPr>
        <a:noFill/>
        <a:ln>
          <a:noFill/>
        </a:ln>
        <a:effectLst/>
      </c:spPr>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14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680" b="0" i="0" u="none" strike="noStrike" kern="1200" spc="0" baseline="0">
                <a:solidFill>
                  <a:schemeClr val="tx1"/>
                </a:solidFill>
                <a:latin typeface="+mn-lt"/>
                <a:ea typeface="+mn-ea"/>
                <a:cs typeface="+mn-cs"/>
              </a:defRPr>
            </a:pPr>
            <a:r>
              <a:rPr lang="en-IN" sz="1600" b="1">
                <a:solidFill>
                  <a:schemeClr val="tx1"/>
                </a:solidFill>
              </a:rPr>
              <a:t>PFS - MS 4-5 </a:t>
            </a:r>
            <a:r>
              <a:rPr lang="en-IN" sz="1600" b="1" i="0" u="none" strike="noStrike" kern="1200" cap="all" spc="0" baseline="0">
                <a:solidFill>
                  <a:schemeClr val="tx1"/>
                </a:solidFill>
              </a:rPr>
              <a:t>Revisit Planned Vs ACTUAL completed VS appeared</a:t>
            </a:r>
            <a:endParaRPr lang="en-IN" b="1">
              <a:solidFill>
                <a:schemeClr val="tx1"/>
              </a:solidFill>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680" b="0" i="0" u="none" strike="noStrike" kern="1200" spc="0" baseline="0">
              <a:solidFill>
                <a:schemeClr val="tx1"/>
              </a:solidFill>
              <a:latin typeface="+mn-lt"/>
              <a:ea typeface="+mn-ea"/>
              <a:cs typeface="+mn-cs"/>
            </a:defRPr>
          </a:pPr>
          <a:endParaRPr lang="en-IN"/>
        </a:p>
      </c:txPr>
    </c:title>
    <c:autoTitleDeleted val="0"/>
    <c:plotArea>
      <c:layout>
        <c:manualLayout>
          <c:layoutTarget val="inner"/>
          <c:xMode val="edge"/>
          <c:yMode val="edge"/>
          <c:x val="6.4721005296650203E-2"/>
          <c:y val="0.14633207197540488"/>
          <c:w val="0.79398091451277064"/>
          <c:h val="0.53356036416608399"/>
        </c:manualLayout>
      </c:layout>
      <c:lineChart>
        <c:grouping val="standard"/>
        <c:varyColors val="0"/>
        <c:ser>
          <c:idx val="0"/>
          <c:order val="0"/>
          <c:tx>
            <c:strRef>
              <c:f>'DDP_MS1-5_Plan'!$E$32</c:f>
              <c:strCache>
                <c:ptCount val="1"/>
                <c:pt idx="0">
                  <c:v>Weekly Planned (cumulative)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'DDP_MS1-5_Plan'!$D$33:$D$45</c:f>
              <c:numCache>
                <c:formatCode>d\-mmm</c:formatCode>
                <c:ptCount val="13"/>
                <c:pt idx="0">
                  <c:v>46066</c:v>
                </c:pt>
                <c:pt idx="1">
                  <c:v>46073</c:v>
                </c:pt>
                <c:pt idx="2">
                  <c:v>46080</c:v>
                </c:pt>
                <c:pt idx="3">
                  <c:v>46087</c:v>
                </c:pt>
                <c:pt idx="4">
                  <c:v>46094</c:v>
                </c:pt>
                <c:pt idx="5">
                  <c:v>46101</c:v>
                </c:pt>
                <c:pt idx="6">
                  <c:v>46108</c:v>
                </c:pt>
                <c:pt idx="7">
                  <c:v>46115</c:v>
                </c:pt>
                <c:pt idx="8">
                  <c:v>46122</c:v>
                </c:pt>
                <c:pt idx="9">
                  <c:v>46129</c:v>
                </c:pt>
                <c:pt idx="10">
                  <c:v>46139</c:v>
                </c:pt>
                <c:pt idx="11">
                  <c:v>46143</c:v>
                </c:pt>
                <c:pt idx="12">
                  <c:v>46153</c:v>
                </c:pt>
              </c:numCache>
            </c:numRef>
          </c:cat>
          <c:val>
            <c:numRef>
              <c:f>'DDP_MS1-5_Plan'!$E$33:$E$45</c:f>
              <c:numCache>
                <c:formatCode>General</c:formatCode>
                <c:ptCount val="13"/>
                <c:pt idx="0">
                  <c:v>1</c:v>
                </c:pt>
                <c:pt idx="1">
                  <c:v>1</c:v>
                </c:pt>
                <c:pt idx="2">
                  <c:v>1</c:v>
                </c:pt>
                <c:pt idx="3">
                  <c:v>2</c:v>
                </c:pt>
                <c:pt idx="4">
                  <c:v>2</c:v>
                </c:pt>
                <c:pt idx="5">
                  <c:v>2</c:v>
                </c:pt>
                <c:pt idx="6">
                  <c:v>3</c:v>
                </c:pt>
                <c:pt idx="7">
                  <c:v>3</c:v>
                </c:pt>
                <c:pt idx="8">
                  <c:v>5</c:v>
                </c:pt>
                <c:pt idx="9">
                  <c:v>7</c:v>
                </c:pt>
                <c:pt idx="10">
                  <c:v>12</c:v>
                </c:pt>
                <c:pt idx="11">
                  <c:v>14</c:v>
                </c:pt>
                <c:pt idx="12">
                  <c:v>14</c:v>
                </c:pt>
              </c:numCache>
            </c:numRef>
          </c:val>
          <c:smooth val="0"/>
          <c:extLst>
            <c:ext xmlns:c16="http://schemas.microsoft.com/office/drawing/2014/chart" uri="{C3380CC4-5D6E-409C-BE32-E72D297353CC}">
              <c16:uniqueId val="{00000000-5F93-4EA7-8A0D-D07D7E51F30F}"/>
            </c:ext>
          </c:extLst>
        </c:ser>
        <c:ser>
          <c:idx val="1"/>
          <c:order val="1"/>
          <c:tx>
            <c:strRef>
              <c:f>'DDP_MS1-5_Plan'!$F$32</c:f>
              <c:strCache>
                <c:ptCount val="1"/>
                <c:pt idx="0">
                  <c:v>Actual completed</c:v>
                </c:pt>
              </c:strCache>
            </c:strRef>
          </c:tx>
          <c:spPr>
            <a:ln w="28575" cap="rnd">
              <a:solidFill>
                <a:srgbClr val="00B050"/>
              </a:solidFill>
              <a:round/>
            </a:ln>
            <a:effectLst/>
          </c:spPr>
          <c:marker>
            <c:symbol val="circle"/>
            <c:size val="5"/>
            <c:spPr>
              <a:solidFill>
                <a:srgbClr val="92D050"/>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'DDP_MS1-5_Plan'!$D$33:$D$45</c:f>
              <c:numCache>
                <c:formatCode>d\-mmm</c:formatCode>
                <c:ptCount val="13"/>
                <c:pt idx="0">
                  <c:v>46066</c:v>
                </c:pt>
                <c:pt idx="1">
                  <c:v>46073</c:v>
                </c:pt>
                <c:pt idx="2">
                  <c:v>46080</c:v>
                </c:pt>
                <c:pt idx="3">
                  <c:v>46087</c:v>
                </c:pt>
                <c:pt idx="4">
                  <c:v>46094</c:v>
                </c:pt>
                <c:pt idx="5">
                  <c:v>46101</c:v>
                </c:pt>
                <c:pt idx="6">
                  <c:v>46108</c:v>
                </c:pt>
                <c:pt idx="7">
                  <c:v>46115</c:v>
                </c:pt>
                <c:pt idx="8">
                  <c:v>46122</c:v>
                </c:pt>
                <c:pt idx="9">
                  <c:v>46129</c:v>
                </c:pt>
                <c:pt idx="10">
                  <c:v>46139</c:v>
                </c:pt>
                <c:pt idx="11">
                  <c:v>46143</c:v>
                </c:pt>
                <c:pt idx="12">
                  <c:v>46153</c:v>
                </c:pt>
              </c:numCache>
            </c:numRef>
          </c:cat>
          <c:val>
            <c:numRef>
              <c:f>'DDP_MS1-5_Plan'!$F$33:$F$45</c:f>
              <c:numCache>
                <c:formatCode>General</c:formatCode>
                <c:ptCount val="13"/>
                <c:pt idx="0">
                  <c:v>0</c:v>
                </c:pt>
                <c:pt idx="1">
                  <c:v>1</c:v>
                </c:pt>
                <c:pt idx="2">
                  <c:v>1</c:v>
                </c:pt>
                <c:pt idx="3">
                  <c:v>2</c:v>
                </c:pt>
                <c:pt idx="4">
                  <c:v>2</c:v>
                </c:pt>
                <c:pt idx="5">
                  <c:v>2</c:v>
                </c:pt>
                <c:pt idx="6">
                  <c:v>2</c:v>
                </c:pt>
                <c:pt idx="7">
                  <c:v>2</c:v>
                </c:pt>
                <c:pt idx="8">
                  <c:v>2</c:v>
                </c:pt>
                <c:pt idx="9">
                  <c:v>5</c:v>
                </c:pt>
                <c:pt idx="10">
                  <c:v>5</c:v>
                </c:pt>
                <c:pt idx="11">
                  <c:v>5</c:v>
                </c:pt>
                <c:pt idx="12">
                  <c:v>9</c:v>
                </c:pt>
              </c:numCache>
            </c:numRef>
          </c:val>
          <c:smooth val="0"/>
          <c:extLst>
            <c:ext xmlns:c16="http://schemas.microsoft.com/office/drawing/2014/chart" uri="{C3380CC4-5D6E-409C-BE32-E72D297353CC}">
              <c16:uniqueId val="{00000001-5F93-4EA7-8A0D-D07D7E51F30F}"/>
            </c:ext>
          </c:extLst>
        </c:ser>
        <c:ser>
          <c:idx val="3"/>
          <c:order val="2"/>
          <c:tx>
            <c:strRef>
              <c:f>'DDP_MS1-5_Plan'!$G$32</c:f>
              <c:strCache>
                <c:ptCount val="1"/>
                <c:pt idx="0">
                  <c:v>Actual Appeared</c:v>
                </c:pt>
              </c:strCache>
            </c:strRef>
          </c:tx>
          <c:spPr>
            <a:ln w="28575" cap="rnd">
              <a:solidFill>
                <a:schemeClr val="accent4"/>
              </a:solidFill>
              <a:prstDash val="dash"/>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'DDP_MS1-5_Plan'!$D$33:$D$45</c:f>
              <c:numCache>
                <c:formatCode>d\-mmm</c:formatCode>
                <c:ptCount val="13"/>
                <c:pt idx="0">
                  <c:v>46066</c:v>
                </c:pt>
                <c:pt idx="1">
                  <c:v>46073</c:v>
                </c:pt>
                <c:pt idx="2">
                  <c:v>46080</c:v>
                </c:pt>
                <c:pt idx="3">
                  <c:v>46087</c:v>
                </c:pt>
                <c:pt idx="4">
                  <c:v>46094</c:v>
                </c:pt>
                <c:pt idx="5">
                  <c:v>46101</c:v>
                </c:pt>
                <c:pt idx="6">
                  <c:v>46108</c:v>
                </c:pt>
                <c:pt idx="7">
                  <c:v>46115</c:v>
                </c:pt>
                <c:pt idx="8">
                  <c:v>46122</c:v>
                </c:pt>
                <c:pt idx="9">
                  <c:v>46129</c:v>
                </c:pt>
                <c:pt idx="10">
                  <c:v>46139</c:v>
                </c:pt>
                <c:pt idx="11">
                  <c:v>46143</c:v>
                </c:pt>
                <c:pt idx="12">
                  <c:v>46153</c:v>
                </c:pt>
              </c:numCache>
            </c:numRef>
          </c:cat>
          <c:val>
            <c:numRef>
              <c:f>'DDP_MS1-5_Plan'!$G$33:$G$45</c:f>
              <c:numCache>
                <c:formatCode>General</c:formatCode>
                <c:ptCount val="13"/>
                <c:pt idx="0">
                  <c:v>1</c:v>
                </c:pt>
                <c:pt idx="1">
                  <c:v>1</c:v>
                </c:pt>
                <c:pt idx="2">
                  <c:v>2</c:v>
                </c:pt>
                <c:pt idx="3">
                  <c:v>2</c:v>
                </c:pt>
                <c:pt idx="4">
                  <c:v>2</c:v>
                </c:pt>
                <c:pt idx="5">
                  <c:v>2</c:v>
                </c:pt>
                <c:pt idx="6">
                  <c:v>3</c:v>
                </c:pt>
                <c:pt idx="7">
                  <c:v>3</c:v>
                </c:pt>
                <c:pt idx="8">
                  <c:v>5</c:v>
                </c:pt>
                <c:pt idx="9">
                  <c:v>7</c:v>
                </c:pt>
                <c:pt idx="10">
                  <c:v>7</c:v>
                </c:pt>
                <c:pt idx="11">
                  <c:v>8</c:v>
                </c:pt>
                <c:pt idx="12">
                  <c:v>11</c:v>
                </c:pt>
              </c:numCache>
            </c:numRef>
          </c:val>
          <c:smooth val="0"/>
          <c:extLst>
            <c:ext xmlns:c16="http://schemas.microsoft.com/office/drawing/2014/chart" uri="{C3380CC4-5D6E-409C-BE32-E72D297353CC}">
              <c16:uniqueId val="{00000002-5F93-4EA7-8A0D-D07D7E51F30F}"/>
            </c:ext>
          </c:extLst>
        </c:ser>
        <c:dLbls>
          <c:dLblPos val="t"/>
          <c:showLegendKey val="0"/>
          <c:showVal val="1"/>
          <c:showCatName val="0"/>
          <c:showSerName val="0"/>
          <c:showPercent val="0"/>
          <c:showBubbleSize val="0"/>
        </c:dLbls>
        <c:marker val="1"/>
        <c:smooth val="0"/>
        <c:axId val="1114357631"/>
        <c:axId val="2001207263"/>
      </c:lineChart>
      <c:dateAx>
        <c:axId val="1114357631"/>
        <c:scaling>
          <c:orientation val="minMax"/>
          <c:max val="4615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r>
                  <a:rPr lang="en-US"/>
                  <a:t>Week </a:t>
                </a:r>
              </a:p>
            </c:rich>
          </c:tx>
          <c:layout>
            <c:manualLayout>
              <c:xMode val="edge"/>
              <c:yMode val="edge"/>
              <c:x val="0.41297790901137366"/>
              <c:y val="0.89256926217556143"/>
            </c:manualLayout>
          </c:layout>
          <c:overlay val="0"/>
          <c:spPr>
            <a:noFill/>
            <a:ln>
              <a:noFill/>
            </a:ln>
            <a:effectLst/>
          </c:spPr>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title>
        <c:numFmt formatCode="d\-mmm" sourceLinked="1"/>
        <c:majorTickMark val="none"/>
        <c:minorTickMark val="none"/>
        <c:tickLblPos val="nextTo"/>
        <c:spPr>
          <a:noFill/>
          <a:ln>
            <a:noFill/>
          </a:ln>
          <a:effectLst/>
        </c:spPr>
        <c:txPr>
          <a:bodyPr rot="-2700000" spcFirstLastPara="1" vertOverflow="ellipsis" wrap="square" anchor="ctr" anchorCtr="1"/>
          <a:lstStyle/>
          <a:p>
            <a:pPr>
              <a:defRPr lang="en-US" sz="1400" b="0" i="0" u="none" strike="noStrike" kern="1200" baseline="0">
                <a:solidFill>
                  <a:schemeClr val="tx1"/>
                </a:solidFill>
                <a:latin typeface="+mn-lt"/>
                <a:ea typeface="+mn-ea"/>
                <a:cs typeface="+mn-cs"/>
              </a:defRPr>
            </a:pPr>
            <a:endParaRPr lang="en-US"/>
          </a:p>
        </c:txPr>
        <c:crossAx val="2001207263"/>
        <c:crosses val="autoZero"/>
        <c:auto val="0"/>
        <c:lblOffset val="100"/>
        <c:baseTimeUnit val="days"/>
        <c:majorUnit val="7"/>
        <c:majorTimeUnit val="days"/>
      </c:dateAx>
      <c:valAx>
        <c:axId val="2001207263"/>
        <c:scaling>
          <c:orientation val="minMax"/>
          <c:max val="24"/>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1400" b="0" i="0" u="none" strike="noStrike" kern="1200" baseline="0">
                    <a:solidFill>
                      <a:schemeClr val="tx1"/>
                    </a:solidFill>
                    <a:latin typeface="+mn-lt"/>
                    <a:ea typeface="+mn-ea"/>
                    <a:cs typeface="+mn-cs"/>
                  </a:defRPr>
                </a:pPr>
                <a:r>
                  <a:rPr lang="en-IN"/>
                  <a:t> Errors #</a:t>
                </a:r>
              </a:p>
            </c:rich>
          </c:tx>
          <c:overlay val="0"/>
          <c:spPr>
            <a:noFill/>
            <a:ln>
              <a:noFill/>
            </a:ln>
            <a:effectLst/>
          </c:spPr>
          <c:txPr>
            <a:bodyPr rot="-540000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crossAx val="1114357631"/>
        <c:crossesAt val="46066"/>
        <c:crossBetween val="midCat"/>
        <c:majorUnit val="2"/>
        <c:minorUnit val="1"/>
      </c:valAx>
      <c:spPr>
        <a:noFill/>
        <a:ln>
          <a:noFill/>
        </a:ln>
        <a:effectLst/>
      </c:spPr>
    </c:plotArea>
    <c:legend>
      <c:legendPos val="r"/>
      <c:layout>
        <c:manualLayout>
          <c:xMode val="edge"/>
          <c:yMode val="edge"/>
          <c:x val="0.86564321841903202"/>
          <c:y val="0.12171933086364091"/>
          <c:w val="0.13266539949046655"/>
          <c:h val="0.62973981618456509"/>
        </c:manualLayout>
      </c:layout>
      <c:overlay val="0"/>
      <c:spPr>
        <a:noFill/>
        <a:ln>
          <a:noFill/>
        </a:ln>
        <a:effectLst/>
      </c:spPr>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14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165100</xdr:colOff>
          <xdr:row>0</xdr:row>
          <xdr:rowOff>38100</xdr:rowOff>
        </xdr:from>
        <xdr:to>
          <xdr:col>6</xdr:col>
          <xdr:colOff>1022350</xdr:colOff>
          <xdr:row>0</xdr:row>
          <xdr:rowOff>260350</xdr:rowOff>
        </xdr:to>
        <xdr:sp macro="" textlink="">
          <xdr:nvSpPr>
            <xdr:cNvPr id="377857" name="CES_UpdatePB_Btn" hidden="1">
              <a:extLst>
                <a:ext uri="{63B3BB69-23CF-44E3-9099-C40C66FF867C}">
                  <a14:compatExt spid="_x0000_s377857"/>
                </a:ext>
                <a:ext uri="{FF2B5EF4-FFF2-40B4-BE49-F238E27FC236}">
                  <a16:creationId xmlns:a16="http://schemas.microsoft.com/office/drawing/2014/main" id="{00000000-0008-0000-0000-000001C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993300"/>
                  </a:solidFill>
                  <a:latin typeface="Calibri"/>
                  <a:ea typeface="Calibri"/>
                  <a:cs typeface="Calibri"/>
                </a:rPr>
                <a:t>CES_UpdatePB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0</xdr:row>
          <xdr:rowOff>38100</xdr:rowOff>
        </xdr:from>
        <xdr:to>
          <xdr:col>1</xdr:col>
          <xdr:colOff>965200</xdr:colOff>
          <xdr:row>0</xdr:row>
          <xdr:rowOff>260350</xdr:rowOff>
        </xdr:to>
        <xdr:sp macro="" textlink="">
          <xdr:nvSpPr>
            <xdr:cNvPr id="377858" name="CES_UpdateCQ_Btn" hidden="1">
              <a:extLst>
                <a:ext uri="{63B3BB69-23CF-44E3-9099-C40C66FF867C}">
                  <a14:compatExt spid="_x0000_s377858"/>
                </a:ext>
                <a:ext uri="{FF2B5EF4-FFF2-40B4-BE49-F238E27FC236}">
                  <a16:creationId xmlns:a16="http://schemas.microsoft.com/office/drawing/2014/main" id="{00000000-0008-0000-0000-000002C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900" b="1" i="0" u="none" strike="noStrike" baseline="0">
                  <a:solidFill>
                    <a:srgbClr val="000080"/>
                  </a:solidFill>
                  <a:latin typeface="Calibri"/>
                  <a:ea typeface="Calibri"/>
                  <a:cs typeface="Calibri"/>
                </a:rPr>
                <a:t>CES_UpdateCQ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298450</xdr:colOff>
          <xdr:row>0</xdr:row>
          <xdr:rowOff>38100</xdr:rowOff>
        </xdr:from>
        <xdr:to>
          <xdr:col>9</xdr:col>
          <xdr:colOff>1441450</xdr:colOff>
          <xdr:row>0</xdr:row>
          <xdr:rowOff>260350</xdr:rowOff>
        </xdr:to>
        <xdr:sp macro="" textlink="">
          <xdr:nvSpPr>
            <xdr:cNvPr id="377859" name="CES_ValidateSCRUM_Btn" hidden="1">
              <a:extLst>
                <a:ext uri="{63B3BB69-23CF-44E3-9099-C40C66FF867C}">
                  <a14:compatExt spid="_x0000_s377859"/>
                </a:ext>
                <a:ext uri="{FF2B5EF4-FFF2-40B4-BE49-F238E27FC236}">
                  <a16:creationId xmlns:a16="http://schemas.microsoft.com/office/drawing/2014/main" id="{00000000-0008-0000-0000-000003C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8000"/>
                  </a:solidFill>
                  <a:latin typeface="Calibri"/>
                  <a:ea typeface="Calibri"/>
                  <a:cs typeface="Calibri"/>
                </a:rPr>
                <a:t>CES_ValidateSCRUM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1555750</xdr:colOff>
          <xdr:row>0</xdr:row>
          <xdr:rowOff>69850</xdr:rowOff>
        </xdr:from>
        <xdr:to>
          <xdr:col>11</xdr:col>
          <xdr:colOff>222250</xdr:colOff>
          <xdr:row>0</xdr:row>
          <xdr:rowOff>279400</xdr:rowOff>
        </xdr:to>
        <xdr:sp macro="" textlink="">
          <xdr:nvSpPr>
            <xdr:cNvPr id="377860" name="CES_clearError_Btn" hidden="1">
              <a:extLst>
                <a:ext uri="{63B3BB69-23CF-44E3-9099-C40C66FF867C}">
                  <a14:compatExt spid="_x0000_s377860"/>
                </a:ext>
                <a:ext uri="{FF2B5EF4-FFF2-40B4-BE49-F238E27FC236}">
                  <a16:creationId xmlns:a16="http://schemas.microsoft.com/office/drawing/2014/main" id="{00000000-0008-0000-0000-000004C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FF6600"/>
                  </a:solidFill>
                  <a:latin typeface="Calibri"/>
                  <a:ea typeface="Calibri"/>
                  <a:cs typeface="Calibri"/>
                </a:rPr>
                <a:t>CES_clearError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165100</xdr:colOff>
          <xdr:row>0</xdr:row>
          <xdr:rowOff>38100</xdr:rowOff>
        </xdr:from>
        <xdr:to>
          <xdr:col>6</xdr:col>
          <xdr:colOff>1022350</xdr:colOff>
          <xdr:row>0</xdr:row>
          <xdr:rowOff>260350</xdr:rowOff>
        </xdr:to>
        <xdr:sp macro="" textlink="">
          <xdr:nvSpPr>
            <xdr:cNvPr id="377861" name="Button 5" hidden="1">
              <a:extLst>
                <a:ext uri="{63B3BB69-23CF-44E3-9099-C40C66FF867C}">
                  <a14:compatExt spid="_x0000_s377861"/>
                </a:ext>
                <a:ext uri="{FF2B5EF4-FFF2-40B4-BE49-F238E27FC236}">
                  <a16:creationId xmlns:a16="http://schemas.microsoft.com/office/drawing/2014/main" id="{00000000-0008-0000-0000-000005C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993300"/>
                  </a:solidFill>
                  <a:latin typeface="Calibri"/>
                  <a:ea typeface="Calibri"/>
                  <a:cs typeface="Calibri"/>
                </a:rPr>
                <a:t>CES_UpdatePB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0</xdr:row>
          <xdr:rowOff>38100</xdr:rowOff>
        </xdr:from>
        <xdr:to>
          <xdr:col>1</xdr:col>
          <xdr:colOff>965200</xdr:colOff>
          <xdr:row>0</xdr:row>
          <xdr:rowOff>260350</xdr:rowOff>
        </xdr:to>
        <xdr:sp macro="" textlink="">
          <xdr:nvSpPr>
            <xdr:cNvPr id="377862" name="Button 6" hidden="1">
              <a:extLst>
                <a:ext uri="{63B3BB69-23CF-44E3-9099-C40C66FF867C}">
                  <a14:compatExt spid="_x0000_s377862"/>
                </a:ext>
                <a:ext uri="{FF2B5EF4-FFF2-40B4-BE49-F238E27FC236}">
                  <a16:creationId xmlns:a16="http://schemas.microsoft.com/office/drawing/2014/main" id="{00000000-0008-0000-0000-000006C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900" b="1" i="0" u="none" strike="noStrike" baseline="0">
                  <a:solidFill>
                    <a:srgbClr val="000080"/>
                  </a:solidFill>
                  <a:latin typeface="Calibri"/>
                  <a:ea typeface="Calibri"/>
                  <a:cs typeface="Calibri"/>
                </a:rPr>
                <a:t>CES_UpdateCQ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298450</xdr:colOff>
          <xdr:row>0</xdr:row>
          <xdr:rowOff>38100</xdr:rowOff>
        </xdr:from>
        <xdr:to>
          <xdr:col>9</xdr:col>
          <xdr:colOff>1441450</xdr:colOff>
          <xdr:row>0</xdr:row>
          <xdr:rowOff>260350</xdr:rowOff>
        </xdr:to>
        <xdr:sp macro="" textlink="">
          <xdr:nvSpPr>
            <xdr:cNvPr id="377863" name="Button 7" hidden="1">
              <a:extLst>
                <a:ext uri="{63B3BB69-23CF-44E3-9099-C40C66FF867C}">
                  <a14:compatExt spid="_x0000_s377863"/>
                </a:ext>
                <a:ext uri="{FF2B5EF4-FFF2-40B4-BE49-F238E27FC236}">
                  <a16:creationId xmlns:a16="http://schemas.microsoft.com/office/drawing/2014/main" id="{00000000-0008-0000-0000-000007C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8000"/>
                  </a:solidFill>
                  <a:latin typeface="Calibri"/>
                  <a:ea typeface="Calibri"/>
                  <a:cs typeface="Calibri"/>
                </a:rPr>
                <a:t>CES_ValidateSCRUM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1555750</xdr:colOff>
          <xdr:row>0</xdr:row>
          <xdr:rowOff>69850</xdr:rowOff>
        </xdr:from>
        <xdr:to>
          <xdr:col>11</xdr:col>
          <xdr:colOff>222250</xdr:colOff>
          <xdr:row>0</xdr:row>
          <xdr:rowOff>279400</xdr:rowOff>
        </xdr:to>
        <xdr:sp macro="" textlink="">
          <xdr:nvSpPr>
            <xdr:cNvPr id="377864" name="Button 8" hidden="1">
              <a:extLst>
                <a:ext uri="{63B3BB69-23CF-44E3-9099-C40C66FF867C}">
                  <a14:compatExt spid="_x0000_s377864"/>
                </a:ext>
                <a:ext uri="{FF2B5EF4-FFF2-40B4-BE49-F238E27FC236}">
                  <a16:creationId xmlns:a16="http://schemas.microsoft.com/office/drawing/2014/main" id="{00000000-0008-0000-0000-000008C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FF6600"/>
                  </a:solidFill>
                  <a:latin typeface="Calibri"/>
                  <a:ea typeface="Calibri"/>
                  <a:cs typeface="Calibri"/>
                </a:rPr>
                <a:t>CES_clearError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165100</xdr:colOff>
          <xdr:row>0</xdr:row>
          <xdr:rowOff>38100</xdr:rowOff>
        </xdr:from>
        <xdr:to>
          <xdr:col>6</xdr:col>
          <xdr:colOff>1022350</xdr:colOff>
          <xdr:row>0</xdr:row>
          <xdr:rowOff>260350</xdr:rowOff>
        </xdr:to>
        <xdr:sp macro="" textlink="">
          <xdr:nvSpPr>
            <xdr:cNvPr id="16614" name="CES_UpdatePB_Btn" hidden="1">
              <a:extLst>
                <a:ext uri="{63B3BB69-23CF-44E3-9099-C40C66FF867C}">
                  <a14:compatExt spid="_x0000_s16614"/>
                </a:ext>
                <a:ext uri="{FF2B5EF4-FFF2-40B4-BE49-F238E27FC236}">
                  <a16:creationId xmlns:a16="http://schemas.microsoft.com/office/drawing/2014/main" id="{00000000-0008-0000-0500-0000E6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993300"/>
                  </a:solidFill>
                  <a:latin typeface="Calibri"/>
                  <a:ea typeface="Calibri"/>
                  <a:cs typeface="Calibri"/>
                </a:rPr>
                <a:t>CES_UpdatePB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0</xdr:row>
          <xdr:rowOff>38100</xdr:rowOff>
        </xdr:from>
        <xdr:to>
          <xdr:col>1</xdr:col>
          <xdr:colOff>965200</xdr:colOff>
          <xdr:row>0</xdr:row>
          <xdr:rowOff>260350</xdr:rowOff>
        </xdr:to>
        <xdr:sp macro="" textlink="">
          <xdr:nvSpPr>
            <xdr:cNvPr id="16615" name="CES_UpdateCQ_Btn" hidden="1">
              <a:extLst>
                <a:ext uri="{63B3BB69-23CF-44E3-9099-C40C66FF867C}">
                  <a14:compatExt spid="_x0000_s16615"/>
                </a:ext>
                <a:ext uri="{FF2B5EF4-FFF2-40B4-BE49-F238E27FC236}">
                  <a16:creationId xmlns:a16="http://schemas.microsoft.com/office/drawing/2014/main" id="{00000000-0008-0000-0500-0000E7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900" b="1" i="0" u="none" strike="noStrike" baseline="0">
                  <a:solidFill>
                    <a:srgbClr val="000080"/>
                  </a:solidFill>
                  <a:latin typeface="Calibri"/>
                  <a:ea typeface="Calibri"/>
                  <a:cs typeface="Calibri"/>
                </a:rPr>
                <a:t>CES_UpdateCQ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298450</xdr:colOff>
          <xdr:row>0</xdr:row>
          <xdr:rowOff>38100</xdr:rowOff>
        </xdr:from>
        <xdr:to>
          <xdr:col>9</xdr:col>
          <xdr:colOff>1441450</xdr:colOff>
          <xdr:row>0</xdr:row>
          <xdr:rowOff>260350</xdr:rowOff>
        </xdr:to>
        <xdr:sp macro="" textlink="">
          <xdr:nvSpPr>
            <xdr:cNvPr id="16616" name="CES_ValidateSCRUM_Btn" hidden="1">
              <a:extLst>
                <a:ext uri="{63B3BB69-23CF-44E3-9099-C40C66FF867C}">
                  <a14:compatExt spid="_x0000_s16616"/>
                </a:ext>
                <a:ext uri="{FF2B5EF4-FFF2-40B4-BE49-F238E27FC236}">
                  <a16:creationId xmlns:a16="http://schemas.microsoft.com/office/drawing/2014/main" id="{00000000-0008-0000-0500-0000E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8000"/>
                  </a:solidFill>
                  <a:latin typeface="Calibri"/>
                  <a:ea typeface="Calibri"/>
                  <a:cs typeface="Calibri"/>
                </a:rPr>
                <a:t>CES_ValidateSCRUM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1555750</xdr:colOff>
          <xdr:row>0</xdr:row>
          <xdr:rowOff>69850</xdr:rowOff>
        </xdr:from>
        <xdr:to>
          <xdr:col>11</xdr:col>
          <xdr:colOff>222250</xdr:colOff>
          <xdr:row>0</xdr:row>
          <xdr:rowOff>279400</xdr:rowOff>
        </xdr:to>
        <xdr:sp macro="" textlink="">
          <xdr:nvSpPr>
            <xdr:cNvPr id="16617" name="CES_clearError_Btn" hidden="1">
              <a:extLst>
                <a:ext uri="{63B3BB69-23CF-44E3-9099-C40C66FF867C}">
                  <a14:compatExt spid="_x0000_s16617"/>
                </a:ext>
                <a:ext uri="{FF2B5EF4-FFF2-40B4-BE49-F238E27FC236}">
                  <a16:creationId xmlns:a16="http://schemas.microsoft.com/office/drawing/2014/main" id="{00000000-0008-0000-0500-0000E9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FF6600"/>
                  </a:solidFill>
                  <a:latin typeface="Calibri"/>
                  <a:ea typeface="Calibri"/>
                  <a:cs typeface="Calibri"/>
                </a:rPr>
                <a:t>CES_clearError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165100</xdr:colOff>
          <xdr:row>0</xdr:row>
          <xdr:rowOff>38100</xdr:rowOff>
        </xdr:from>
        <xdr:to>
          <xdr:col>6</xdr:col>
          <xdr:colOff>1022350</xdr:colOff>
          <xdr:row>0</xdr:row>
          <xdr:rowOff>260350</xdr:rowOff>
        </xdr:to>
        <xdr:sp macro="" textlink="">
          <xdr:nvSpPr>
            <xdr:cNvPr id="269751" name="CES_UpdatePB_Btn" hidden="1">
              <a:extLst>
                <a:ext uri="{63B3BB69-23CF-44E3-9099-C40C66FF867C}">
                  <a14:compatExt spid="_x0000_s269751"/>
                </a:ext>
                <a:ext uri="{FF2B5EF4-FFF2-40B4-BE49-F238E27FC236}">
                  <a16:creationId xmlns:a16="http://schemas.microsoft.com/office/drawing/2014/main" id="{00000000-0008-0000-0500-0000B71D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993300"/>
                  </a:solidFill>
                  <a:latin typeface="Calibri"/>
                  <a:ea typeface="Calibri"/>
                  <a:cs typeface="Calibri"/>
                </a:rPr>
                <a:t>CES_UpdatePB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0</xdr:row>
          <xdr:rowOff>38100</xdr:rowOff>
        </xdr:from>
        <xdr:to>
          <xdr:col>1</xdr:col>
          <xdr:colOff>965200</xdr:colOff>
          <xdr:row>0</xdr:row>
          <xdr:rowOff>260350</xdr:rowOff>
        </xdr:to>
        <xdr:sp macro="" textlink="">
          <xdr:nvSpPr>
            <xdr:cNvPr id="269752" name="CES_UpdateCQ_Btn" hidden="1">
              <a:extLst>
                <a:ext uri="{63B3BB69-23CF-44E3-9099-C40C66FF867C}">
                  <a14:compatExt spid="_x0000_s269752"/>
                </a:ext>
                <a:ext uri="{FF2B5EF4-FFF2-40B4-BE49-F238E27FC236}">
                  <a16:creationId xmlns:a16="http://schemas.microsoft.com/office/drawing/2014/main" id="{00000000-0008-0000-0500-0000B81D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900" b="1" i="0" u="none" strike="noStrike" baseline="0">
                  <a:solidFill>
                    <a:srgbClr val="000080"/>
                  </a:solidFill>
                  <a:latin typeface="Calibri"/>
                  <a:ea typeface="Calibri"/>
                  <a:cs typeface="Calibri"/>
                </a:rPr>
                <a:t>CES_UpdateCQ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298450</xdr:colOff>
          <xdr:row>0</xdr:row>
          <xdr:rowOff>38100</xdr:rowOff>
        </xdr:from>
        <xdr:to>
          <xdr:col>9</xdr:col>
          <xdr:colOff>1441450</xdr:colOff>
          <xdr:row>0</xdr:row>
          <xdr:rowOff>260350</xdr:rowOff>
        </xdr:to>
        <xdr:sp macro="" textlink="">
          <xdr:nvSpPr>
            <xdr:cNvPr id="269753" name="CES_ValidateSCRUM_Btn" hidden="1">
              <a:extLst>
                <a:ext uri="{63B3BB69-23CF-44E3-9099-C40C66FF867C}">
                  <a14:compatExt spid="_x0000_s269753"/>
                </a:ext>
                <a:ext uri="{FF2B5EF4-FFF2-40B4-BE49-F238E27FC236}">
                  <a16:creationId xmlns:a16="http://schemas.microsoft.com/office/drawing/2014/main" id="{00000000-0008-0000-0500-0000B91D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8000"/>
                  </a:solidFill>
                  <a:latin typeface="Calibri"/>
                  <a:ea typeface="Calibri"/>
                  <a:cs typeface="Calibri"/>
                </a:rPr>
                <a:t>CES_ValidateSCRUM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1555750</xdr:colOff>
          <xdr:row>0</xdr:row>
          <xdr:rowOff>69850</xdr:rowOff>
        </xdr:from>
        <xdr:to>
          <xdr:col>11</xdr:col>
          <xdr:colOff>222250</xdr:colOff>
          <xdr:row>0</xdr:row>
          <xdr:rowOff>279400</xdr:rowOff>
        </xdr:to>
        <xdr:sp macro="" textlink="">
          <xdr:nvSpPr>
            <xdr:cNvPr id="269754" name="CES_clearError_Btn" hidden="1">
              <a:extLst>
                <a:ext uri="{63B3BB69-23CF-44E3-9099-C40C66FF867C}">
                  <a14:compatExt spid="_x0000_s269754"/>
                </a:ext>
                <a:ext uri="{FF2B5EF4-FFF2-40B4-BE49-F238E27FC236}">
                  <a16:creationId xmlns:a16="http://schemas.microsoft.com/office/drawing/2014/main" id="{00000000-0008-0000-0500-0000BA1D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FF6600"/>
                  </a:solidFill>
                  <a:latin typeface="Calibri"/>
                  <a:ea typeface="Calibri"/>
                  <a:cs typeface="Calibri"/>
                </a:rPr>
                <a:t>CES_clearError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19</xdr:col>
      <xdr:colOff>590550</xdr:colOff>
      <xdr:row>2</xdr:row>
      <xdr:rowOff>390525</xdr:rowOff>
    </xdr:from>
    <xdr:to>
      <xdr:col>38</xdr:col>
      <xdr:colOff>352425</xdr:colOff>
      <xdr:row>12</xdr:row>
      <xdr:rowOff>171450</xdr:rowOff>
    </xdr:to>
    <xdr:graphicFrame macro="">
      <xdr:nvGraphicFramePr>
        <xdr:cNvPr id="12" name="Chart 1">
          <a:extLst>
            <a:ext uri="{FF2B5EF4-FFF2-40B4-BE49-F238E27FC236}">
              <a16:creationId xmlns:a16="http://schemas.microsoft.com/office/drawing/2014/main" id="{2E5BD327-B743-49C6-85DD-F2606BCC6B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130908</xdr:colOff>
      <xdr:row>20</xdr:row>
      <xdr:rowOff>138235</xdr:rowOff>
    </xdr:from>
    <xdr:to>
      <xdr:col>38</xdr:col>
      <xdr:colOff>29308</xdr:colOff>
      <xdr:row>30</xdr:row>
      <xdr:rowOff>142631</xdr:rowOff>
    </xdr:to>
    <xdr:graphicFrame macro="">
      <xdr:nvGraphicFramePr>
        <xdr:cNvPr id="9" name="Chart 2">
          <a:extLst>
            <a:ext uri="{FF2B5EF4-FFF2-40B4-BE49-F238E27FC236}">
              <a16:creationId xmlns:a16="http://schemas.microsoft.com/office/drawing/2014/main" id="{1EFAD75A-D93D-49F9-8701-7ADF39560934}"/>
            </a:ext>
            <a:ext uri="{147F2762-F138-4A5C-976F-8EAC2B608ADB}">
              <a16:predDERef xmlns:a16="http://schemas.microsoft.com/office/drawing/2014/main" pred="{2E5BD327-B743-49C6-85DD-F2606BCC6B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103415</xdr:colOff>
      <xdr:row>16</xdr:row>
      <xdr:rowOff>46264</xdr:rowOff>
    </xdr:from>
    <xdr:to>
      <xdr:col>24</xdr:col>
      <xdr:colOff>288146</xdr:colOff>
      <xdr:row>17</xdr:row>
      <xdr:rowOff>120324</xdr:rowOff>
    </xdr:to>
    <xdr:sp macro="" textlink="">
      <xdr:nvSpPr>
        <xdr:cNvPr id="4" name="TextBox 3">
          <a:extLst>
            <a:ext uri="{FF2B5EF4-FFF2-40B4-BE49-F238E27FC236}">
              <a16:creationId xmlns:a16="http://schemas.microsoft.com/office/drawing/2014/main" id="{221B2E4A-0D64-431E-AAFC-C777133C60C5}"/>
            </a:ext>
            <a:ext uri="{147F2762-F138-4A5C-976F-8EAC2B608ADB}">
              <a16:predDERef xmlns:a16="http://schemas.microsoft.com/office/drawing/2014/main" pred="{1EFAD75A-D93D-49F9-8701-7ADF39560934}"/>
            </a:ext>
          </a:extLst>
        </xdr:cNvPr>
        <xdr:cNvSpPr txBox="1"/>
      </xdr:nvSpPr>
      <xdr:spPr>
        <a:xfrm>
          <a:off x="18886715" y="697093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IN"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165100</xdr:colOff>
          <xdr:row>0</xdr:row>
          <xdr:rowOff>38100</xdr:rowOff>
        </xdr:from>
        <xdr:to>
          <xdr:col>6</xdr:col>
          <xdr:colOff>1022350</xdr:colOff>
          <xdr:row>0</xdr:row>
          <xdr:rowOff>260350</xdr:rowOff>
        </xdr:to>
        <xdr:sp macro="" textlink="">
          <xdr:nvSpPr>
            <xdr:cNvPr id="421889" name="CES_UpdatePB_Btn" hidden="1">
              <a:extLst>
                <a:ext uri="{63B3BB69-23CF-44E3-9099-C40C66FF867C}">
                  <a14:compatExt spid="_x0000_s421889"/>
                </a:ext>
                <a:ext uri="{FF2B5EF4-FFF2-40B4-BE49-F238E27FC236}">
                  <a16:creationId xmlns:a16="http://schemas.microsoft.com/office/drawing/2014/main" id="{00000000-0008-0000-0800-00000170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993300"/>
                  </a:solidFill>
                  <a:latin typeface="Calibri"/>
                  <a:ea typeface="Calibri"/>
                  <a:cs typeface="Calibri"/>
                </a:rPr>
                <a:t>CES_UpdatePB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0</xdr:row>
          <xdr:rowOff>38100</xdr:rowOff>
        </xdr:from>
        <xdr:to>
          <xdr:col>1</xdr:col>
          <xdr:colOff>965200</xdr:colOff>
          <xdr:row>0</xdr:row>
          <xdr:rowOff>260350</xdr:rowOff>
        </xdr:to>
        <xdr:sp macro="" textlink="">
          <xdr:nvSpPr>
            <xdr:cNvPr id="421890" name="CES_UpdateCQ_Btn" hidden="1">
              <a:extLst>
                <a:ext uri="{63B3BB69-23CF-44E3-9099-C40C66FF867C}">
                  <a14:compatExt spid="_x0000_s421890"/>
                </a:ext>
                <a:ext uri="{FF2B5EF4-FFF2-40B4-BE49-F238E27FC236}">
                  <a16:creationId xmlns:a16="http://schemas.microsoft.com/office/drawing/2014/main" id="{00000000-0008-0000-0800-00000270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900" b="1" i="0" u="none" strike="noStrike" baseline="0">
                  <a:solidFill>
                    <a:srgbClr val="000080"/>
                  </a:solidFill>
                  <a:latin typeface="Calibri"/>
                  <a:ea typeface="Calibri"/>
                  <a:cs typeface="Calibri"/>
                </a:rPr>
                <a:t>CES_UpdateCQ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165100</xdr:colOff>
          <xdr:row>0</xdr:row>
          <xdr:rowOff>38100</xdr:rowOff>
        </xdr:from>
        <xdr:to>
          <xdr:col>6</xdr:col>
          <xdr:colOff>1022350</xdr:colOff>
          <xdr:row>0</xdr:row>
          <xdr:rowOff>260350</xdr:rowOff>
        </xdr:to>
        <xdr:sp macro="" textlink="">
          <xdr:nvSpPr>
            <xdr:cNvPr id="421893" name="Button 5" hidden="1">
              <a:extLst>
                <a:ext uri="{63B3BB69-23CF-44E3-9099-C40C66FF867C}">
                  <a14:compatExt spid="_x0000_s421893"/>
                </a:ext>
                <a:ext uri="{FF2B5EF4-FFF2-40B4-BE49-F238E27FC236}">
                  <a16:creationId xmlns:a16="http://schemas.microsoft.com/office/drawing/2014/main" id="{00000000-0008-0000-0800-00000570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993300"/>
                  </a:solidFill>
                  <a:latin typeface="Calibri"/>
                  <a:ea typeface="Calibri"/>
                  <a:cs typeface="Calibri"/>
                </a:rPr>
                <a:t>CES_UpdatePB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0</xdr:row>
          <xdr:rowOff>38100</xdr:rowOff>
        </xdr:from>
        <xdr:to>
          <xdr:col>1</xdr:col>
          <xdr:colOff>965200</xdr:colOff>
          <xdr:row>0</xdr:row>
          <xdr:rowOff>260350</xdr:rowOff>
        </xdr:to>
        <xdr:sp macro="" textlink="">
          <xdr:nvSpPr>
            <xdr:cNvPr id="421894" name="Button 6" hidden="1">
              <a:extLst>
                <a:ext uri="{63B3BB69-23CF-44E3-9099-C40C66FF867C}">
                  <a14:compatExt spid="_x0000_s421894"/>
                </a:ext>
                <a:ext uri="{FF2B5EF4-FFF2-40B4-BE49-F238E27FC236}">
                  <a16:creationId xmlns:a16="http://schemas.microsoft.com/office/drawing/2014/main" id="{00000000-0008-0000-0800-00000670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900" b="1" i="0" u="none" strike="noStrike" baseline="0">
                  <a:solidFill>
                    <a:srgbClr val="000080"/>
                  </a:solidFill>
                  <a:latin typeface="Calibri"/>
                  <a:ea typeface="Calibri"/>
                  <a:cs typeface="Calibri"/>
                </a:rPr>
                <a:t>CES_UpdateCQ</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165100</xdr:colOff>
          <xdr:row>0</xdr:row>
          <xdr:rowOff>38100</xdr:rowOff>
        </xdr:from>
        <xdr:to>
          <xdr:col>6</xdr:col>
          <xdr:colOff>1022350</xdr:colOff>
          <xdr:row>0</xdr:row>
          <xdr:rowOff>260350</xdr:rowOff>
        </xdr:to>
        <xdr:sp macro="" textlink="">
          <xdr:nvSpPr>
            <xdr:cNvPr id="402433" name="CES_UpdatePB_Btn" hidden="1">
              <a:extLst>
                <a:ext uri="{63B3BB69-23CF-44E3-9099-C40C66FF867C}">
                  <a14:compatExt spid="_x0000_s402433"/>
                </a:ext>
                <a:ext uri="{FF2B5EF4-FFF2-40B4-BE49-F238E27FC236}">
                  <a16:creationId xmlns:a16="http://schemas.microsoft.com/office/drawing/2014/main" id="{00000000-0008-0000-0900-0000012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993300"/>
                  </a:solidFill>
                  <a:latin typeface="Calibri"/>
                  <a:ea typeface="Calibri"/>
                  <a:cs typeface="Calibri"/>
                </a:rPr>
                <a:t>CES_UpdatePB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0</xdr:row>
          <xdr:rowOff>38100</xdr:rowOff>
        </xdr:from>
        <xdr:to>
          <xdr:col>1</xdr:col>
          <xdr:colOff>965200</xdr:colOff>
          <xdr:row>0</xdr:row>
          <xdr:rowOff>260350</xdr:rowOff>
        </xdr:to>
        <xdr:sp macro="" textlink="">
          <xdr:nvSpPr>
            <xdr:cNvPr id="402434" name="CES_UpdateCQ_Btn" hidden="1">
              <a:extLst>
                <a:ext uri="{63B3BB69-23CF-44E3-9099-C40C66FF867C}">
                  <a14:compatExt spid="_x0000_s402434"/>
                </a:ext>
                <a:ext uri="{FF2B5EF4-FFF2-40B4-BE49-F238E27FC236}">
                  <a16:creationId xmlns:a16="http://schemas.microsoft.com/office/drawing/2014/main" id="{00000000-0008-0000-0900-0000022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900" b="1" i="0" u="none" strike="noStrike" baseline="0">
                  <a:solidFill>
                    <a:srgbClr val="000080"/>
                  </a:solidFill>
                  <a:latin typeface="Calibri"/>
                  <a:ea typeface="Calibri"/>
                  <a:cs typeface="Calibri"/>
                </a:rPr>
                <a:t>CES_UpdateCQ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298450</xdr:colOff>
          <xdr:row>0</xdr:row>
          <xdr:rowOff>38100</xdr:rowOff>
        </xdr:from>
        <xdr:to>
          <xdr:col>9</xdr:col>
          <xdr:colOff>1441450</xdr:colOff>
          <xdr:row>0</xdr:row>
          <xdr:rowOff>260350</xdr:rowOff>
        </xdr:to>
        <xdr:sp macro="" textlink="">
          <xdr:nvSpPr>
            <xdr:cNvPr id="402435" name="CES_ValidateSCRUM_Btn" hidden="1">
              <a:extLst>
                <a:ext uri="{63B3BB69-23CF-44E3-9099-C40C66FF867C}">
                  <a14:compatExt spid="_x0000_s402435"/>
                </a:ext>
                <a:ext uri="{FF2B5EF4-FFF2-40B4-BE49-F238E27FC236}">
                  <a16:creationId xmlns:a16="http://schemas.microsoft.com/office/drawing/2014/main" id="{00000000-0008-0000-0900-0000032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8000"/>
                  </a:solidFill>
                  <a:latin typeface="Calibri"/>
                  <a:ea typeface="Calibri"/>
                  <a:cs typeface="Calibri"/>
                </a:rPr>
                <a:t>CES_ValidateSCRUM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1555750</xdr:colOff>
          <xdr:row>0</xdr:row>
          <xdr:rowOff>69850</xdr:rowOff>
        </xdr:from>
        <xdr:to>
          <xdr:col>11</xdr:col>
          <xdr:colOff>222250</xdr:colOff>
          <xdr:row>0</xdr:row>
          <xdr:rowOff>279400</xdr:rowOff>
        </xdr:to>
        <xdr:sp macro="" textlink="">
          <xdr:nvSpPr>
            <xdr:cNvPr id="402436" name="CES_clearError_Btn" hidden="1">
              <a:extLst>
                <a:ext uri="{63B3BB69-23CF-44E3-9099-C40C66FF867C}">
                  <a14:compatExt spid="_x0000_s402436"/>
                </a:ext>
                <a:ext uri="{FF2B5EF4-FFF2-40B4-BE49-F238E27FC236}">
                  <a16:creationId xmlns:a16="http://schemas.microsoft.com/office/drawing/2014/main" id="{00000000-0008-0000-0900-0000042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FF6600"/>
                  </a:solidFill>
                  <a:latin typeface="Calibri"/>
                  <a:ea typeface="Calibri"/>
                  <a:cs typeface="Calibri"/>
                </a:rPr>
                <a:t>CES_clearError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165100</xdr:colOff>
          <xdr:row>0</xdr:row>
          <xdr:rowOff>38100</xdr:rowOff>
        </xdr:from>
        <xdr:to>
          <xdr:col>6</xdr:col>
          <xdr:colOff>1022350</xdr:colOff>
          <xdr:row>0</xdr:row>
          <xdr:rowOff>260350</xdr:rowOff>
        </xdr:to>
        <xdr:sp macro="" textlink="">
          <xdr:nvSpPr>
            <xdr:cNvPr id="402437" name="CES_UpdatePB_Btn" hidden="1">
              <a:extLst>
                <a:ext uri="{63B3BB69-23CF-44E3-9099-C40C66FF867C}">
                  <a14:compatExt spid="_x0000_s402437"/>
                </a:ext>
                <a:ext uri="{FF2B5EF4-FFF2-40B4-BE49-F238E27FC236}">
                  <a16:creationId xmlns:a16="http://schemas.microsoft.com/office/drawing/2014/main" id="{00000000-0008-0000-0900-0000052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993300"/>
                  </a:solidFill>
                  <a:latin typeface="Calibri"/>
                  <a:ea typeface="Calibri"/>
                  <a:cs typeface="Calibri"/>
                </a:rPr>
                <a:t>CES_UpdatePB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0</xdr:row>
          <xdr:rowOff>38100</xdr:rowOff>
        </xdr:from>
        <xdr:to>
          <xdr:col>1</xdr:col>
          <xdr:colOff>965200</xdr:colOff>
          <xdr:row>0</xdr:row>
          <xdr:rowOff>260350</xdr:rowOff>
        </xdr:to>
        <xdr:sp macro="" textlink="">
          <xdr:nvSpPr>
            <xdr:cNvPr id="402438" name="CES_UpdateCQ_Btn" hidden="1">
              <a:extLst>
                <a:ext uri="{63B3BB69-23CF-44E3-9099-C40C66FF867C}">
                  <a14:compatExt spid="_x0000_s402438"/>
                </a:ext>
                <a:ext uri="{FF2B5EF4-FFF2-40B4-BE49-F238E27FC236}">
                  <a16:creationId xmlns:a16="http://schemas.microsoft.com/office/drawing/2014/main" id="{00000000-0008-0000-0900-0000062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900" b="1" i="0" u="none" strike="noStrike" baseline="0">
                  <a:solidFill>
                    <a:srgbClr val="000080"/>
                  </a:solidFill>
                  <a:latin typeface="Calibri"/>
                  <a:ea typeface="Calibri"/>
                  <a:cs typeface="Calibri"/>
                </a:rPr>
                <a:t>CES_UpdateCQ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298450</xdr:colOff>
          <xdr:row>0</xdr:row>
          <xdr:rowOff>38100</xdr:rowOff>
        </xdr:from>
        <xdr:to>
          <xdr:col>9</xdr:col>
          <xdr:colOff>1441450</xdr:colOff>
          <xdr:row>0</xdr:row>
          <xdr:rowOff>260350</xdr:rowOff>
        </xdr:to>
        <xdr:sp macro="" textlink="">
          <xdr:nvSpPr>
            <xdr:cNvPr id="402439" name="CES_ValidateSCRUM_Btn" hidden="1">
              <a:extLst>
                <a:ext uri="{63B3BB69-23CF-44E3-9099-C40C66FF867C}">
                  <a14:compatExt spid="_x0000_s402439"/>
                </a:ext>
                <a:ext uri="{FF2B5EF4-FFF2-40B4-BE49-F238E27FC236}">
                  <a16:creationId xmlns:a16="http://schemas.microsoft.com/office/drawing/2014/main" id="{00000000-0008-0000-0900-0000072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8000"/>
                  </a:solidFill>
                  <a:latin typeface="Calibri"/>
                  <a:ea typeface="Calibri"/>
                  <a:cs typeface="Calibri"/>
                </a:rPr>
                <a:t>CES_ValidateSCRUM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1555750</xdr:colOff>
          <xdr:row>0</xdr:row>
          <xdr:rowOff>69850</xdr:rowOff>
        </xdr:from>
        <xdr:to>
          <xdr:col>11</xdr:col>
          <xdr:colOff>222250</xdr:colOff>
          <xdr:row>0</xdr:row>
          <xdr:rowOff>279400</xdr:rowOff>
        </xdr:to>
        <xdr:sp macro="" textlink="">
          <xdr:nvSpPr>
            <xdr:cNvPr id="402440" name="CES_clearError_Btn" hidden="1">
              <a:extLst>
                <a:ext uri="{63B3BB69-23CF-44E3-9099-C40C66FF867C}">
                  <a14:compatExt spid="_x0000_s402440"/>
                </a:ext>
                <a:ext uri="{FF2B5EF4-FFF2-40B4-BE49-F238E27FC236}">
                  <a16:creationId xmlns:a16="http://schemas.microsoft.com/office/drawing/2014/main" id="{00000000-0008-0000-0900-0000082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FF6600"/>
                  </a:solidFill>
                  <a:latin typeface="Calibri"/>
                  <a:ea typeface="Calibri"/>
                  <a:cs typeface="Calibri"/>
                </a:rPr>
                <a:t>CES_clearError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19</xdr:col>
      <xdr:colOff>583142</xdr:colOff>
      <xdr:row>2</xdr:row>
      <xdr:rowOff>951255</xdr:rowOff>
    </xdr:from>
    <xdr:to>
      <xdr:col>38</xdr:col>
      <xdr:colOff>341994</xdr:colOff>
      <xdr:row>13</xdr:row>
      <xdr:rowOff>1667</xdr:rowOff>
    </xdr:to>
    <xdr:graphicFrame macro="">
      <xdr:nvGraphicFramePr>
        <xdr:cNvPr id="2" name="Chart 1">
          <a:extLst>
            <a:ext uri="{FF2B5EF4-FFF2-40B4-BE49-F238E27FC236}">
              <a16:creationId xmlns:a16="http://schemas.microsoft.com/office/drawing/2014/main" id="{43D725DF-568B-4812-B7B0-16D4D5BEF0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199293</xdr:colOff>
      <xdr:row>18</xdr:row>
      <xdr:rowOff>42496</xdr:rowOff>
    </xdr:from>
    <xdr:to>
      <xdr:col>38</xdr:col>
      <xdr:colOff>95739</xdr:colOff>
      <xdr:row>26</xdr:row>
      <xdr:rowOff>42496</xdr:rowOff>
    </xdr:to>
    <xdr:graphicFrame macro="">
      <xdr:nvGraphicFramePr>
        <xdr:cNvPr id="3" name="Chart 2">
          <a:extLst>
            <a:ext uri="{FF2B5EF4-FFF2-40B4-BE49-F238E27FC236}">
              <a16:creationId xmlns:a16="http://schemas.microsoft.com/office/drawing/2014/main" id="{F4890E69-D4D4-4115-89D9-4D94577EF8F2}"/>
            </a:ext>
            <a:ext uri="{147F2762-F138-4A5C-976F-8EAC2B608ADB}">
              <a16:predDERef xmlns:a16="http://schemas.microsoft.com/office/drawing/2014/main" pred="{8EDF0B06-0908-49FF-BA88-0434ED7714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103415</xdr:colOff>
      <xdr:row>16</xdr:row>
      <xdr:rowOff>46264</xdr:rowOff>
    </xdr:from>
    <xdr:to>
      <xdr:col>24</xdr:col>
      <xdr:colOff>288146</xdr:colOff>
      <xdr:row>17</xdr:row>
      <xdr:rowOff>120324</xdr:rowOff>
    </xdr:to>
    <xdr:sp macro="" textlink="">
      <xdr:nvSpPr>
        <xdr:cNvPr id="4" name="TextBox 3">
          <a:extLst>
            <a:ext uri="{FF2B5EF4-FFF2-40B4-BE49-F238E27FC236}">
              <a16:creationId xmlns:a16="http://schemas.microsoft.com/office/drawing/2014/main" id="{D1297139-CA54-4708-AB7B-3B659E3BB2A6}"/>
            </a:ext>
            <a:ext uri="{147F2762-F138-4A5C-976F-8EAC2B608ADB}">
              <a16:predDERef xmlns:a16="http://schemas.microsoft.com/office/drawing/2014/main" pred="{1EFAD75A-D93D-49F9-8701-7ADF39560934}"/>
            </a:ext>
          </a:extLst>
        </xdr:cNvPr>
        <xdr:cNvSpPr txBox="1"/>
      </xdr:nvSpPr>
      <xdr:spPr>
        <a:xfrm>
          <a:off x="14886215" y="2992664"/>
          <a:ext cx="184731" cy="25821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IN"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17</xdr:col>
      <xdr:colOff>164042</xdr:colOff>
      <xdr:row>2</xdr:row>
      <xdr:rowOff>1046505</xdr:rowOff>
    </xdr:from>
    <xdr:to>
      <xdr:col>35</xdr:col>
      <xdr:colOff>494394</xdr:colOff>
      <xdr:row>13</xdr:row>
      <xdr:rowOff>7366</xdr:rowOff>
    </xdr:to>
    <xdr:graphicFrame macro="">
      <xdr:nvGraphicFramePr>
        <xdr:cNvPr id="2" name="Chart 1">
          <a:extLst>
            <a:ext uri="{FF2B5EF4-FFF2-40B4-BE49-F238E27FC236}">
              <a16:creationId xmlns:a16="http://schemas.microsoft.com/office/drawing/2014/main" id="{318D0C00-6089-4B62-AF3B-A5CCA7BA72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552070</xdr:colOff>
      <xdr:row>20</xdr:row>
      <xdr:rowOff>69220</xdr:rowOff>
    </xdr:from>
    <xdr:to>
      <xdr:col>35</xdr:col>
      <xdr:colOff>430362</xdr:colOff>
      <xdr:row>25</xdr:row>
      <xdr:rowOff>122061</xdr:rowOff>
    </xdr:to>
    <xdr:graphicFrame macro="">
      <xdr:nvGraphicFramePr>
        <xdr:cNvPr id="3" name="Chart 2">
          <a:extLst>
            <a:ext uri="{FF2B5EF4-FFF2-40B4-BE49-F238E27FC236}">
              <a16:creationId xmlns:a16="http://schemas.microsoft.com/office/drawing/2014/main" id="{F116E15C-DE0E-4F8F-B2F9-947DD34D1A70}"/>
            </a:ext>
            <a:ext uri="{147F2762-F138-4A5C-976F-8EAC2B608ADB}">
              <a16:predDERef xmlns:a16="http://schemas.microsoft.com/office/drawing/2014/main" pred="{318D0C00-6089-4B62-AF3B-A5CCA7BA72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103415</xdr:colOff>
      <xdr:row>18</xdr:row>
      <xdr:rowOff>170089</xdr:rowOff>
    </xdr:from>
    <xdr:to>
      <xdr:col>23</xdr:col>
      <xdr:colOff>288146</xdr:colOff>
      <xdr:row>20</xdr:row>
      <xdr:rowOff>53649</xdr:rowOff>
    </xdr:to>
    <xdr:sp macro="" textlink="">
      <xdr:nvSpPr>
        <xdr:cNvPr id="4" name="TextBox 3">
          <a:extLst>
            <a:ext uri="{FF2B5EF4-FFF2-40B4-BE49-F238E27FC236}">
              <a16:creationId xmlns:a16="http://schemas.microsoft.com/office/drawing/2014/main" id="{D496CDB8-82BF-4D7D-B31D-1193B95B80F2}"/>
            </a:ext>
            <a:ext uri="{147F2762-F138-4A5C-976F-8EAC2B608ADB}">
              <a16:predDERef xmlns:a16="http://schemas.microsoft.com/office/drawing/2014/main" pred="{F116E15C-DE0E-4F8F-B2F9-947DD34D1A70}"/>
            </a:ext>
          </a:extLst>
        </xdr:cNvPr>
        <xdr:cNvSpPr txBox="1"/>
      </xdr:nvSpPr>
      <xdr:spPr>
        <a:xfrm>
          <a:off x="18886715" y="476113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IN" sz="1100"/>
        </a:p>
      </xdr:txBody>
    </xdr:sp>
    <xdr:clientData/>
  </xdr:twoCellAnchor>
  <xdr:twoCellAnchor>
    <xdr:from>
      <xdr:col>18</xdr:col>
      <xdr:colOff>228123</xdr:colOff>
      <xdr:row>13</xdr:row>
      <xdr:rowOff>155404</xdr:rowOff>
    </xdr:from>
    <xdr:to>
      <xdr:col>19</xdr:col>
      <xdr:colOff>311492</xdr:colOff>
      <xdr:row>14</xdr:row>
      <xdr:rowOff>125396</xdr:rowOff>
    </xdr:to>
    <xdr:sp macro="" textlink="">
      <xdr:nvSpPr>
        <xdr:cNvPr id="5" name="TextBox 4">
          <a:extLst>
            <a:ext uri="{FF2B5EF4-FFF2-40B4-BE49-F238E27FC236}">
              <a16:creationId xmlns:a16="http://schemas.microsoft.com/office/drawing/2014/main" id="{CDDEE042-7A48-4D10-9341-7237B9B76466}"/>
            </a:ext>
            <a:ext uri="{147F2762-F138-4A5C-976F-8EAC2B608ADB}">
              <a16:predDERef xmlns:a16="http://schemas.microsoft.com/office/drawing/2014/main" pred="{D496CDB8-82BF-4D7D-B31D-1193B95B80F2}"/>
            </a:ext>
          </a:extLst>
        </xdr:cNvPr>
        <xdr:cNvSpPr txBox="1"/>
      </xdr:nvSpPr>
      <xdr:spPr>
        <a:xfrm>
          <a:off x="15963423" y="3793954"/>
          <a:ext cx="69296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02-05-2025</a:t>
          </a:r>
        </a:p>
      </xdr:txBody>
    </xdr:sp>
    <xdr:clientData/>
  </xdr:twoCellAnchor>
  <xdr:twoCellAnchor>
    <xdr:from>
      <xdr:col>20</xdr:col>
      <xdr:colOff>311698</xdr:colOff>
      <xdr:row>13</xdr:row>
      <xdr:rowOff>154175</xdr:rowOff>
    </xdr:from>
    <xdr:to>
      <xdr:col>21</xdr:col>
      <xdr:colOff>395067</xdr:colOff>
      <xdr:row>14</xdr:row>
      <xdr:rowOff>124167</xdr:rowOff>
    </xdr:to>
    <xdr:sp macro="" textlink="">
      <xdr:nvSpPr>
        <xdr:cNvPr id="6" name="TextBox 5">
          <a:extLst>
            <a:ext uri="{FF2B5EF4-FFF2-40B4-BE49-F238E27FC236}">
              <a16:creationId xmlns:a16="http://schemas.microsoft.com/office/drawing/2014/main" id="{DEE88E9E-909A-4B9F-A8FC-2E55DBA7FFAD}"/>
            </a:ext>
            <a:ext uri="{147F2762-F138-4A5C-976F-8EAC2B608ADB}">
              <a16:predDERef xmlns:a16="http://schemas.microsoft.com/office/drawing/2014/main" pred="{CDDEE042-7A48-4D10-9341-7237B9B76466}"/>
            </a:ext>
          </a:extLst>
        </xdr:cNvPr>
        <xdr:cNvSpPr txBox="1"/>
      </xdr:nvSpPr>
      <xdr:spPr>
        <a:xfrm>
          <a:off x="17266198" y="3792725"/>
          <a:ext cx="69296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09-05-2025</a:t>
          </a:r>
        </a:p>
      </xdr:txBody>
    </xdr:sp>
    <xdr:clientData/>
  </xdr:twoCellAnchor>
  <xdr:twoCellAnchor>
    <xdr:from>
      <xdr:col>22</xdr:col>
      <xdr:colOff>446482</xdr:colOff>
      <xdr:row>13</xdr:row>
      <xdr:rowOff>163187</xdr:rowOff>
    </xdr:from>
    <xdr:to>
      <xdr:col>23</xdr:col>
      <xdr:colOff>510801</xdr:colOff>
      <xdr:row>14</xdr:row>
      <xdr:rowOff>133179</xdr:rowOff>
    </xdr:to>
    <xdr:sp macro="" textlink="">
      <xdr:nvSpPr>
        <xdr:cNvPr id="7" name="TextBox 6">
          <a:extLst>
            <a:ext uri="{FF2B5EF4-FFF2-40B4-BE49-F238E27FC236}">
              <a16:creationId xmlns:a16="http://schemas.microsoft.com/office/drawing/2014/main" id="{0AB40E1F-E93A-45B3-A89E-C4689945D3C9}"/>
            </a:ext>
            <a:ext uri="{147F2762-F138-4A5C-976F-8EAC2B608ADB}">
              <a16:predDERef xmlns:a16="http://schemas.microsoft.com/office/drawing/2014/main" pred="{DEE88E9E-909A-4B9F-A8FC-2E55DBA7FFAD}"/>
            </a:ext>
          </a:extLst>
        </xdr:cNvPr>
        <xdr:cNvSpPr txBox="1"/>
      </xdr:nvSpPr>
      <xdr:spPr>
        <a:xfrm>
          <a:off x="18620182" y="3801737"/>
          <a:ext cx="67391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16-05-2025</a:t>
          </a:r>
        </a:p>
      </xdr:txBody>
    </xdr:sp>
    <xdr:clientData/>
  </xdr:twoCellAnchor>
  <xdr:twoCellAnchor>
    <xdr:from>
      <xdr:col>24</xdr:col>
      <xdr:colOff>608508</xdr:colOff>
      <xdr:row>13</xdr:row>
      <xdr:rowOff>161958</xdr:rowOff>
    </xdr:from>
    <xdr:to>
      <xdr:col>26</xdr:col>
      <xdr:colOff>82277</xdr:colOff>
      <xdr:row>14</xdr:row>
      <xdr:rowOff>131950</xdr:rowOff>
    </xdr:to>
    <xdr:sp macro="" textlink="">
      <xdr:nvSpPr>
        <xdr:cNvPr id="8" name="TextBox 7">
          <a:extLst>
            <a:ext uri="{FF2B5EF4-FFF2-40B4-BE49-F238E27FC236}">
              <a16:creationId xmlns:a16="http://schemas.microsoft.com/office/drawing/2014/main" id="{D2B558AF-79AB-4C8F-8118-2098432C35E2}"/>
            </a:ext>
            <a:ext uri="{147F2762-F138-4A5C-976F-8EAC2B608ADB}">
              <a16:predDERef xmlns:a16="http://schemas.microsoft.com/office/drawing/2014/main" pred="{0AB40E1F-E93A-45B3-A89E-C4689945D3C9}"/>
            </a:ext>
          </a:extLst>
        </xdr:cNvPr>
        <xdr:cNvSpPr txBox="1"/>
      </xdr:nvSpPr>
      <xdr:spPr>
        <a:xfrm>
          <a:off x="20001408" y="3800508"/>
          <a:ext cx="69296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23-05-2025</a:t>
          </a:r>
        </a:p>
      </xdr:txBody>
    </xdr:sp>
    <xdr:clientData/>
  </xdr:twoCellAnchor>
  <xdr:twoCellAnchor>
    <xdr:from>
      <xdr:col>27</xdr:col>
      <xdr:colOff>61998</xdr:colOff>
      <xdr:row>13</xdr:row>
      <xdr:rowOff>150487</xdr:rowOff>
    </xdr:from>
    <xdr:to>
      <xdr:col>28</xdr:col>
      <xdr:colOff>145367</xdr:colOff>
      <xdr:row>14</xdr:row>
      <xdr:rowOff>120479</xdr:rowOff>
    </xdr:to>
    <xdr:sp macro="" textlink="">
      <xdr:nvSpPr>
        <xdr:cNvPr id="9" name="TextBox 8">
          <a:extLst>
            <a:ext uri="{FF2B5EF4-FFF2-40B4-BE49-F238E27FC236}">
              <a16:creationId xmlns:a16="http://schemas.microsoft.com/office/drawing/2014/main" id="{D844FCC0-364F-4EA2-A3A2-20603077C930}"/>
            </a:ext>
            <a:ext uri="{147F2762-F138-4A5C-976F-8EAC2B608ADB}">
              <a16:predDERef xmlns:a16="http://schemas.microsoft.com/office/drawing/2014/main" pred="{D2B558AF-79AB-4C8F-8118-2098432C35E2}"/>
            </a:ext>
          </a:extLst>
        </xdr:cNvPr>
        <xdr:cNvSpPr txBox="1"/>
      </xdr:nvSpPr>
      <xdr:spPr>
        <a:xfrm>
          <a:off x="21283698" y="3789037"/>
          <a:ext cx="69296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30-05-2025</a:t>
          </a:r>
        </a:p>
      </xdr:txBody>
    </xdr:sp>
    <xdr:clientData/>
  </xdr:twoCellAnchor>
  <xdr:twoCellAnchor>
    <xdr:from>
      <xdr:col>29</xdr:col>
      <xdr:colOff>258236</xdr:colOff>
      <xdr:row>13</xdr:row>
      <xdr:rowOff>159499</xdr:rowOff>
    </xdr:from>
    <xdr:to>
      <xdr:col>30</xdr:col>
      <xdr:colOff>341605</xdr:colOff>
      <xdr:row>14</xdr:row>
      <xdr:rowOff>129491</xdr:rowOff>
    </xdr:to>
    <xdr:sp macro="" textlink="">
      <xdr:nvSpPr>
        <xdr:cNvPr id="10" name="TextBox 9">
          <a:extLst>
            <a:ext uri="{FF2B5EF4-FFF2-40B4-BE49-F238E27FC236}">
              <a16:creationId xmlns:a16="http://schemas.microsoft.com/office/drawing/2014/main" id="{AD24C8DB-DEEE-4AFF-8F13-AB91A8BBA976}"/>
            </a:ext>
            <a:ext uri="{147F2762-F138-4A5C-976F-8EAC2B608ADB}">
              <a16:predDERef xmlns:a16="http://schemas.microsoft.com/office/drawing/2014/main" pred="{D844FCC0-364F-4EA2-A3A2-20603077C930}"/>
            </a:ext>
          </a:extLst>
        </xdr:cNvPr>
        <xdr:cNvSpPr txBox="1"/>
      </xdr:nvSpPr>
      <xdr:spPr>
        <a:xfrm>
          <a:off x="22699136" y="3798049"/>
          <a:ext cx="69296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06-06-2025</a:t>
          </a:r>
        </a:p>
      </xdr:txBody>
    </xdr:sp>
    <xdr:clientData/>
  </xdr:twoCellAnchor>
  <xdr:twoCellAnchor>
    <xdr:from>
      <xdr:col>31</xdr:col>
      <xdr:colOff>399778</xdr:colOff>
      <xdr:row>13</xdr:row>
      <xdr:rowOff>158270</xdr:rowOff>
    </xdr:from>
    <xdr:to>
      <xdr:col>32</xdr:col>
      <xdr:colOff>483147</xdr:colOff>
      <xdr:row>14</xdr:row>
      <xdr:rowOff>128262</xdr:rowOff>
    </xdr:to>
    <xdr:sp macro="" textlink="">
      <xdr:nvSpPr>
        <xdr:cNvPr id="11" name="TextBox 10">
          <a:extLst>
            <a:ext uri="{FF2B5EF4-FFF2-40B4-BE49-F238E27FC236}">
              <a16:creationId xmlns:a16="http://schemas.microsoft.com/office/drawing/2014/main" id="{73F1BA09-15FE-46DD-8CAC-C0073A3130AB}"/>
            </a:ext>
            <a:ext uri="{147F2762-F138-4A5C-976F-8EAC2B608ADB}">
              <a16:predDERef xmlns:a16="http://schemas.microsoft.com/office/drawing/2014/main" pred="{AD24C8DB-DEEE-4AFF-8F13-AB91A8BBA976}"/>
            </a:ext>
          </a:extLst>
        </xdr:cNvPr>
        <xdr:cNvSpPr txBox="1"/>
      </xdr:nvSpPr>
      <xdr:spPr>
        <a:xfrm>
          <a:off x="24059878" y="3796820"/>
          <a:ext cx="69296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13-06-2025</a:t>
          </a:r>
        </a:p>
      </xdr:txBody>
    </xdr:sp>
    <xdr:clientData/>
  </xdr:twoCellAnchor>
  <xdr:twoCellAnchor>
    <xdr:from>
      <xdr:col>33</xdr:col>
      <xdr:colOff>511415</xdr:colOff>
      <xdr:row>13</xdr:row>
      <xdr:rowOff>167283</xdr:rowOff>
    </xdr:from>
    <xdr:to>
      <xdr:col>34</xdr:col>
      <xdr:colOff>442384</xdr:colOff>
      <xdr:row>14</xdr:row>
      <xdr:rowOff>137275</xdr:rowOff>
    </xdr:to>
    <xdr:sp macro="" textlink="">
      <xdr:nvSpPr>
        <xdr:cNvPr id="12" name="TextBox 11">
          <a:extLst>
            <a:ext uri="{FF2B5EF4-FFF2-40B4-BE49-F238E27FC236}">
              <a16:creationId xmlns:a16="http://schemas.microsoft.com/office/drawing/2014/main" id="{212D02DD-DD54-44F3-A38B-2F2670409DF9}"/>
            </a:ext>
            <a:ext uri="{147F2762-F138-4A5C-976F-8EAC2B608ADB}">
              <a16:predDERef xmlns:a16="http://schemas.microsoft.com/office/drawing/2014/main" pred="{73F1BA09-15FE-46DD-8CAC-C0073A3130AB}"/>
            </a:ext>
          </a:extLst>
        </xdr:cNvPr>
        <xdr:cNvSpPr txBox="1"/>
      </xdr:nvSpPr>
      <xdr:spPr>
        <a:xfrm>
          <a:off x="25390715" y="3805833"/>
          <a:ext cx="69296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20-06-2025</a:t>
          </a:r>
        </a:p>
      </xdr:txBody>
    </xdr:sp>
    <xdr:clientData/>
  </xdr:twoCellAnchor>
  <xdr:twoCellAnchor>
    <xdr:from>
      <xdr:col>18</xdr:col>
      <xdr:colOff>61656</xdr:colOff>
      <xdr:row>26</xdr:row>
      <xdr:rowOff>172884</xdr:rowOff>
    </xdr:from>
    <xdr:to>
      <xdr:col>19</xdr:col>
      <xdr:colOff>145025</xdr:colOff>
      <xdr:row>27</xdr:row>
      <xdr:rowOff>142876</xdr:rowOff>
    </xdr:to>
    <xdr:sp macro="" textlink="">
      <xdr:nvSpPr>
        <xdr:cNvPr id="13" name="TextBox 12">
          <a:extLst>
            <a:ext uri="{FF2B5EF4-FFF2-40B4-BE49-F238E27FC236}">
              <a16:creationId xmlns:a16="http://schemas.microsoft.com/office/drawing/2014/main" id="{3C4B335C-FB7D-41F9-BD10-329F2826F106}"/>
            </a:ext>
            <a:ext uri="{147F2762-F138-4A5C-976F-8EAC2B608ADB}">
              <a16:predDERef xmlns:a16="http://schemas.microsoft.com/office/drawing/2014/main" pred="{212D02DD-DD54-44F3-A38B-2F2670409DF9}"/>
            </a:ext>
          </a:extLst>
        </xdr:cNvPr>
        <xdr:cNvSpPr txBox="1"/>
      </xdr:nvSpPr>
      <xdr:spPr>
        <a:xfrm>
          <a:off x="15796956" y="7449984"/>
          <a:ext cx="69296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02-05-2025</a:t>
          </a:r>
        </a:p>
      </xdr:txBody>
    </xdr:sp>
    <xdr:clientData/>
  </xdr:twoCellAnchor>
  <xdr:twoCellAnchor>
    <xdr:from>
      <xdr:col>19</xdr:col>
      <xdr:colOff>235974</xdr:colOff>
      <xdr:row>26</xdr:row>
      <xdr:rowOff>171655</xdr:rowOff>
    </xdr:from>
    <xdr:to>
      <xdr:col>20</xdr:col>
      <xdr:colOff>319343</xdr:colOff>
      <xdr:row>27</xdr:row>
      <xdr:rowOff>141647</xdr:rowOff>
    </xdr:to>
    <xdr:sp macro="" textlink="">
      <xdr:nvSpPr>
        <xdr:cNvPr id="14" name="TextBox 13">
          <a:extLst>
            <a:ext uri="{FF2B5EF4-FFF2-40B4-BE49-F238E27FC236}">
              <a16:creationId xmlns:a16="http://schemas.microsoft.com/office/drawing/2014/main" id="{D599FB86-DD01-4EB4-B2AC-88AFCE14A854}"/>
            </a:ext>
            <a:ext uri="{147F2762-F138-4A5C-976F-8EAC2B608ADB}">
              <a16:predDERef xmlns:a16="http://schemas.microsoft.com/office/drawing/2014/main" pred="{3C4B335C-FB7D-41F9-BD10-329F2826F106}"/>
            </a:ext>
          </a:extLst>
        </xdr:cNvPr>
        <xdr:cNvSpPr txBox="1"/>
      </xdr:nvSpPr>
      <xdr:spPr>
        <a:xfrm>
          <a:off x="16580874" y="7448755"/>
          <a:ext cx="69296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09-05-2025</a:t>
          </a:r>
        </a:p>
      </xdr:txBody>
    </xdr:sp>
    <xdr:clientData/>
  </xdr:twoCellAnchor>
  <xdr:twoCellAnchor>
    <xdr:from>
      <xdr:col>20</xdr:col>
      <xdr:colOff>400050</xdr:colOff>
      <xdr:row>26</xdr:row>
      <xdr:rowOff>170425</xdr:rowOff>
    </xdr:from>
    <xdr:to>
      <xdr:col>21</xdr:col>
      <xdr:colOff>483419</xdr:colOff>
      <xdr:row>27</xdr:row>
      <xdr:rowOff>140417</xdr:rowOff>
    </xdr:to>
    <xdr:sp macro="" textlink="">
      <xdr:nvSpPr>
        <xdr:cNvPr id="15" name="TextBox 14">
          <a:extLst>
            <a:ext uri="{FF2B5EF4-FFF2-40B4-BE49-F238E27FC236}">
              <a16:creationId xmlns:a16="http://schemas.microsoft.com/office/drawing/2014/main" id="{761703F2-3188-4E17-8D37-44C428C5D3AD}"/>
            </a:ext>
            <a:ext uri="{147F2762-F138-4A5C-976F-8EAC2B608ADB}">
              <a16:predDERef xmlns:a16="http://schemas.microsoft.com/office/drawing/2014/main" pred="{D599FB86-DD01-4EB4-B2AC-88AFCE14A854}"/>
            </a:ext>
          </a:extLst>
        </xdr:cNvPr>
        <xdr:cNvSpPr txBox="1"/>
      </xdr:nvSpPr>
      <xdr:spPr>
        <a:xfrm>
          <a:off x="17354550" y="7447525"/>
          <a:ext cx="69296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16-05-2025</a:t>
          </a:r>
        </a:p>
      </xdr:txBody>
    </xdr:sp>
    <xdr:clientData/>
  </xdr:twoCellAnchor>
  <xdr:twoCellAnchor>
    <xdr:from>
      <xdr:col>21</xdr:col>
      <xdr:colOff>471948</xdr:colOff>
      <xdr:row>26</xdr:row>
      <xdr:rowOff>186300</xdr:rowOff>
    </xdr:from>
    <xdr:to>
      <xdr:col>22</xdr:col>
      <xdr:colOff>531351</xdr:colOff>
      <xdr:row>27</xdr:row>
      <xdr:rowOff>159672</xdr:rowOff>
    </xdr:to>
    <xdr:sp macro="" textlink="">
      <xdr:nvSpPr>
        <xdr:cNvPr id="16" name="TextBox 15">
          <a:extLst>
            <a:ext uri="{FF2B5EF4-FFF2-40B4-BE49-F238E27FC236}">
              <a16:creationId xmlns:a16="http://schemas.microsoft.com/office/drawing/2014/main" id="{2AE5305E-B7B1-47EF-A7D7-5FCA746C7F63}"/>
            </a:ext>
            <a:ext uri="{147F2762-F138-4A5C-976F-8EAC2B608ADB}">
              <a16:predDERef xmlns:a16="http://schemas.microsoft.com/office/drawing/2014/main" pred="{761703F2-3188-4E17-8D37-44C428C5D3AD}"/>
            </a:ext>
          </a:extLst>
        </xdr:cNvPr>
        <xdr:cNvSpPr txBox="1"/>
      </xdr:nvSpPr>
      <xdr:spPr>
        <a:xfrm>
          <a:off x="18036048" y="7463400"/>
          <a:ext cx="669003" cy="1638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23-05-2025</a:t>
          </a:r>
        </a:p>
      </xdr:txBody>
    </xdr:sp>
    <xdr:clientData/>
  </xdr:twoCellAnchor>
  <xdr:twoCellAnchor>
    <xdr:from>
      <xdr:col>23</xdr:col>
      <xdr:colOff>2457</xdr:colOff>
      <xdr:row>26</xdr:row>
      <xdr:rowOff>167967</xdr:rowOff>
    </xdr:from>
    <xdr:to>
      <xdr:col>24</xdr:col>
      <xdr:colOff>85825</xdr:colOff>
      <xdr:row>27</xdr:row>
      <xdr:rowOff>137959</xdr:rowOff>
    </xdr:to>
    <xdr:sp macro="" textlink="">
      <xdr:nvSpPr>
        <xdr:cNvPr id="17" name="TextBox 16">
          <a:extLst>
            <a:ext uri="{FF2B5EF4-FFF2-40B4-BE49-F238E27FC236}">
              <a16:creationId xmlns:a16="http://schemas.microsoft.com/office/drawing/2014/main" id="{98177767-47E1-4EED-90EC-89A36BA34F91}"/>
            </a:ext>
            <a:ext uri="{147F2762-F138-4A5C-976F-8EAC2B608ADB}">
              <a16:predDERef xmlns:a16="http://schemas.microsoft.com/office/drawing/2014/main" pred="{2AE5305E-B7B1-47EF-A7D7-5FCA746C7F63}"/>
            </a:ext>
          </a:extLst>
        </xdr:cNvPr>
        <xdr:cNvSpPr txBox="1"/>
      </xdr:nvSpPr>
      <xdr:spPr>
        <a:xfrm>
          <a:off x="18785757" y="7445067"/>
          <a:ext cx="692968"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30-05-2025</a:t>
          </a:r>
        </a:p>
      </xdr:txBody>
    </xdr:sp>
    <xdr:clientData/>
  </xdr:twoCellAnchor>
  <xdr:twoCellAnchor>
    <xdr:from>
      <xdr:col>24</xdr:col>
      <xdr:colOff>135808</xdr:colOff>
      <xdr:row>26</xdr:row>
      <xdr:rowOff>176979</xdr:rowOff>
    </xdr:from>
    <xdr:to>
      <xdr:col>25</xdr:col>
      <xdr:colOff>219177</xdr:colOff>
      <xdr:row>27</xdr:row>
      <xdr:rowOff>146971</xdr:rowOff>
    </xdr:to>
    <xdr:sp macro="" textlink="">
      <xdr:nvSpPr>
        <xdr:cNvPr id="18" name="TextBox 17">
          <a:extLst>
            <a:ext uri="{FF2B5EF4-FFF2-40B4-BE49-F238E27FC236}">
              <a16:creationId xmlns:a16="http://schemas.microsoft.com/office/drawing/2014/main" id="{3E225A8E-B9C8-4A61-8A7E-F3B09EBBCA26}"/>
            </a:ext>
            <a:ext uri="{147F2762-F138-4A5C-976F-8EAC2B608ADB}">
              <a16:predDERef xmlns:a16="http://schemas.microsoft.com/office/drawing/2014/main" pred="{98177767-47E1-4EED-90EC-89A36BA34F91}"/>
            </a:ext>
          </a:extLst>
        </xdr:cNvPr>
        <xdr:cNvSpPr txBox="1"/>
      </xdr:nvSpPr>
      <xdr:spPr>
        <a:xfrm>
          <a:off x="19528708" y="7454079"/>
          <a:ext cx="69296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06-06-2025</a:t>
          </a:r>
        </a:p>
      </xdr:txBody>
    </xdr:sp>
    <xdr:clientData/>
  </xdr:twoCellAnchor>
  <xdr:twoCellAnchor>
    <xdr:from>
      <xdr:col>25</xdr:col>
      <xdr:colOff>279399</xdr:colOff>
      <xdr:row>26</xdr:row>
      <xdr:rowOff>175750</xdr:rowOff>
    </xdr:from>
    <xdr:to>
      <xdr:col>26</xdr:col>
      <xdr:colOff>362768</xdr:colOff>
      <xdr:row>27</xdr:row>
      <xdr:rowOff>145742</xdr:rowOff>
    </xdr:to>
    <xdr:sp macro="" textlink="">
      <xdr:nvSpPr>
        <xdr:cNvPr id="19" name="TextBox 18">
          <a:extLst>
            <a:ext uri="{FF2B5EF4-FFF2-40B4-BE49-F238E27FC236}">
              <a16:creationId xmlns:a16="http://schemas.microsoft.com/office/drawing/2014/main" id="{57508918-FEBC-4CDF-B14C-8F4680654DAD}"/>
            </a:ext>
            <a:ext uri="{147F2762-F138-4A5C-976F-8EAC2B608ADB}">
              <a16:predDERef xmlns:a16="http://schemas.microsoft.com/office/drawing/2014/main" pred="{3E225A8E-B9C8-4A61-8A7E-F3B09EBBCA26}"/>
            </a:ext>
          </a:extLst>
        </xdr:cNvPr>
        <xdr:cNvSpPr txBox="1"/>
      </xdr:nvSpPr>
      <xdr:spPr>
        <a:xfrm>
          <a:off x="20281899" y="7452850"/>
          <a:ext cx="69296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13-06-2025</a:t>
          </a:r>
        </a:p>
      </xdr:txBody>
    </xdr:sp>
    <xdr:clientData/>
  </xdr:twoCellAnchor>
  <xdr:twoCellAnchor>
    <xdr:from>
      <xdr:col>26</xdr:col>
      <xdr:colOff>392266</xdr:colOff>
      <xdr:row>26</xdr:row>
      <xdr:rowOff>154038</xdr:rowOff>
    </xdr:from>
    <xdr:to>
      <xdr:col>27</xdr:col>
      <xdr:colOff>451669</xdr:colOff>
      <xdr:row>27</xdr:row>
      <xdr:rowOff>124030</xdr:rowOff>
    </xdr:to>
    <xdr:sp macro="" textlink="">
      <xdr:nvSpPr>
        <xdr:cNvPr id="20" name="TextBox 19">
          <a:extLst>
            <a:ext uri="{FF2B5EF4-FFF2-40B4-BE49-F238E27FC236}">
              <a16:creationId xmlns:a16="http://schemas.microsoft.com/office/drawing/2014/main" id="{5A627405-7AAF-4C45-8B10-3299C83671E2}"/>
            </a:ext>
            <a:ext uri="{147F2762-F138-4A5C-976F-8EAC2B608ADB}">
              <a16:predDERef xmlns:a16="http://schemas.microsoft.com/office/drawing/2014/main" pred="{57508918-FEBC-4CDF-B14C-8F4680654DAD}"/>
            </a:ext>
          </a:extLst>
        </xdr:cNvPr>
        <xdr:cNvSpPr txBox="1"/>
      </xdr:nvSpPr>
      <xdr:spPr>
        <a:xfrm>
          <a:off x="21004366" y="7431138"/>
          <a:ext cx="669003"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20-06-2025</a:t>
          </a:r>
        </a:p>
      </xdr:txBody>
    </xdr:sp>
    <xdr:clientData/>
  </xdr:twoCellAnchor>
  <xdr:twoCellAnchor>
    <xdr:from>
      <xdr:col>27</xdr:col>
      <xdr:colOff>481167</xdr:colOff>
      <xdr:row>26</xdr:row>
      <xdr:rowOff>173293</xdr:rowOff>
    </xdr:from>
    <xdr:to>
      <xdr:col>28</xdr:col>
      <xdr:colOff>564536</xdr:colOff>
      <xdr:row>27</xdr:row>
      <xdr:rowOff>143285</xdr:rowOff>
    </xdr:to>
    <xdr:sp macro="" textlink="">
      <xdr:nvSpPr>
        <xdr:cNvPr id="21" name="TextBox 20">
          <a:extLst>
            <a:ext uri="{FF2B5EF4-FFF2-40B4-BE49-F238E27FC236}">
              <a16:creationId xmlns:a16="http://schemas.microsoft.com/office/drawing/2014/main" id="{B5F83209-EAA5-4255-B04D-1E38442111C2}"/>
            </a:ext>
            <a:ext uri="{147F2762-F138-4A5C-976F-8EAC2B608ADB}">
              <a16:predDERef xmlns:a16="http://schemas.microsoft.com/office/drawing/2014/main" pred="{5A627405-7AAF-4C45-8B10-3299C83671E2}"/>
            </a:ext>
          </a:extLst>
        </xdr:cNvPr>
        <xdr:cNvSpPr txBox="1"/>
      </xdr:nvSpPr>
      <xdr:spPr>
        <a:xfrm>
          <a:off x="21702867" y="7450393"/>
          <a:ext cx="692969" cy="160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27-06-2025</a:t>
          </a:r>
        </a:p>
      </xdr:txBody>
    </xdr:sp>
    <xdr:clientData/>
  </xdr:twoCellAnchor>
  <xdr:twoCellAnchor>
    <xdr:from>
      <xdr:col>29</xdr:col>
      <xdr:colOff>4917</xdr:colOff>
      <xdr:row>26</xdr:row>
      <xdr:rowOff>172063</xdr:rowOff>
    </xdr:from>
    <xdr:to>
      <xdr:col>30</xdr:col>
      <xdr:colOff>28883</xdr:colOff>
      <xdr:row>27</xdr:row>
      <xdr:rowOff>133862</xdr:rowOff>
    </xdr:to>
    <xdr:sp macro="" textlink="">
      <xdr:nvSpPr>
        <xdr:cNvPr id="22" name="TextBox 21">
          <a:extLst>
            <a:ext uri="{FF2B5EF4-FFF2-40B4-BE49-F238E27FC236}">
              <a16:creationId xmlns:a16="http://schemas.microsoft.com/office/drawing/2014/main" id="{55306E3B-3421-46EE-987B-E08C839C744C}"/>
            </a:ext>
            <a:ext uri="{147F2762-F138-4A5C-976F-8EAC2B608ADB}">
              <a16:predDERef xmlns:a16="http://schemas.microsoft.com/office/drawing/2014/main" pred="{B5F83209-EAA5-4255-B04D-1E38442111C2}"/>
            </a:ext>
          </a:extLst>
        </xdr:cNvPr>
        <xdr:cNvSpPr txBox="1"/>
      </xdr:nvSpPr>
      <xdr:spPr>
        <a:xfrm>
          <a:off x="22445817" y="7449163"/>
          <a:ext cx="633566" cy="152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04-07-2025</a:t>
          </a:r>
        </a:p>
      </xdr:txBody>
    </xdr:sp>
    <xdr:clientData/>
  </xdr:twoCellAnchor>
  <xdr:twoCellAnchor>
    <xdr:from>
      <xdr:col>30</xdr:col>
      <xdr:colOff>66574</xdr:colOff>
      <xdr:row>26</xdr:row>
      <xdr:rowOff>160592</xdr:rowOff>
    </xdr:from>
    <xdr:to>
      <xdr:col>31</xdr:col>
      <xdr:colOff>90540</xdr:colOff>
      <xdr:row>27</xdr:row>
      <xdr:rowOff>122391</xdr:rowOff>
    </xdr:to>
    <xdr:sp macro="" textlink="">
      <xdr:nvSpPr>
        <xdr:cNvPr id="23" name="TextBox 22">
          <a:extLst>
            <a:ext uri="{FF2B5EF4-FFF2-40B4-BE49-F238E27FC236}">
              <a16:creationId xmlns:a16="http://schemas.microsoft.com/office/drawing/2014/main" id="{C6510A90-65E3-4872-8CDD-1322578F3241}"/>
            </a:ext>
            <a:ext uri="{147F2762-F138-4A5C-976F-8EAC2B608ADB}">
              <a16:predDERef xmlns:a16="http://schemas.microsoft.com/office/drawing/2014/main" pred="{55306E3B-3421-46EE-987B-E08C839C744C}"/>
            </a:ext>
          </a:extLst>
        </xdr:cNvPr>
        <xdr:cNvSpPr txBox="1"/>
      </xdr:nvSpPr>
      <xdr:spPr>
        <a:xfrm>
          <a:off x="23117074" y="7437692"/>
          <a:ext cx="633566" cy="152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11-07-2025</a:t>
          </a:r>
        </a:p>
      </xdr:txBody>
    </xdr:sp>
    <xdr:clientData/>
  </xdr:twoCellAnchor>
  <xdr:twoCellAnchor>
    <xdr:from>
      <xdr:col>31</xdr:col>
      <xdr:colOff>128231</xdr:colOff>
      <xdr:row>26</xdr:row>
      <xdr:rowOff>169604</xdr:rowOff>
    </xdr:from>
    <xdr:to>
      <xdr:col>32</xdr:col>
      <xdr:colOff>152196</xdr:colOff>
      <xdr:row>27</xdr:row>
      <xdr:rowOff>131403</xdr:rowOff>
    </xdr:to>
    <xdr:sp macro="" textlink="">
      <xdr:nvSpPr>
        <xdr:cNvPr id="24" name="TextBox 23">
          <a:extLst>
            <a:ext uri="{FF2B5EF4-FFF2-40B4-BE49-F238E27FC236}">
              <a16:creationId xmlns:a16="http://schemas.microsoft.com/office/drawing/2014/main" id="{7C7BC8F9-57EA-49B2-A92F-0E09A38EBA37}"/>
            </a:ext>
            <a:ext uri="{147F2762-F138-4A5C-976F-8EAC2B608ADB}">
              <a16:predDERef xmlns:a16="http://schemas.microsoft.com/office/drawing/2014/main" pred="{C6510A90-65E3-4872-8CDD-1322578F3241}"/>
            </a:ext>
          </a:extLst>
        </xdr:cNvPr>
        <xdr:cNvSpPr txBox="1"/>
      </xdr:nvSpPr>
      <xdr:spPr>
        <a:xfrm>
          <a:off x="23788331" y="7446704"/>
          <a:ext cx="633565" cy="152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18-07-2025</a:t>
          </a:r>
        </a:p>
      </xdr:txBody>
    </xdr:sp>
    <xdr:clientData/>
  </xdr:twoCellAnchor>
  <xdr:twoCellAnchor>
    <xdr:from>
      <xdr:col>32</xdr:col>
      <xdr:colOff>230854</xdr:colOff>
      <xdr:row>26</xdr:row>
      <xdr:rowOff>168375</xdr:rowOff>
    </xdr:from>
    <xdr:to>
      <xdr:col>33</xdr:col>
      <xdr:colOff>254820</xdr:colOff>
      <xdr:row>27</xdr:row>
      <xdr:rowOff>130174</xdr:rowOff>
    </xdr:to>
    <xdr:sp macro="" textlink="">
      <xdr:nvSpPr>
        <xdr:cNvPr id="25" name="TextBox 24">
          <a:extLst>
            <a:ext uri="{FF2B5EF4-FFF2-40B4-BE49-F238E27FC236}">
              <a16:creationId xmlns:a16="http://schemas.microsoft.com/office/drawing/2014/main" id="{566C3CE8-2228-4DC9-8B48-5E7D30F325FB}"/>
            </a:ext>
            <a:ext uri="{147F2762-F138-4A5C-976F-8EAC2B608ADB}">
              <a16:predDERef xmlns:a16="http://schemas.microsoft.com/office/drawing/2014/main" pred="{7C7BC8F9-57EA-49B2-A92F-0E09A38EBA37}"/>
            </a:ext>
          </a:extLst>
        </xdr:cNvPr>
        <xdr:cNvSpPr txBox="1"/>
      </xdr:nvSpPr>
      <xdr:spPr>
        <a:xfrm>
          <a:off x="24500554" y="7445475"/>
          <a:ext cx="633566" cy="152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25-07-2025</a:t>
          </a:r>
        </a:p>
      </xdr:txBody>
    </xdr:sp>
    <xdr:clientData/>
  </xdr:twoCellAnchor>
  <xdr:twoCellAnchor>
    <xdr:from>
      <xdr:col>33</xdr:col>
      <xdr:colOff>381409</xdr:colOff>
      <xdr:row>26</xdr:row>
      <xdr:rowOff>163871</xdr:rowOff>
    </xdr:from>
    <xdr:to>
      <xdr:col>34</xdr:col>
      <xdr:colOff>240070</xdr:colOff>
      <xdr:row>27</xdr:row>
      <xdr:rowOff>125670</xdr:rowOff>
    </xdr:to>
    <xdr:sp macro="" textlink="">
      <xdr:nvSpPr>
        <xdr:cNvPr id="26" name="TextBox 25">
          <a:extLst>
            <a:ext uri="{FF2B5EF4-FFF2-40B4-BE49-F238E27FC236}">
              <a16:creationId xmlns:a16="http://schemas.microsoft.com/office/drawing/2014/main" id="{2EF8D0AC-983A-4A47-A478-1B6D9DF84F6D}"/>
            </a:ext>
            <a:ext uri="{147F2762-F138-4A5C-976F-8EAC2B608ADB}">
              <a16:predDERef xmlns:a16="http://schemas.microsoft.com/office/drawing/2014/main" pred="{566C3CE8-2228-4DC9-8B48-5E7D30F325FB}"/>
            </a:ext>
          </a:extLst>
        </xdr:cNvPr>
        <xdr:cNvSpPr txBox="1"/>
      </xdr:nvSpPr>
      <xdr:spPr>
        <a:xfrm>
          <a:off x="25260709" y="7440971"/>
          <a:ext cx="620661" cy="152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800"/>
            <a:t>31-07-2025</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377794</xdr:colOff>
      <xdr:row>1</xdr:row>
      <xdr:rowOff>53703</xdr:rowOff>
    </xdr:from>
    <xdr:to>
      <xdr:col>30</xdr:col>
      <xdr:colOff>399143</xdr:colOff>
      <xdr:row>22</xdr:row>
      <xdr:rowOff>18143</xdr:rowOff>
    </xdr:to>
    <xdr:graphicFrame macro="">
      <xdr:nvGraphicFramePr>
        <xdr:cNvPr id="2" name="Chart 6">
          <a:extLst>
            <a:ext uri="{FF2B5EF4-FFF2-40B4-BE49-F238E27FC236}">
              <a16:creationId xmlns:a16="http://schemas.microsoft.com/office/drawing/2014/main" id="{F2B83A24-4798-47B4-AFA0-36F06BB41EBF}"/>
            </a:ext>
            <a:ext uri="{147F2762-F138-4A5C-976F-8EAC2B608ADB}">
              <a16:predDERef xmlns:a16="http://schemas.microsoft.com/office/drawing/2014/main" pred="{4C8AF116-C122-4269-810E-332DC83C3D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1524000</xdr:colOff>
      <xdr:row>29</xdr:row>
      <xdr:rowOff>108857</xdr:rowOff>
    </xdr:from>
    <xdr:to>
      <xdr:col>32</xdr:col>
      <xdr:colOff>249311</xdr:colOff>
      <xdr:row>51</xdr:row>
      <xdr:rowOff>2539</xdr:rowOff>
    </xdr:to>
    <xdr:graphicFrame macro="">
      <xdr:nvGraphicFramePr>
        <xdr:cNvPr id="3" name="Chart 2">
          <a:extLst>
            <a:ext uri="{FF2B5EF4-FFF2-40B4-BE49-F238E27FC236}">
              <a16:creationId xmlns:a16="http://schemas.microsoft.com/office/drawing/2014/main" id="{46FF6EC1-A93C-41E6-87D9-B1E0F0630AFF}"/>
            </a:ext>
            <a:ext uri="{147F2762-F138-4A5C-976F-8EAC2B608ADB}">
              <a16:predDERef xmlns:a16="http://schemas.microsoft.com/office/drawing/2014/main" pred="{3B115D5D-CA97-4966-9FBC-713BEF1C95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kpitc.sharepoint.com/personal/tw196_cummins_com/Documents/MeghaRane/Cummins/CES/CES_Q2'25_Planning/PFS/Q2'25_DCR_Completion_dates.xlsx" TargetMode="External"/><Relationship Id="rId2" Type="http://schemas.openxmlformats.org/officeDocument/2006/relationships/externalLinkPath" Target="https://cummins365-my.sharepoint.com/personal/tw196_cummins_com/Documents/MeghaRane/Cummins/CES/CES_Q2'25_Planning/PFS/Q2'25_DCR_Completion_dates.xlsx" TargetMode="External"/><Relationship Id="rId1" Type="http://schemas.openxmlformats.org/officeDocument/2006/relationships/externalLinkPath" Target="/personal/tw196_cummins_com/Documents/MeghaRane/Cummins/CES/CES_Q2'25_Planning/PFS/Q2'25_DCR_Completion_dates.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kpitc.sharepoint.com/Users/meghar/Downloads/Hiring%20Requirements_Tracker%20(5).xlsx" TargetMode="External"/><Relationship Id="rId1" Type="http://schemas.openxmlformats.org/officeDocument/2006/relationships/externalLinkPath" Target="/Users/meghar/Downloads/Hiring%20Requirements_Tracker%20(5).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kpitc.sharepoint.com/Users/kf258/Desktop/CES/Scrum%20IUDC%20UL2/2018/SCRUM_IUDC_UL2_Mar2018.xlsm" TargetMode="External"/><Relationship Id="rId1" Type="http://schemas.openxmlformats.org/officeDocument/2006/relationships/externalLinkPath" Target="/Users/kf258/Desktop/CES/Scrum%20IUDC%20UL2/2018/SCRUM_IUDC_UL2_Mar2018.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ba_url/Users/sandeepb/AppData/Local/Microsoft/Windows/Temporary%20Internet%20Files/Content.Outlook/KNCCDYPK/Proposal_Review_Chklist.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kpitc.sharepoint.com/SVN/Trunk/Project%20Management/Project%20Execution%20&amp;%20Control/Reports/Risk%20Sheet/Risk_Management_Report_CES.xls" TargetMode="External"/><Relationship Id="rId1" Type="http://schemas.openxmlformats.org/officeDocument/2006/relationships/externalLinkPath" Target="/SVN/Trunk/Project%20Management/Project%20Execution%20&amp;%20Control/Reports/Risk%20Sheet/Risk_Management_Report_CES.xls"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https://kpitc.sharepoint.com/Software/Data/OR0740/Branch/Process/PRCR%20Plan%20Tool/Current_PRCR_Status.xlsm" TargetMode="External"/><Relationship Id="rId1" Type="http://schemas.openxmlformats.org/officeDocument/2006/relationships/externalLinkPath" Target="/Software/Data/OR0740/Branch/Process/PRCR%20Plan%20Tool/Current_PRCR_Statu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H:\fes_controls\wwSCR\OBD\CES_SCR_DiagReqTracker_FaultAccom%20Working%20Copy\CES_SCR_DiagReqTracker_FaultAccom.xls"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https://kpitc.sharepoint.com/Users/kf258/Desktop/CES/AppGuide%20Work/Overall_AppGuide_Status.xlsm" TargetMode="External"/><Relationship Id="rId1" Type="http://schemas.openxmlformats.org/officeDocument/2006/relationships/externalLinkPath" Target="/Users/kf258/Desktop/CES/AppGuide%20Work/Overall_AppGuide_Status.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kpitc.sharepoint.com/Powertrain%20Practise/Hitachi_VW_Inverter/KPIT_CustName_ProjectName_RLS_Verx.y.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https://kpitc.sharepoint.com/Megha_L-4591_Backup/PM_Volkswagen/Project%20Management/Cummins/CumminsOBD/ProjectDocuments/RLS/KPIT_Cummins_OBD%203%20Step%20Calibration%20Support%20UK_RLS_V3.0.xlsx" TargetMode="External"/><Relationship Id="rId1" Type="http://schemas.openxmlformats.org/officeDocument/2006/relationships/externalLinkPath" Target="/Megha_L-4591_Backup/PM_Volkswagen/Project%20Management/Cummins/CumminsOBD/ProjectDocuments/RLS/KPIT_Cummins_OBD%203%20Step%20Calibration%20Support%20UK_RLS_V3.0.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kpitc-my.sharepoint.com/Users/md537/Desktop/CES_Extension%202017-18%20Pricing%20template/KPIT_PBD_Cummins_CES%20Project%20extension_V%203.0.xlsm" TargetMode="External"/></Relationships>
</file>

<file path=xl/externalLinks/_rels/externalLink12.xml.rels><?xml version="1.0" encoding="UTF-8" standalone="yes"?>
<Relationships xmlns="http://schemas.openxmlformats.org/package/2006/relationships"><Relationship Id="rId3" Type="http://schemas.openxmlformats.org/officeDocument/2006/relationships/externalLinkPath" Target="https://kpitc.sharepoint.com/personal/mt618_cummins_com/Documents/Q1'26/Management/Scrum/SCRUM_PFS_Nov'25.xlsm" TargetMode="External"/><Relationship Id="rId2" Type="http://schemas.openxmlformats.org/officeDocument/2006/relationships/externalLinkPath" Target="https://cummins365-my.sharepoint.com/personal/mt618_cummins_com/Documents/Q1'26/Management/Scrum/SCRUM_PFS_Nov'25.xlsm" TargetMode="External"/><Relationship Id="rId1" Type="http://schemas.openxmlformats.org/officeDocument/2006/relationships/externalLinkPath" Target="/personal/mt618_cummins_com/Documents/Q1'26/Management/Scrum/SCRUM_PFS_Nov'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SAR_Plan"/>
      <sheetName val="CSAR_WSR_Graph"/>
      <sheetName val="CSAR_WSR_Graph (Revised compl)"/>
      <sheetName val="DDP_Plan"/>
      <sheetName val="DDP_MS1-5_Plan"/>
      <sheetName val="DDP_WSR_Graph"/>
      <sheetName val="FTIS"/>
      <sheetName val="Sheet4"/>
      <sheetName val="Sheet6"/>
      <sheetName val="Revised planned end date"/>
      <sheetName val="Pivot table"/>
      <sheetName val="% details of Eval &amp; Impl"/>
      <sheetName val="Revised planned end date (2)"/>
      <sheetName val="Q2'25_DCR_Completion_d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Hiring req (Closed)"/>
      <sheetName val="Summary"/>
      <sheetName val="Hiring req"/>
      <sheetName val="IPFahren"/>
      <sheetName val="Detailed Timeline Report"/>
      <sheetName val="Lookup"/>
      <sheetName val="Dashboard ( Daily Report )"/>
      <sheetName val="Dashboard (Weekly Report)"/>
      <sheetName val="Skill and Grade Wise Panel List"/>
      <sheetName val="TAG SPOC"/>
      <sheetName val="Panel"/>
      <sheetName val="Approval Table"/>
      <sheetName val="Lookup Table"/>
      <sheetName val="Guidelines for priority"/>
      <sheetName val="Account Wise Panel List_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Guidelines"/>
      <sheetName val="Tracker"/>
      <sheetName val="Sheet1"/>
      <sheetName val="DRB Comments"/>
      <sheetName val="Categories"/>
      <sheetName val="Leaves"/>
      <sheetName val="CSAT"/>
      <sheetName val="Values_Guidelines_KRA"/>
      <sheetName val="Feb'18 efforts"/>
      <sheetName val="Resource Utilization"/>
      <sheetName val="Log"/>
      <sheetName val="Value Addition"/>
      <sheetName val="RASCI"/>
      <sheetName val="InputsAndValid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DPS-Review-Checklist"/>
      <sheetName val="Sheet1"/>
    </sheetNames>
    <sheetDataSet>
      <sheetData sheetId="0"/>
      <sheetData sheetId="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adme"/>
      <sheetName val="Risk_List"/>
      <sheetName val="Risk_Tracking"/>
      <sheetName val="Reporting"/>
      <sheetName val="References"/>
      <sheetName val="Guidelines"/>
      <sheetName val="Easy PRCR"/>
    </sheetNames>
    <sheetDataSet>
      <sheetData sheetId="0"/>
      <sheetData sheetId="1"/>
      <sheetData sheetId="2"/>
      <sheetData sheetId="3"/>
      <sheetData sheetId="4"/>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Guidelines"/>
      <sheetName val="Planning"/>
      <sheetName val="Values"/>
      <sheetName val="App Guide Phase2 DCRs"/>
      <sheetName val="Dummy_for_Comparison1"/>
      <sheetName val="Dummy_for_Comparison2"/>
      <sheetName val="Dummy_for_Comparison3"/>
      <sheetName val="Dummy_for_Comparison4"/>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Changes"/>
      <sheetName val="Software Architecture"/>
      <sheetName val="Fault Accommodation Masks"/>
      <sheetName val="Tampering Detection"/>
      <sheetName val="Copy Of UIMBBitmaps2ATMBitmaps"/>
      <sheetName val="SECURITY CHECKLIST"/>
      <sheetName val="Master Diagnostic List 2.4.2.4"/>
      <sheetName val="Translated Requirements1.0.0.24"/>
      <sheetName val="Service Fault Codes 1.0.0.57"/>
      <sheetName val="UPDATE INSTRUCTIONS"/>
      <sheetName val="MDL Tracker (Euro-SCR Only)"/>
      <sheetName val="C2ST Errors In Build (Grundfos)"/>
      <sheetName val="C2ST Errors In Build (Bosch)"/>
      <sheetName val="Equinox_Rainbow_OBD_EU_Template"/>
      <sheetName val="Equinox_Rainbow_OBD_Ch_Template"/>
      <sheetName val="Avalon_FireFox_OBD_Template"/>
      <sheetName val="ClearQuest SCR PRCRs"/>
      <sheetName val="Equinox DEP Recommendations"/>
      <sheetName val="Excel2003 Colour Palette"/>
      <sheetName val="Named Range Manager"/>
      <sheetName val="C_UID_bs_SysFalseFault_X"/>
      <sheetName val="C_UIM_bs_UDB_xxxxxx_Enbl"/>
      <sheetName val="UIMB Bitmaps To ATM Bitmaps"/>
      <sheetName val="Master Diagnostic List 2.4.0.2"/>
      <sheetName val="Master Diagnostic List 2.3.0.1"/>
      <sheetName val="Service Fault Codes 1.0.0.52iws"/>
      <sheetName val="BoschSCRFaultStatMsg 2008-11-06"/>
      <sheetName val="DeNOx2.2 OBD 2008-11-07 (1)"/>
      <sheetName val="DeNOx2.2 OBD 2008-11-07 (2)"/>
      <sheetName val="Bosch Internal Relay Mapping"/>
      <sheetName val="Bosch OBD Issue Tracker"/>
      <sheetName val="Euro Certification Document"/>
      <sheetName val="SCR Tracker"/>
      <sheetName val="ErrorsInBuild"/>
      <sheetName val="Euro Legislation Requirements"/>
      <sheetName val="MDL_PRCRs"/>
      <sheetName val="ClearQuest SCR PRCRs in Working"/>
      <sheetName val="Extracted MS Review Dates"/>
      <sheetName val="2008 Calendar"/>
      <sheetName val="CD_CES_SCR_ATD"/>
      <sheetName val="CD_CES_SCR_Bosch"/>
      <sheetName val="Merged CES &amp; OBD 8-Step Process"/>
      <sheetName val="Legislation Applicability"/>
      <sheetName val="Emission Limit &amp; OBD Thresholds"/>
      <sheetName val="Sensor A2D Calcs"/>
      <sheetName val="DeNOx 2.2 DCU Sample Levels"/>
      <sheetName val="V_ATD_bs_SCR_SysIO1_Errs"/>
      <sheetName val="V_ATD_bs_SCR_SysIO2_Errs"/>
      <sheetName val="V_ATD_bs_SCR_SysPerf_Errs"/>
      <sheetName val="V_UIM_bs_DiagStatus"/>
      <sheetName val="temp1"/>
      <sheetName val="DeNOx2.2 OBD v11 2008-09-24"/>
      <sheetName val="DeNOx2.2 OBD v10 2008-07-28"/>
      <sheetName val="DeNOx2.2 Diagnostic List V9"/>
      <sheetName val="DeNOx2.2 Diagnostic List V2.5.3"/>
      <sheetName val="BoschSCRFaultStatMsg 2008-08-21"/>
      <sheetName val="BoschDFCToCumminsSysErr"/>
      <sheetName val="Master Diagnostic List 2.4.1.1"/>
      <sheetName val="Service Fault Codes 1.0.0.55"/>
      <sheetName val="temp new fault mask design sht"/>
      <sheetName val="Master Diagnostic List 2.2.1.10"/>
      <sheetName val="Translated Requirements1.0.0.21"/>
      <sheetName val="Service Fault Codes 1.0.0.51iws"/>
      <sheetName val="ClearQuest SCR_Working"/>
      <sheetName val="C_UIM_bs_UreaDoserB_xxxxxx_Enbl"/>
      <sheetName val="C_UID_bs_DosingSysFaultHandle_X"/>
      <sheetName val="temp"/>
      <sheetName val="Master Diagnostic List 2.2.1.3"/>
      <sheetName val="Service Fault Codes 1.0.0.49"/>
      <sheetName val="Bosch SCR Fault Status Message"/>
      <sheetName val="DeNOx2.2 OBD v11 2008-08-29"/>
      <sheetName val="Master Diagnostic List 2.3.1.0"/>
      <sheetName val="DeNOx2.2 OBD 2008-10-30 (1)"/>
      <sheetName val="DeNOx2.2 OBD 2008-10-30 (2)"/>
      <sheetName val="SCR Euro-Only Tracker"/>
      <sheetName val="Master Diagnostic List 2.4.0.7"/>
      <sheetName val="Service Fault Codes 1.0.0.54"/>
      <sheetName val="obsolete"/>
      <sheetName val="Master Diagnostic List 2.4.2.1"/>
    </sheetNames>
    <sheetDataSet>
      <sheetData sheetId="0"/>
      <sheetData sheetId="1" refreshError="1"/>
      <sheetData sheetId="2"/>
      <sheetData sheetId="3"/>
      <sheetData sheetId="4" refreshError="1"/>
      <sheetData sheetId="5" refreshError="1"/>
      <sheetData sheetId="6"/>
      <sheetData sheetId="7" refreshError="1"/>
      <sheetData sheetId="8"/>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refreshError="1"/>
      <sheetData sheetId="59" refreshError="1"/>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efreshError="1"/>
      <sheetData sheetId="74" refreshError="1"/>
      <sheetData sheetId="75"/>
      <sheetData sheetId="76" refreshError="1"/>
      <sheetData sheetId="77" refreshError="1"/>
      <sheetData sheetId="78" refreshError="1"/>
      <sheetData sheetId="7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print Template - 2wks (2) copy"/>
      <sheetName val="Instructions"/>
      <sheetName val="Task Dashboard"/>
      <sheetName val="Sprint Task Tracker"/>
      <sheetName val="Productivity Metric"/>
      <sheetName val="Retrospective"/>
      <sheetName val="Sprint Template - PAR"/>
      <sheetName val="Sprint Template - 1wk"/>
      <sheetName val="Product Backlog"/>
      <sheetName val="Lookups"/>
      <sheetName val="Sprint # AppGuide Nov"/>
      <sheetName val="Sprint # AppGuide Dec"/>
      <sheetName val="Sprint # AppGuide Jan"/>
      <sheetName val="AppGuide List"/>
      <sheetName val="Overvi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erences"/>
      <sheetName val="Resource Loading"/>
    </sheetNames>
    <sheetDataSet>
      <sheetData sheetId="0" refreshError="1"/>
      <sheetData sheetId="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ver Page"/>
      <sheetName val="Resource Loading"/>
      <sheetName val="Commercial Calc"/>
      <sheetName val="More details "/>
      <sheetName val="Travels"/>
      <sheetName val="Tools &amp; Other costs"/>
      <sheetName val="Resource plan graph"/>
      <sheetName val="References"/>
      <sheetName val="FTE Calculations"/>
      <sheetName val="Resource Loading (2)"/>
      <sheetName val="Revised Rate till Oct2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ject_details"/>
      <sheetName val="Planning_Basedata"/>
      <sheetName val="Output_View_II"/>
      <sheetName val="Detailed_Output_Sheet"/>
      <sheetName val="Total_Project_Cost"/>
      <sheetName val="Output_Working"/>
      <sheetName val="Salary_Subcon_Cost"/>
      <sheetName val="Resourcewise_Revenue"/>
      <sheetName val="Customer_View_Lists"/>
      <sheetName val="Resource_planning_input"/>
      <sheetName val="Transition_Resource_Input"/>
      <sheetName val="Project_Milestones"/>
      <sheetName val="Operations_planning_input"/>
      <sheetName val="Revenue_Input"/>
      <sheetName val="Other_Cost_Input"/>
      <sheetName val="Travel_Cost_Input"/>
      <sheetName val="Notepad"/>
      <sheetName val="Risk_Assumptions"/>
      <sheetName val="File_Validation"/>
      <sheetName val="Salary_Matrix"/>
      <sheetName val="Exchange Rates"/>
      <sheetName val="Support Sheet"/>
      <sheetName val="KPIT_PBD_Cummins_CES Project ex"/>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Guidelines"/>
      <sheetName val="Team_details"/>
      <sheetName val="Non-STLA"/>
      <sheetName val="CSAR_WSR_Graph (Non-STLA)"/>
      <sheetName val="Sheet2"/>
      <sheetName val="STLA"/>
      <sheetName val="CSAR_WSR_Graph (STLA_Sabre)"/>
      <sheetName val="CSAR_WSR_Graph (STLA_Phantom"/>
      <sheetName val="DDP_Plan"/>
      <sheetName val="DDP_MS1-5_Plan"/>
      <sheetName val="% details of Eval &amp; Impl"/>
      <sheetName val="Developer_Efforts_Utilization"/>
      <sheetName val="Eheater DCR Details"/>
      <sheetName val="SCRUM_PFS_Nov'25"/>
    </sheetNames>
    <sheetDataSet>
      <sheetData sheetId="0"/>
      <sheetData sheetId="1"/>
      <sheetData sheetId="2"/>
      <sheetData sheetId="3">
        <row r="3">
          <cell r="D3" t="str">
            <v>Week No</v>
          </cell>
          <cell r="H3" t="str">
            <v>Rejected / Transferred/ Moved to next quarter</v>
          </cell>
          <cell r="I3" t="str">
            <v>Cumulative (Baseline Plan)</v>
          </cell>
          <cell r="J3" t="str">
            <v>Cumulative Revised basline plan</v>
          </cell>
          <cell r="M3" t="str">
            <v>Eval In Progress</v>
          </cell>
          <cell r="N3" t="str">
            <v>% Completion Confidence - Overall</v>
          </cell>
        </row>
      </sheetData>
      <sheetData sheetId="4"/>
      <sheetData sheetId="5"/>
      <sheetData sheetId="6"/>
      <sheetData sheetId="7">
        <row r="3">
          <cell r="D3" t="str">
            <v>Week No</v>
          </cell>
          <cell r="E3" t="str">
            <v>Baseline Plan</v>
          </cell>
          <cell r="H3" t="str">
            <v>Rejected / Transferred/ Moved to next quarter</v>
          </cell>
          <cell r="I3" t="str">
            <v>Cumulative (Baseline Plan)</v>
          </cell>
          <cell r="J3" t="str">
            <v>Cumulative Revised basline plan</v>
          </cell>
          <cell r="K3" t="str">
            <v>Cumulative (Completed)</v>
          </cell>
          <cell r="L3" t="str">
            <v>Cumulative Revised basline plan complted</v>
          </cell>
          <cell r="M3" t="str">
            <v>Eval In Progress</v>
          </cell>
          <cell r="N3" t="str">
            <v>% Completion Confidence - Overall</v>
          </cell>
          <cell r="O3" t="str">
            <v>% Actual weekly completion wr.t Baseline</v>
          </cell>
          <cell r="P3" t="str">
            <v>% Actual weekly completion wr.t  revised Baseline</v>
          </cell>
        </row>
        <row r="4">
          <cell r="D4">
            <v>45</v>
          </cell>
          <cell r="E4">
            <v>0</v>
          </cell>
          <cell r="H4">
            <v>0</v>
          </cell>
          <cell r="I4">
            <v>0</v>
          </cell>
          <cell r="J4">
            <v>0</v>
          </cell>
          <cell r="K4">
            <v>0</v>
          </cell>
          <cell r="L4">
            <v>0</v>
          </cell>
          <cell r="M4">
            <v>0</v>
          </cell>
          <cell r="N4">
            <v>1</v>
          </cell>
          <cell r="O4">
            <v>1</v>
          </cell>
          <cell r="P4">
            <v>1</v>
          </cell>
        </row>
        <row r="5">
          <cell r="D5">
            <v>46</v>
          </cell>
          <cell r="E5">
            <v>0</v>
          </cell>
          <cell r="H5">
            <v>0</v>
          </cell>
          <cell r="I5">
            <v>0</v>
          </cell>
          <cell r="J5">
            <v>0</v>
          </cell>
          <cell r="K5">
            <v>0</v>
          </cell>
          <cell r="L5">
            <v>0</v>
          </cell>
          <cell r="M5">
            <v>10</v>
          </cell>
          <cell r="N5">
            <v>1</v>
          </cell>
          <cell r="O5">
            <v>1</v>
          </cell>
          <cell r="P5">
            <v>1</v>
          </cell>
        </row>
        <row r="6">
          <cell r="D6">
            <v>47</v>
          </cell>
          <cell r="E6">
            <v>0</v>
          </cell>
          <cell r="I6">
            <v>0</v>
          </cell>
          <cell r="J6">
            <v>0</v>
          </cell>
          <cell r="K6">
            <v>0</v>
          </cell>
          <cell r="M6">
            <v>10</v>
          </cell>
          <cell r="N6">
            <v>1</v>
          </cell>
          <cell r="P6">
            <v>1</v>
          </cell>
        </row>
        <row r="7">
          <cell r="D7">
            <v>48</v>
          </cell>
          <cell r="E7">
            <v>2</v>
          </cell>
          <cell r="I7">
            <v>2</v>
          </cell>
          <cell r="J7">
            <v>2</v>
          </cell>
          <cell r="K7">
            <v>2</v>
          </cell>
          <cell r="M7">
            <v>10</v>
          </cell>
          <cell r="N7">
            <v>1</v>
          </cell>
          <cell r="P7">
            <v>1</v>
          </cell>
        </row>
        <row r="8">
          <cell r="D8">
            <v>49</v>
          </cell>
          <cell r="E8">
            <v>3</v>
          </cell>
          <cell r="I8">
            <v>5</v>
          </cell>
          <cell r="J8">
            <v>5</v>
          </cell>
          <cell r="K8">
            <v>5</v>
          </cell>
          <cell r="M8">
            <v>5</v>
          </cell>
          <cell r="N8">
            <v>1</v>
          </cell>
          <cell r="P8">
            <v>1</v>
          </cell>
        </row>
        <row r="9">
          <cell r="D9">
            <v>50</v>
          </cell>
          <cell r="E9">
            <v>4</v>
          </cell>
          <cell r="I9">
            <v>9</v>
          </cell>
          <cell r="J9">
            <v>9</v>
          </cell>
          <cell r="K9">
            <v>7</v>
          </cell>
          <cell r="M9">
            <v>3</v>
          </cell>
          <cell r="N9">
            <v>1</v>
          </cell>
          <cell r="P9">
            <v>0.77777777777777779</v>
          </cell>
        </row>
        <row r="10">
          <cell r="D10">
            <v>51</v>
          </cell>
          <cell r="E10">
            <v>1</v>
          </cell>
          <cell r="I10">
            <v>10</v>
          </cell>
          <cell r="J10">
            <v>10</v>
          </cell>
          <cell r="K10">
            <v>9</v>
          </cell>
          <cell r="M10">
            <v>1</v>
          </cell>
          <cell r="N10">
            <v>1</v>
          </cell>
          <cell r="P10">
            <v>0.9</v>
          </cell>
        </row>
        <row r="11">
          <cell r="D11">
            <v>52</v>
          </cell>
          <cell r="E11">
            <v>0</v>
          </cell>
          <cell r="I11">
            <v>10</v>
          </cell>
          <cell r="J11">
            <v>10</v>
          </cell>
          <cell r="K11">
            <v>9</v>
          </cell>
          <cell r="M11">
            <v>1</v>
          </cell>
          <cell r="N11">
            <v>1</v>
          </cell>
          <cell r="P11">
            <v>0.9</v>
          </cell>
        </row>
        <row r="12">
          <cell r="D12">
            <v>1</v>
          </cell>
          <cell r="E12">
            <v>0</v>
          </cell>
          <cell r="I12">
            <v>10</v>
          </cell>
          <cell r="J12">
            <v>10</v>
          </cell>
          <cell r="K12">
            <v>9</v>
          </cell>
          <cell r="M12">
            <v>1</v>
          </cell>
          <cell r="N12">
            <v>1</v>
          </cell>
          <cell r="P12">
            <v>0.9</v>
          </cell>
        </row>
        <row r="13">
          <cell r="D13">
            <v>2</v>
          </cell>
          <cell r="E13">
            <v>0</v>
          </cell>
          <cell r="I13">
            <v>10</v>
          </cell>
          <cell r="J13">
            <v>10</v>
          </cell>
          <cell r="K13">
            <v>10</v>
          </cell>
          <cell r="M13">
            <v>0</v>
          </cell>
          <cell r="N13">
            <v>1</v>
          </cell>
          <cell r="P13">
            <v>1</v>
          </cell>
        </row>
        <row r="14">
          <cell r="D14">
            <v>3</v>
          </cell>
          <cell r="E14">
            <v>0</v>
          </cell>
        </row>
        <row r="15">
          <cell r="D15">
            <v>4</v>
          </cell>
          <cell r="E15">
            <v>0</v>
          </cell>
        </row>
        <row r="16">
          <cell r="D16">
            <v>5</v>
          </cell>
          <cell r="E16">
            <v>0</v>
          </cell>
        </row>
        <row r="21">
          <cell r="D21" t="str">
            <v>Week No</v>
          </cell>
          <cell r="E21" t="str">
            <v>Baseline Plan</v>
          </cell>
          <cell r="H21" t="str">
            <v>Rejected / Transferred/ Moved to next quarter</v>
          </cell>
          <cell r="I21" t="str">
            <v>Cumulative (Baseline Plan)</v>
          </cell>
          <cell r="J21" t="str">
            <v>Cumulative Revised basline plan</v>
          </cell>
          <cell r="K21" t="str">
            <v>Cumulative (Completed)</v>
          </cell>
          <cell r="L21" t="str">
            <v>Cumulative Revised basline plan complted</v>
          </cell>
          <cell r="M21" t="str">
            <v>Impl In Progress</v>
          </cell>
          <cell r="N21" t="str">
            <v>% Completion Confidence - Overall</v>
          </cell>
          <cell r="O21" t="str">
            <v>% Actual Completion - Weekly</v>
          </cell>
          <cell r="P21" t="str">
            <v>% Actual weekly completion wr.t  revised Baseline</v>
          </cell>
        </row>
        <row r="22">
          <cell r="D22">
            <v>45</v>
          </cell>
          <cell r="E22">
            <v>0</v>
          </cell>
          <cell r="H22">
            <v>0</v>
          </cell>
          <cell r="I22">
            <v>0</v>
          </cell>
          <cell r="J22">
            <v>0</v>
          </cell>
          <cell r="K22">
            <v>0</v>
          </cell>
          <cell r="L22">
            <v>0</v>
          </cell>
          <cell r="M22">
            <v>0</v>
          </cell>
          <cell r="N22">
            <v>1</v>
          </cell>
          <cell r="O22">
            <v>1</v>
          </cell>
          <cell r="P22">
            <v>1</v>
          </cell>
        </row>
        <row r="23">
          <cell r="D23">
            <v>46</v>
          </cell>
          <cell r="E23">
            <v>0</v>
          </cell>
          <cell r="H23">
            <v>0</v>
          </cell>
          <cell r="I23">
            <v>0</v>
          </cell>
          <cell r="J23">
            <v>0</v>
          </cell>
          <cell r="K23">
            <v>0</v>
          </cell>
          <cell r="L23">
            <v>0</v>
          </cell>
          <cell r="M23">
            <v>0</v>
          </cell>
          <cell r="N23">
            <v>1</v>
          </cell>
          <cell r="O23">
            <v>1</v>
          </cell>
          <cell r="P23">
            <v>1</v>
          </cell>
        </row>
        <row r="24">
          <cell r="D24">
            <v>47</v>
          </cell>
          <cell r="E24">
            <v>0</v>
          </cell>
          <cell r="I24">
            <v>0</v>
          </cell>
          <cell r="N24">
            <v>1</v>
          </cell>
        </row>
        <row r="25">
          <cell r="D25">
            <v>48</v>
          </cell>
          <cell r="E25">
            <v>0</v>
          </cell>
          <cell r="I25">
            <v>0</v>
          </cell>
          <cell r="N25">
            <v>1</v>
          </cell>
        </row>
        <row r="26">
          <cell r="D26">
            <v>49</v>
          </cell>
          <cell r="E26">
            <v>0</v>
          </cell>
          <cell r="I26">
            <v>0</v>
          </cell>
          <cell r="N26">
            <v>1</v>
          </cell>
        </row>
        <row r="27">
          <cell r="D27">
            <v>50</v>
          </cell>
          <cell r="E27">
            <v>1</v>
          </cell>
          <cell r="I27">
            <v>1</v>
          </cell>
          <cell r="N27">
            <v>1</v>
          </cell>
        </row>
        <row r="28">
          <cell r="D28">
            <v>51</v>
          </cell>
          <cell r="E28">
            <v>1</v>
          </cell>
          <cell r="I28">
            <v>2</v>
          </cell>
          <cell r="N28">
            <v>1</v>
          </cell>
        </row>
        <row r="29">
          <cell r="D29">
            <v>52</v>
          </cell>
          <cell r="E29">
            <v>1</v>
          </cell>
          <cell r="I29">
            <v>3</v>
          </cell>
          <cell r="N29">
            <v>1</v>
          </cell>
        </row>
        <row r="30">
          <cell r="D30">
            <v>1</v>
          </cell>
          <cell r="E30">
            <v>0</v>
          </cell>
          <cell r="I30">
            <v>3</v>
          </cell>
          <cell r="N30">
            <v>1</v>
          </cell>
        </row>
        <row r="31">
          <cell r="D31">
            <v>2</v>
          </cell>
          <cell r="E31">
            <v>0</v>
          </cell>
          <cell r="I31">
            <v>3</v>
          </cell>
          <cell r="N31">
            <v>1</v>
          </cell>
        </row>
        <row r="32">
          <cell r="D32">
            <v>3</v>
          </cell>
          <cell r="E32">
            <v>2</v>
          </cell>
          <cell r="I32">
            <v>5</v>
          </cell>
          <cell r="N32">
            <v>1</v>
          </cell>
        </row>
        <row r="33">
          <cell r="D33">
            <v>4</v>
          </cell>
          <cell r="E33">
            <v>2</v>
          </cell>
          <cell r="I33">
            <v>7</v>
          </cell>
          <cell r="N33">
            <v>1</v>
          </cell>
        </row>
        <row r="34">
          <cell r="D34">
            <v>5</v>
          </cell>
          <cell r="E34">
            <v>4</v>
          </cell>
          <cell r="I34">
            <v>11</v>
          </cell>
          <cell r="N34">
            <v>1</v>
          </cell>
        </row>
      </sheetData>
      <sheetData sheetId="8"/>
      <sheetData sheetId="9"/>
      <sheetData sheetId="10"/>
      <sheetData sheetId="11"/>
      <sheetData sheetId="12"/>
      <sheetData sheetId="13" refreshError="1"/>
    </sheetDataSet>
  </externalBook>
</externalLink>
</file>

<file path=xl/persons/person.xml><?xml version="1.0" encoding="utf-8"?>
<personList xmlns="http://schemas.microsoft.com/office/spreadsheetml/2018/threadedcomments" xmlns:x="http://schemas.openxmlformats.org/spreadsheetml/2006/main">
  <person displayName="aishwarya Jahagirdar" id="{70C06E16-CA94-4F9E-875C-825726BC9D30}" userId="S::ac14v@cummins.com::922a1194-8a37-402c-bd7b-83e354e7a93f" providerId="AD"/>
  <person displayName="Chitharenjan Nair" id="{605761AD-E25F-4BC8-96A1-575CEB7F759D}" userId="S::am01f@cummins.com::b7517251-838f-4f3d-a1e3-1a2aaaba47ee" providerId="AD"/>
  <person displayName="Swayangdipta sarkar" id="{811A7B02-7C7E-49D8-A829-AB6311F1B586}" userId="S::wa754@cummins.com::73d70719-5e7f-4ffb-8a47-23ffa16d36ae" providerId="AD"/>
</personList>
</file>

<file path=xl/pivotCache/_rels/pivotCacheDefinition1.xml.rels><?xml version="1.0" encoding="UTF-8" standalone="yes"?>
<Relationships xmlns="http://schemas.openxmlformats.org/package/2006/relationships"><Relationship Id="rId2" Type="http://schemas.openxmlformats.org/officeDocument/2006/relationships/externalLinkPath" Target="/personal/tw196_cummins_com/_vti_history/61440/Documents/CES_PFS_Sprints_2024/Sprints/SCRUM_PFS_Oct'24.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personal/tw196_cummins_com/_vti_history/61440/Documents/CES_PFS_Sprints_2024/Sprints/SCRUM_PFS_Oct'24.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personal/tw196_cummins_com/_vti_history/61440/Documents/CES_PFS_Sprints_2024/Sprints/SCRUM_PFS_Oct'24.xlsm"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personal/tw196_cummins_com/_vti_history/61440/Documents/CES_PFS_Sprints_2024/Sprints/SCRUM_PFS_Oct'24.xlsm"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chna pawale" refreshedDate="45553.795993171298" createdVersion="8" refreshedVersion="8" minRefreshableVersion="3" recordCount="270" xr:uid="{8A8F6D6B-B64A-46A4-87D1-98B0B00147C9}">
  <cacheSource type="worksheet">
    <worksheetSource ref="A1:BM110" sheet="Tracker" r:id="rId2"/>
  </cacheSource>
  <cacheFields count="65">
    <cacheField name="DCR Owner" numFmtId="167">
      <sharedItems/>
    </cacheField>
    <cacheField name="Manager Name" numFmtId="167">
      <sharedItems containsBlank="1"/>
    </cacheField>
    <cacheField name="Actual Efforts (Hrs)" numFmtId="0">
      <sharedItems containsString="0" containsBlank="1" containsNumber="1" minValue="0" maxValue="133.5"/>
    </cacheField>
    <cacheField name="Estimated Hrs" numFmtId="0">
      <sharedItems containsString="0" containsBlank="1" containsNumber="1" containsInteger="1" minValue="0" maxValue="320"/>
    </cacheField>
    <cacheField name="Remaining Hrs" numFmtId="0">
      <sharedItems containsString="0" containsBlank="1" containsNumber="1" minValue="-63" maxValue="300"/>
    </cacheField>
    <cacheField name="Type of Contenet" numFmtId="167">
      <sharedItems containsNonDate="0" containsString="0" containsBlank="1"/>
    </cacheField>
    <cacheField name="DCR Phase" numFmtId="167">
      <sharedItems containsBlank="1"/>
    </cacheField>
    <cacheField name="Required by Phase" numFmtId="167">
      <sharedItems containsBlank="1"/>
    </cacheField>
    <cacheField name="DCR ID - PTC" numFmtId="0">
      <sharedItems containsSemiMixedTypes="0" containsString="0" containsNumber="1" containsInteger="1" minValue="10415897" maxValue="14753799" count="139">
        <n v="10415897"/>
        <n v="13471500"/>
        <n v="11000230"/>
        <n v="11094346"/>
        <n v="12295210"/>
        <n v="12450880"/>
        <n v="12541182"/>
        <n v="12582027"/>
        <n v="12734184"/>
        <n v="12748925"/>
        <n v="12778031"/>
        <n v="12878180"/>
        <n v="12942266"/>
        <n v="12942271"/>
        <n v="13066431"/>
        <n v="13088591"/>
        <n v="13117151"/>
        <n v="13147882"/>
        <n v="13148021"/>
        <n v="13148104"/>
        <n v="13151029"/>
        <n v="13151293"/>
        <n v="13153843"/>
        <n v="13153851"/>
        <n v="13153857"/>
        <n v="13153883"/>
        <n v="13153903"/>
        <n v="13208634"/>
        <n v="13334991"/>
        <n v="14737918"/>
        <n v="13370665"/>
        <n v="13371135"/>
        <n v="13377807"/>
        <n v="13377818"/>
        <n v="13389252"/>
        <n v="14578077"/>
        <n v="13389810"/>
        <n v="13424248"/>
        <n v="13444612"/>
        <n v="13530028"/>
        <n v="13532541"/>
        <n v="14118978"/>
        <n v="13543919"/>
        <n v="13579065"/>
        <n v="13608762"/>
        <n v="13665891"/>
        <n v="13665944"/>
        <n v="13665988"/>
        <n v="13718960"/>
        <n v="13743222"/>
        <n v="13751560"/>
        <n v="13779220"/>
        <n v="13850037"/>
        <n v="13868570"/>
        <n v="14026935"/>
        <n v="14063837"/>
        <n v="14114528"/>
        <n v="14114589"/>
        <n v="14114621"/>
        <n v="14127834"/>
        <n v="14135946"/>
        <n v="14135947"/>
        <n v="14218829"/>
        <n v="14329073"/>
        <n v="14329077"/>
        <n v="14345946"/>
        <n v="14363879"/>
        <n v="14364440"/>
        <n v="14364545"/>
        <n v="14364578"/>
        <n v="14395198"/>
        <n v="14428693"/>
        <n v="14447513"/>
        <n v="14447515"/>
        <n v="14447516"/>
        <n v="14447518"/>
        <n v="14447525"/>
        <n v="14447585"/>
        <n v="14447586"/>
        <n v="14447587"/>
        <n v="14447590"/>
        <n v="14447593"/>
        <n v="14447594"/>
        <n v="14528143"/>
        <n v="14581908"/>
        <n v="14581909"/>
        <n v="14581916"/>
        <n v="14578879"/>
        <n v="14578102"/>
        <n v="14578099"/>
        <n v="13047716"/>
        <n v="14433401"/>
        <n v="14433414"/>
        <n v="14118970"/>
        <n v="12874577"/>
        <n v="14579642"/>
        <n v="14578104"/>
        <n v="14581923"/>
        <n v="14584870"/>
        <n v="12363191"/>
        <n v="13064164"/>
        <n v="13895158"/>
        <n v="13274796"/>
        <n v="13337002"/>
        <n v="13471498"/>
        <n v="13514281"/>
        <n v="13543932"/>
        <n v="14106681"/>
        <n v="14160848"/>
        <n v="14186651"/>
        <n v="14328642"/>
        <n v="14370434"/>
        <n v="14447583"/>
        <n v="14632279"/>
        <n v="14658135"/>
        <n v="14704682"/>
        <n v="14135953"/>
        <n v="14119014"/>
        <n v="13377821"/>
        <n v="14042361"/>
        <n v="14369529"/>
        <n v="13477734"/>
        <n v="13480513"/>
        <n v="14415486"/>
        <n v="13186012"/>
        <n v="13414130"/>
        <n v="13590592"/>
        <n v="14026238"/>
        <n v="14186735"/>
        <n v="14328635"/>
        <n v="13404939"/>
        <n v="14471704"/>
        <n v="14521000"/>
        <n v="14753799"/>
        <n v="14672943"/>
        <n v="14655991"/>
        <n v="14721405"/>
        <n v="14721663"/>
        <n v="13590634"/>
      </sharedItems>
    </cacheField>
    <cacheField name="_x000a_PRCR ID" numFmtId="0">
      <sharedItems containsNonDate="0" containsString="0" containsBlank="1"/>
    </cacheField>
    <cacheField name="Summary" numFmtId="167">
      <sharedItems containsBlank="1"/>
    </cacheField>
    <cacheField name="PRCR State" numFmtId="167">
      <sharedItems count="6">
        <s v="Implement"/>
        <s v="Evaluate"/>
        <s v="Evaluate_NA"/>
        <s v="Task"/>
        <s v="Task_NA"/>
        <s v="Implement_NA"/>
      </sharedItems>
    </cacheField>
    <cacheField name="DCR State" numFmtId="167">
      <sharedItems containsBlank="1"/>
    </cacheField>
    <cacheField name="Internal Owner" numFmtId="167">
      <sharedItems containsNonDate="0" containsString="0" containsBlank="1"/>
    </cacheField>
    <cacheField name="Comments (Daily)" numFmtId="167">
      <sharedItems containsBlank="1" longText="1"/>
    </cacheField>
    <cacheField name="DCR Status" numFmtId="167">
      <sharedItems count="8">
        <s v="Closed"/>
        <s v="At Risk"/>
        <s v="Yet to start"/>
        <s v="On Track"/>
        <s v="On Hold"/>
        <s v="Deferred"/>
        <s v="Rejected"/>
        <s v="Transferred to S/W team"/>
      </sharedItems>
    </cacheField>
    <cacheField name="BT Start" numFmtId="0">
      <sharedItems containsNonDate="0" containsDate="1" containsString="0" containsBlank="1" minDate="2024-09-12T00:00:00" maxDate="2024-10-10T00:00:00"/>
    </cacheField>
    <cacheField name="BT end" numFmtId="167">
      <sharedItems containsBlank="1"/>
    </cacheField>
    <cacheField name="DDP Completion" numFmtId="0">
      <sharedItems containsNonDate="0" containsDate="1" containsString="0" containsBlank="1" minDate="2024-02-14T20:03:46" maxDate="2024-04-12T17:25:05"/>
    </cacheField>
    <cacheField name="Pre OBD Planned" numFmtId="0">
      <sharedItems containsNonDate="0" containsString="0" containsBlank="1"/>
    </cacheField>
    <cacheField name="OBD Planned " numFmtId="0">
      <sharedItems containsNonDate="0" containsString="0" containsBlank="1"/>
    </cacheField>
    <cacheField name="Feedback Awaited" numFmtId="0">
      <sharedItems containsNonDate="0" containsDate="1" containsString="0" containsBlank="1" minDate="2024-08-23T00:00:00" maxDate="2024-08-24T00:00:00"/>
    </cacheField>
    <cacheField name="Responsible" numFmtId="0">
      <sharedItems containsNonDate="0" containsDate="1" containsString="0" containsBlank="1" minDate="2024-08-23T00:00:00" maxDate="2024-08-24T00:00:00"/>
    </cacheField>
    <cacheField name="Last communication sent on" numFmtId="0">
      <sharedItems containsNonDate="0" containsDate="1" containsString="0" containsBlank="1" minDate="2024-09-03T00:00:00" maxDate="2024-09-04T00:00:00"/>
    </cacheField>
    <cacheField name="Sub-Task" numFmtId="0">
      <sharedItems containsNonDate="0" containsDate="1" containsString="0" containsBlank="1" minDate="2024-09-03T00:00:00" maxDate="2024-09-04T00:00:00"/>
    </cacheField>
    <cacheField name="Sub-Activity" numFmtId="0">
      <sharedItems containsNonDate="0" containsDate="1" containsString="0" containsBlank="1" minDate="2024-09-03T00:00:00" maxDate="2024-09-04T00:00:00"/>
    </cacheField>
    <cacheField name="Used Hours" numFmtId="0">
      <sharedItems containsBlank="1"/>
    </cacheField>
    <cacheField name="Sprint" numFmtId="0">
      <sharedItems containsBlank="1"/>
    </cacheField>
    <cacheField name="Deadline Date as per tagged phase/ Commit Date" numFmtId="0">
      <sharedItems containsNonDate="0" containsDate="1" containsString="0" containsBlank="1" minDate="2024-02-29T00:00:00" maxDate="2024-11-01T00:00:00"/>
    </cacheField>
    <cacheField name="Tag" numFmtId="0">
      <sharedItems containsBlank="1"/>
    </cacheField>
    <cacheField name="CQ Priority" numFmtId="0">
      <sharedItems containsBlank="1"/>
    </cacheField>
    <cacheField name="Internal Priority" numFmtId="0">
      <sharedItems containsNonDate="0" containsString="0" containsBlank="1"/>
    </cacheField>
    <cacheField name="Actual Assigned Date" numFmtId="0">
      <sharedItems containsNonDate="0" containsDate="1" containsString="0" containsBlank="1" minDate="2024-04-05T00:00:00" maxDate="2024-08-24T00:00:00"/>
    </cacheField>
    <cacheField name="Assigned Date_x000a_&lt;dd-mm-yyyy&gt;" numFmtId="0">
      <sharedItems containsDate="1" containsBlank="1" containsMixedTypes="1" minDate="2023-03-06T21:27:54" maxDate="2024-08-30T00:07:48"/>
    </cacheField>
    <cacheField name="PRCR Stage" numFmtId="167">
      <sharedItems containsBlank="1"/>
    </cacheField>
    <cacheField name="DCR Type" numFmtId="167">
      <sharedItems containsBlank="1"/>
    </cacheField>
    <cacheField name="Need Date" numFmtId="0">
      <sharedItems containsNonDate="0" containsDate="1" containsString="0" containsBlank="1" minDate="2019-10-24T00:00:00" maxDate="2024-12-02T18:30:00"/>
    </cacheField>
    <cacheField name="DCR Project" numFmtId="167">
      <sharedItems containsBlank="1"/>
    </cacheField>
    <cacheField name="PRCR Submission date" numFmtId="0">
      <sharedItems containsNonDate="0" containsDate="1" containsString="0" containsBlank="1" minDate="2022-10-29T00:48:08" maxDate="2024-08-09T15:06:35"/>
    </cacheField>
    <cacheField name="Actual Start Date_x000a_&lt;dd-mm-yyyy&gt;" numFmtId="0">
      <sharedItems containsDate="1" containsBlank="1" containsMixedTypes="1" minDate="2024-08-01T00:00:00" maxDate="2024-09-10T00:00:00"/>
    </cacheField>
    <cacheField name="Planned Start Date_x000a_&lt;dd-mm-yyyy&gt;" numFmtId="0">
      <sharedItems containsDate="1" containsBlank="1" containsMixedTypes="1" minDate="2024-08-05T00:00:00" maxDate="2024-10-22T00:00:00"/>
    </cacheField>
    <cacheField name="Planned Completion Date_x000a_&lt;dd-mm-yyyy&gt;" numFmtId="0">
      <sharedItems containsDate="1" containsBlank="1" containsMixedTypes="1" minDate="2024-08-12T00:00:00" maxDate="2024-12-16T00:00:00" count="58">
        <d v="2024-08-30T00:00:00"/>
        <d v="2024-09-17T00:00:00"/>
        <d v="2024-12-15T00:00:00"/>
        <d v="2024-10-28T00:00:00"/>
        <d v="2024-10-03T00:00:00"/>
        <d v="2024-09-27T00:00:00"/>
        <d v="2024-09-12T00:00:00"/>
        <d v="2024-09-26T00:00:00"/>
        <d v="2024-09-25T00:00:00"/>
        <d v="2024-09-30T00:00:00"/>
        <m/>
        <s v="04-09-2024_x000a_12-09-2024"/>
        <d v="2024-10-12T00:00:00"/>
        <s v="TBD"/>
        <d v="2024-09-19T00:00:00"/>
        <d v="2024-10-23T00:00:00"/>
        <s v="NA"/>
        <d v="2024-09-24T00:00:00"/>
        <d v="2024-10-25T00:00:00"/>
        <d v="2024-08-31T00:00:00"/>
        <d v="2024-10-31T00:00:00"/>
        <d v="2024-08-29T00:00:00"/>
        <d v="2024-09-09T00:00:00"/>
        <d v="2024-10-18T00:00:00"/>
        <d v="2024-10-10T00:00:00"/>
        <d v="2024-10-04T00:00:00"/>
        <d v="2024-10-30T00:00:00"/>
        <d v="2024-09-10T00:00:00"/>
        <s v="31-08-2024_x000a_06-09-2024_x000a_10-09-2024"/>
        <d v="2024-10-09T00:00:00"/>
        <d v="2024-11-15T00:00:00"/>
        <d v="2024-09-20T00:00:00"/>
        <d v="2024-10-15T00:00:00"/>
        <d v="2024-10-01T00:00:00"/>
        <d v="2024-09-05T00:00:00"/>
        <d v="2024-10-07T00:00:00"/>
        <d v="2024-08-26T00:00:00"/>
        <d v="2024-09-16T00:00:00"/>
        <d v="2024-10-26T00:00:00"/>
        <s v="13-09-2024_x000a_06-09-2024"/>
        <d v="2024-09-02T00:00:00"/>
        <d v="2024-09-13T00:00:00"/>
        <d v="2024-11-13T00:00:00"/>
        <d v="2024-10-19T00:00:00"/>
        <d v="2024-08-23T00:00:00"/>
        <d v="2024-09-11T00:00:00"/>
        <d v="2024-09-18T00:00:00"/>
        <s v="20-09-2024_x000a_27-09-2024"/>
        <d v="2024-11-20T00:00:00"/>
        <d v="2024-10-24T00:00:00"/>
        <d v="2024-11-19T00:00:00"/>
        <d v="2024-11-06T00:00:00"/>
        <d v="2024-11-04T00:00:00"/>
        <d v="2024-08-12T00:00:00"/>
        <d v="2024-09-15T00:00:00"/>
        <d v="2024-10-11T00:00:00"/>
        <d v="2024-09-06T00:00:00"/>
        <s v="15-10-2024"/>
      </sharedItems>
    </cacheField>
    <cacheField name="Comments for OTD missed_x000a_OR_x000a_for date change" numFmtId="0">
      <sharedItems containsBlank="1"/>
    </cacheField>
    <cacheField name="Initial estimated efforts" numFmtId="0">
      <sharedItems containsNonDate="0" containsString="0" containsBlank="1"/>
    </cacheField>
    <cacheField name="Actual Hrs" numFmtId="0">
      <sharedItems containsNonDate="0" containsString="0" containsBlank="1"/>
    </cacheField>
    <cacheField name="Actual Cmpln Date_x000a_&lt;dd-mm-yyyy&gt;" numFmtId="0">
      <sharedItems containsDate="1" containsBlank="1" containsMixedTypes="1" minDate="2024-08-01T00:00:00" maxDate="2024-09-19T00:00:00" count="22">
        <d v="2024-08-28T00:00:00"/>
        <m/>
        <d v="2024-09-18T00:00:00"/>
        <d v="2024-09-10T00:00:00"/>
        <d v="2024-08-29T00:00:00"/>
        <d v="2024-08-21T00:00:00"/>
        <d v="2024-09-09T00:00:00"/>
        <d v="2024-08-05T00:00:00"/>
        <d v="2024-08-30T00:00:00"/>
        <d v="2024-08-26T00:00:00"/>
        <d v="2024-08-24T00:00:00"/>
        <d v="2024-09-04T00:00:00"/>
        <d v="2024-09-13T00:00:00"/>
        <d v="2024-09-02T00:00:00"/>
        <d v="2024-08-23T00:00:00"/>
        <d v="2024-08-25T00:00:00"/>
        <d v="2024-09-11T00:00:00"/>
        <d v="2024-09-06T00:00:00"/>
        <d v="2024-08-22T00:00:00"/>
        <s v="NA"/>
        <d v="2024-08-01T00:00:00"/>
        <d v="2024-08-08T00:00:00"/>
      </sharedItems>
    </cacheField>
    <cacheField name="Actual L2 Sent Date" numFmtId="0">
      <sharedItems containsDate="1" containsBlank="1" containsMixedTypes="1" minDate="2024-07-15T00:00:00" maxDate="2024-09-19T00:00:00"/>
    </cacheField>
    <cacheField name="L2 received Date" numFmtId="0">
      <sharedItems containsDate="1" containsBlank="1" containsMixedTypes="1" minDate="2024-07-15T00:00:00" maxDate="2024-09-19T00:00:00"/>
    </cacheField>
    <cacheField name="L2 sent to" numFmtId="0">
      <sharedItems containsNonDate="0" containsString="0" containsBlank="1"/>
    </cacheField>
    <cacheField name="CR/Qr Updated _x000a_(Y/N)" numFmtId="0">
      <sharedItems containsNonDate="0" containsString="0" containsBlank="1"/>
    </cacheField>
    <cacheField name="_x000a_Biz Type" numFmtId="0">
      <sharedItems containsBlank="1"/>
    </cacheField>
    <cacheField name="SubSystem" numFmtId="0">
      <sharedItems containsBlank="1"/>
    </cacheField>
    <cacheField name="Reason for delay(Red Diamond)_x000a_Applicable if release date is over" numFmtId="0">
      <sharedItems containsNonDate="0" containsString="0" containsBlank="1"/>
    </cacheField>
    <cacheField name="Reason for PRCR Assignment after freeze date/ Submission deadline" numFmtId="167">
      <sharedItems containsNonDate="0" containsString="0" containsBlank="1"/>
    </cacheField>
    <cacheField name="Work Packet ID" numFmtId="0">
      <sharedItems containsNonDate="0" containsString="0" containsBlank="1"/>
    </cacheField>
    <cacheField name="WP Status" numFmtId="167">
      <sharedItems containsNonDate="0" containsString="0" containsBlank="1"/>
    </cacheField>
    <cacheField name="Actual CCB Date" numFmtId="0">
      <sharedItems containsNonDate="0" containsString="0" containsBlank="1"/>
    </cacheField>
    <cacheField name="Actual DRB date" numFmtId="167">
      <sharedItems containsNonDate="0" containsString="0" containsBlank="1"/>
    </cacheField>
    <cacheField name="Planned CCB date" numFmtId="167">
      <sharedItems containsNonDate="0" containsString="0" containsBlank="1"/>
    </cacheField>
    <cacheField name="Planned DRB Date" numFmtId="167">
      <sharedItems containsNonDate="0" containsString="0" containsBlank="1"/>
    </cacheField>
    <cacheField name="Planned L2 Date" numFmtId="167">
      <sharedItems containsNonDate="0" containsString="0" containsBlank="1"/>
    </cacheField>
    <cacheField name="Current Activity" numFmtId="167">
      <sharedItems containsNonDate="0" containsString="0" containsBlank="1"/>
    </cacheField>
    <cacheField name="Reminder1 Date" numFmtId="167">
      <sharedItems containsNonDate="0" containsString="0" containsBlank="1"/>
    </cacheField>
    <cacheField name="Reminder2 Date" numFmtId="167">
      <sharedItems containsNonDate="0" containsString="0" containsBlank="1"/>
    </cacheField>
    <cacheField name="Reminder3 Date" numFmtId="167">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chna pawale" refreshedDate="45553.870501851852" createdVersion="8" refreshedVersion="8" minRefreshableVersion="3" recordCount="127" xr:uid="{ED4CF3B8-60FD-499E-B73C-9BAC487D50D3}">
  <cacheSource type="worksheet">
    <worksheetSource ref="A1:U128" sheet="Sheet4" r:id="rId2"/>
  </cacheSource>
  <cacheFields count="21">
    <cacheField name="DCR Owner" numFmtId="167">
      <sharedItems/>
    </cacheField>
    <cacheField name="Manager Name" numFmtId="167">
      <sharedItems/>
    </cacheField>
    <cacheField name="Actual Efforts (Hrs)" numFmtId="1">
      <sharedItems containsString="0" containsBlank="1" containsNumber="1" minValue="0" maxValue="131"/>
    </cacheField>
    <cacheField name="Estimated Hrs" numFmtId="1">
      <sharedItems containsString="0" containsBlank="1" containsNumber="1" containsInteger="1" minValue="0" maxValue="250"/>
    </cacheField>
    <cacheField name="Remaining Hrs" numFmtId="1">
      <sharedItems containsString="0" containsBlank="1" containsNumber="1" minValue="-63" maxValue="250"/>
    </cacheField>
    <cacheField name="Type of Contenet" numFmtId="167">
      <sharedItems containsNonDate="0" containsString="0" containsBlank="1"/>
    </cacheField>
    <cacheField name="DCR Phase" numFmtId="167">
      <sharedItems containsBlank="1"/>
    </cacheField>
    <cacheField name="Required by Phase" numFmtId="167">
      <sharedItems containsBlank="1"/>
    </cacheField>
    <cacheField name="DCR ID - PTC" numFmtId="1">
      <sharedItems containsSemiMixedTypes="0" containsString="0" containsNumber="1" containsInteger="1" minValue="11000230" maxValue="14737918" count="126">
        <n v="11000230"/>
        <n v="11094346"/>
        <n v="12295210"/>
        <n v="12450880"/>
        <n v="12541182"/>
        <n v="12582027"/>
        <n v="12734184"/>
        <n v="12748925"/>
        <n v="12778031"/>
        <n v="12878180"/>
        <n v="12942266"/>
        <n v="12942271"/>
        <n v="13066431"/>
        <n v="13088591"/>
        <n v="13117151"/>
        <n v="13147882"/>
        <n v="13148021"/>
        <n v="13148104"/>
        <n v="13151029"/>
        <n v="13151293"/>
        <n v="13153843"/>
        <n v="13153851"/>
        <n v="13153857"/>
        <n v="13153883"/>
        <n v="13153903"/>
        <n v="13208634"/>
        <n v="13334991"/>
        <n v="14737918"/>
        <n v="13371135"/>
        <n v="13377807"/>
        <n v="13377818"/>
        <n v="13389252"/>
        <n v="14578077"/>
        <n v="13389810"/>
        <n v="13424248"/>
        <n v="13444612"/>
        <n v="13530028"/>
        <n v="13532541"/>
        <n v="14118978"/>
        <n v="13543919"/>
        <n v="13579065"/>
        <n v="13608762"/>
        <n v="13665891"/>
        <n v="13665944"/>
        <n v="13665988"/>
        <n v="13718960"/>
        <n v="13743222"/>
        <n v="13751560"/>
        <n v="13779220"/>
        <n v="13850037"/>
        <n v="13868570"/>
        <n v="14026935"/>
        <n v="14063837"/>
        <n v="14114528"/>
        <n v="14114589"/>
        <n v="14114621"/>
        <n v="14127834"/>
        <n v="14135946"/>
        <n v="14135947"/>
        <n v="14218829"/>
        <n v="14329073"/>
        <n v="14329077"/>
        <n v="14345946"/>
        <n v="14363879"/>
        <n v="14364440"/>
        <n v="14364545"/>
        <n v="14364578"/>
        <n v="14395198"/>
        <n v="14428693"/>
        <n v="14447513"/>
        <n v="14447515"/>
        <n v="14447516"/>
        <n v="14447518"/>
        <n v="14447525"/>
        <n v="14447585"/>
        <n v="14447586"/>
        <n v="14447587"/>
        <n v="14447590"/>
        <n v="14447593"/>
        <n v="14447594"/>
        <n v="14528143"/>
        <n v="14581908"/>
        <n v="14581909"/>
        <n v="14581916"/>
        <n v="14578879"/>
        <n v="14578102"/>
        <n v="14578099"/>
        <n v="13047716"/>
        <n v="14433401"/>
        <n v="14433414"/>
        <n v="14118970"/>
        <n v="12874577"/>
        <n v="14578104"/>
        <n v="14581923"/>
        <n v="14584870"/>
        <n v="12363191"/>
        <n v="13064164"/>
        <n v="13337002"/>
        <n v="13471498"/>
        <n v="13514281"/>
        <n v="13543932"/>
        <n v="13895158"/>
        <n v="14106681"/>
        <n v="14160848"/>
        <n v="14186651"/>
        <n v="14328642"/>
        <n v="14447583"/>
        <n v="14370434"/>
        <n v="14119014"/>
        <n v="14579642"/>
        <n v="13274796"/>
        <n v="13377821"/>
        <n v="13186012"/>
        <n v="13590592"/>
        <n v="14186735"/>
        <n v="13404939"/>
        <n v="14471704"/>
        <n v="14521000"/>
        <n v="14369529"/>
        <n v="13477734"/>
        <n v="13480513"/>
        <n v="14415486"/>
        <n v="13414130"/>
        <n v="14026238"/>
        <n v="14328635"/>
        <n v="14672943"/>
      </sharedItems>
    </cacheField>
    <cacheField name="_x000a_PRCR ID" numFmtId="167">
      <sharedItems containsNonDate="0" containsString="0" containsBlank="1"/>
    </cacheField>
    <cacheField name="Summary" numFmtId="167">
      <sharedItems/>
    </cacheField>
    <cacheField name="PRCR State" numFmtId="167">
      <sharedItems/>
    </cacheField>
    <cacheField name="DCR State" numFmtId="167">
      <sharedItems containsBlank="1"/>
    </cacheField>
    <cacheField name="Internal Owner" numFmtId="167">
      <sharedItems containsNonDate="0" containsString="0" containsBlank="1"/>
    </cacheField>
    <cacheField name="Comments (Daily)" numFmtId="167">
      <sharedItems containsBlank="1" longText="1"/>
    </cacheField>
    <cacheField name="DCR Status" numFmtId="167">
      <sharedItems count="8">
        <s v="At Risk"/>
        <s v="Yet to start"/>
        <s v="On Track"/>
        <s v="Closed"/>
        <s v="On Hold"/>
        <s v="Deferred"/>
        <s v="Rejected"/>
        <s v="Transferred to S/W team"/>
      </sharedItems>
    </cacheField>
    <cacheField name="Sprint" numFmtId="167">
      <sharedItems containsBlank="1"/>
    </cacheField>
    <cacheField name="Actual Assigned Date" numFmtId="167">
      <sharedItems containsNonDate="0" containsDate="1" containsString="0" containsBlank="1" minDate="2024-07-02T00:00:00" maxDate="2024-08-23T00:00:00"/>
    </cacheField>
    <cacheField name="Planned Start Date_x000a_&lt;dd-mm-yyyy&gt;" numFmtId="167">
      <sharedItems containsNonDate="0" containsDate="1" containsString="0" containsBlank="1" minDate="2024-08-05T00:00:00" maxDate="2024-09-28T00:00:00"/>
    </cacheField>
    <cacheField name="Planned Completion Date_x000a_&lt;dd-mm-yyyy&gt;" numFmtId="167">
      <sharedItems containsDate="1" containsBlank="1" containsMixedTypes="1" minDate="2024-08-12T00:00:00" maxDate="2024-11-16T00:00:00"/>
    </cacheField>
    <cacheField name="Actual Cmpln Date_x000a_&lt;dd-mm-yyyy&gt;" numFmtId="167">
      <sharedItems containsDate="1" containsBlank="1" containsMixedTypes="1" minDate="2024-08-01T00:00:00" maxDate="2024-09-19T0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chna pawale" refreshedDate="45555.583320717589" createdVersion="8" refreshedVersion="8" minRefreshableVersion="3" recordCount="272" xr:uid="{3D3557C4-38C3-4F98-9CC0-7996F4EB7CBF}">
  <cacheSource type="worksheet">
    <worksheetSource ref="A1:I273" sheet="Sheet9" r:id="rId2"/>
  </cacheSource>
  <cacheFields count="9">
    <cacheField name="DCR Owner" numFmtId="167">
      <sharedItems/>
    </cacheField>
    <cacheField name="Actual Efforts (Hrs)" numFmtId="0">
      <sharedItems containsDate="1" containsString="0" containsBlank="1" containsMixedTypes="1" minDate="1899-12-31T00:00:00" maxDate="1900-05-12T12:00:00" count="61">
        <n v="113"/>
        <n v="0"/>
        <n v="131"/>
        <n v="37"/>
        <n v="3"/>
        <n v="20"/>
        <n v="4"/>
        <n v="8"/>
        <n v="14"/>
        <n v="33"/>
        <n v="24"/>
        <n v="31.5"/>
        <m/>
        <d v="1900-01-08T00:00:00"/>
        <d v="1899-12-30T00:00:00"/>
        <d v="1900-01-29T00:00:00"/>
        <d v="1900-02-16T00:00:00"/>
        <d v="1900-02-05T00:00:00"/>
        <d v="1900-01-24T00:00:00"/>
        <d v="1900-02-06T00:00:00"/>
        <d v="1900-02-27T00:00:00"/>
        <d v="1900-04-08T00:00:00"/>
        <d v="1900-01-03T00:00:00"/>
        <d v="1900-01-27T00:00:00"/>
        <d v="1900-01-09T00:00:00"/>
        <d v="1900-02-03T00:00:00"/>
        <d v="1900-01-13T00:00:00"/>
        <d v="1900-05-09T00:00:00"/>
        <d v="1900-01-14T00:00:00"/>
        <d v="1900-02-28T00:00:00"/>
        <d v="1900-01-15T00:00:00"/>
        <d v="1900-01-18T00:00:00"/>
        <d v="1900-01-21T00:00:00"/>
        <d v="1900-01-05T00:00:00"/>
        <d v="1900-01-16T00:00:00"/>
        <d v="1900-01-28T00:00:00"/>
        <d v="1900-01-01T00:00:00"/>
        <d v="1900-01-12T00:00:00"/>
        <d v="1900-01-04T00:00:00"/>
        <d v="1900-01-20T12:00:00"/>
        <d v="1900-01-19T00:00:00"/>
        <d v="1900-02-15T00:00:00"/>
        <d v="1900-02-18T00:00:00"/>
        <d v="1900-02-20T12:00:00"/>
        <d v="1900-01-07T00:00:00"/>
        <d v="1900-02-09T12:00:00"/>
        <d v="1900-02-09T00:00:00"/>
        <d v="1900-01-23T00:00:00"/>
        <d v="1900-02-13T00:00:00"/>
        <d v="1900-03-19T00:00:00"/>
        <d v="1900-03-01T12:00:00"/>
        <d v="1900-03-04T00:00:00"/>
        <d v="1900-03-24T12:00:00"/>
        <d v="1900-02-23T00:00:00"/>
        <d v="1900-04-09T00:00:00"/>
        <d v="1900-01-24T12:00:00"/>
        <d v="1900-04-03T00:00:00"/>
        <d v="1900-05-12T12:00:00"/>
        <d v="1900-03-27T00:00:00"/>
        <d v="1900-02-08T00:00:00"/>
        <d v="1900-02-02T12:00:00"/>
      </sharedItems>
    </cacheField>
    <cacheField name="Estimated Hrs" numFmtId="0">
      <sharedItems containsDate="1" containsString="0" containsBlank="1" containsMixedTypes="1" minDate="1899-12-31T00:00:00" maxDate="1900-11-16T00:00:00" count="73">
        <n v="113"/>
        <n v="0"/>
        <n v="170"/>
        <m/>
        <n v="40"/>
        <n v="76"/>
        <n v="10"/>
        <n v="58"/>
        <n v="24"/>
        <n v="44"/>
        <n v="60"/>
        <n v="15"/>
        <n v="20"/>
        <n v="250"/>
        <n v="100"/>
        <n v="69"/>
        <n v="30"/>
        <d v="1900-04-19T00:00:00"/>
        <d v="1900-02-18T00:00:00"/>
        <d v="1899-12-30T00:00:00"/>
        <d v="1900-01-29T00:00:00"/>
        <d v="1900-11-15T00:00:00"/>
        <d v="1900-02-08T00:00:00"/>
        <d v="1900-01-24T00:00:00"/>
        <d v="1900-05-19T00:00:00"/>
        <d v="1900-08-17T00:00:00"/>
        <d v="1900-02-04T00:00:00"/>
        <d v="1900-02-13T00:00:00"/>
        <d v="1900-03-10T00:00:00"/>
        <d v="1900-01-09T00:00:00"/>
        <d v="1900-03-09T00:00:00"/>
        <d v="1900-01-15T00:00:00"/>
        <d v="1900-04-09T00:00:00"/>
        <d v="1900-05-29T00:00:00"/>
        <d v="1900-01-20T00:00:00"/>
        <d v="1900-01-23T00:00:00"/>
        <d v="1900-03-03T00:00:00"/>
        <d v="1900-03-20T00:00:00"/>
        <d v="1900-02-12T00:00:00"/>
        <d v="1900-02-28T00:00:00"/>
        <d v="1900-03-05T00:00:00"/>
        <d v="1900-01-10T00:00:00"/>
        <d v="1900-01-19T00:00:00"/>
        <d v="1900-01-14T00:00:00"/>
        <d v="1900-01-11T00:00:00"/>
        <d v="1900-01-17T00:00:00"/>
        <d v="1900-01-16T00:00:00"/>
        <d v="1900-01-26T00:00:00"/>
        <d v="1900-02-02T00:00:00"/>
        <d v="1900-02-16T00:00:00"/>
        <d v="1900-02-03T00:00:00"/>
        <d v="1900-02-19T00:00:00"/>
        <d v="1900-02-11T00:00:00"/>
        <d v="1900-02-07T00:00:00"/>
        <d v="1900-02-09T00:00:00"/>
        <d v="1900-05-07T00:00:00"/>
        <d v="1900-02-06T00:00:00"/>
        <d v="1900-06-21T00:00:00"/>
        <d v="1900-04-03T00:00:00"/>
        <d v="1900-03-04T00:00:00"/>
        <d v="1900-04-23T00:00:00"/>
        <d v="1900-07-10T00:00:00"/>
        <d v="1900-04-30T00:00:00"/>
        <d v="1900-07-28T00:00:00"/>
        <d v="1900-01-07T00:00:00"/>
        <d v="1900-07-18T00:00:00"/>
        <d v="1900-03-28T00:00:00"/>
        <d v="1900-03-30T00:00:00"/>
        <d v="1900-10-26T00:00:00"/>
        <d v="1900-08-07T00:00:00"/>
        <d v="1900-03-25T00:00:00"/>
        <d v="1900-01-03T00:00:00"/>
        <d v="1900-01-05T00:00:00"/>
      </sharedItems>
    </cacheField>
    <cacheField name="Remaining Hrs" numFmtId="0">
      <sharedItems containsDate="1" containsString="0" containsBlank="1" containsMixedTypes="1" minDate="1900-01-05T09:22:12" maxDate="1900-10-27T00:00:00"/>
    </cacheField>
    <cacheField name="DCR ID - PTC" numFmtId="0">
      <sharedItems containsSemiMixedTypes="0" containsString="0" containsNumber="1" containsInteger="1" minValue="10415897" maxValue="14753799" count="140">
        <n v="10415897"/>
        <n v="13471500"/>
        <n v="11000230"/>
        <n v="11094346"/>
        <n v="12295210"/>
        <n v="12450880"/>
        <n v="12541182"/>
        <n v="12582027"/>
        <n v="12734184"/>
        <n v="12748925"/>
        <n v="12778031"/>
        <n v="12878180"/>
        <n v="12942266"/>
        <n v="12942271"/>
        <n v="13066431"/>
        <n v="13088591"/>
        <n v="13117151"/>
        <n v="13147882"/>
        <n v="13148021"/>
        <n v="13148104"/>
        <n v="13151029"/>
        <n v="13151293"/>
        <n v="13153843"/>
        <n v="13153851"/>
        <n v="13153857"/>
        <n v="13153883"/>
        <n v="13153903"/>
        <n v="13208634"/>
        <n v="13334991"/>
        <n v="14737918"/>
        <n v="13370665"/>
        <n v="13371135"/>
        <n v="13377807"/>
        <n v="13377818"/>
        <n v="13389252"/>
        <n v="14578077"/>
        <n v="13389810"/>
        <n v="13424248"/>
        <n v="13444612"/>
        <n v="13530028"/>
        <n v="13532541"/>
        <n v="14118978"/>
        <n v="13543919"/>
        <n v="13579065"/>
        <n v="13608762"/>
        <n v="13665891"/>
        <n v="13665944"/>
        <n v="13665988"/>
        <n v="13718960"/>
        <n v="13743222"/>
        <n v="13358711"/>
        <n v="13751560"/>
        <n v="13779220"/>
        <n v="13850037"/>
        <n v="13868570"/>
        <n v="14026935"/>
        <n v="14063837"/>
        <n v="14114528"/>
        <n v="14114589"/>
        <n v="14114621"/>
        <n v="14127834"/>
        <n v="14135946"/>
        <n v="14135947"/>
        <n v="14218829"/>
        <n v="14329073"/>
        <n v="14329077"/>
        <n v="14345946"/>
        <n v="14363879"/>
        <n v="14364440"/>
        <n v="14364545"/>
        <n v="14364578"/>
        <n v="14395198"/>
        <n v="14428693"/>
        <n v="14447513"/>
        <n v="14447515"/>
        <n v="14447516"/>
        <n v="14447518"/>
        <n v="14447525"/>
        <n v="14447585"/>
        <n v="14447586"/>
        <n v="14447587"/>
        <n v="14447590"/>
        <n v="14447593"/>
        <n v="14447594"/>
        <n v="14528143"/>
        <n v="14581908"/>
        <n v="14581909"/>
        <n v="14581916"/>
        <n v="14578879"/>
        <n v="14578102"/>
        <n v="14578099"/>
        <n v="13047716"/>
        <n v="14433401"/>
        <n v="14433414"/>
        <n v="14118970"/>
        <n v="12874577"/>
        <n v="14579642"/>
        <n v="14578104"/>
        <n v="14581923"/>
        <n v="14584870"/>
        <n v="12363191"/>
        <n v="13064164"/>
        <n v="13895158"/>
        <n v="13274796"/>
        <n v="13337002"/>
        <n v="13471498"/>
        <n v="13514281"/>
        <n v="13543932"/>
        <n v="14106681"/>
        <n v="14160848"/>
        <n v="14186651"/>
        <n v="14328642"/>
        <n v="14370434"/>
        <n v="14447583"/>
        <n v="14632279"/>
        <n v="14658135"/>
        <n v="14704682"/>
        <n v="14135953"/>
        <n v="14119014"/>
        <n v="13377821"/>
        <n v="14042361"/>
        <n v="14369529"/>
        <n v="13477734"/>
        <n v="13480513"/>
        <n v="14415486"/>
        <n v="13186012"/>
        <n v="13414130"/>
        <n v="13590592"/>
        <n v="14026238"/>
        <n v="14186735"/>
        <n v="14328635"/>
        <n v="13404939"/>
        <n v="14471704"/>
        <n v="14521000"/>
        <n v="14753799"/>
        <n v="14672943"/>
        <n v="14655991"/>
        <n v="14721405"/>
        <n v="14721663"/>
        <n v="13590634"/>
      </sharedItems>
    </cacheField>
    <cacheField name="PRCR State" numFmtId="167">
      <sharedItems/>
    </cacheField>
    <cacheField name="DCR Status" numFmtId="167">
      <sharedItems/>
    </cacheField>
    <cacheField name="Planned Completion Date_x000a_&lt;dd-mm-yyyy&gt;" numFmtId="167">
      <sharedItems containsDate="1" containsBlank="1" containsMixedTypes="1" minDate="2024-08-12T00:00:00" maxDate="2024-12-16T00:00:00"/>
    </cacheField>
    <cacheField name="Actual Cmpln Date_x000a_&lt;dd-mm-yyyy&gt;" numFmtId="167">
      <sharedItems containsDate="1" containsBlank="1" containsMixedTypes="1" minDate="2024-08-01T00:00:00" maxDate="2024-09-19T00:00: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leema Pailwan" refreshedDate="45566.589821875001" createdVersion="8" refreshedVersion="8" minRefreshableVersion="3" recordCount="330" xr:uid="{8B736FCB-0E93-4AA0-91B3-05B5899188B0}">
  <cacheSource type="worksheet">
    <worksheetSource ref="A1:D331" sheet="Sheet1" r:id="rId2"/>
  </cacheSource>
  <cacheFields count="4">
    <cacheField name="DCR ID - PTC" numFmtId="0">
      <sharedItems containsSemiMixedTypes="0" containsString="0" containsNumber="1" containsInteger="1" minValue="8885160" maxValue="14869040"/>
    </cacheField>
    <cacheField name="PRCRState" numFmtId="167">
      <sharedItems containsDate="1" containsMixedTypes="1" minDate="1899-12-30T00:00:00" maxDate="1899-12-31T00:00:00" count="7">
        <s v="Implement"/>
        <s v="Evaluate"/>
        <s v="Evaluate_NA"/>
        <s v="Task"/>
        <s v="Task_NA"/>
        <s v="Implement_NA"/>
        <d v="1899-12-30T00:00:00"/>
      </sharedItems>
    </cacheField>
    <cacheField name="Planned Completion Date" numFmtId="167">
      <sharedItems containsDate="1" containsMixedTypes="1" minDate="1899-12-30T00:00:00" maxDate="2024-12-16T00:00:00" count="71">
        <d v="2024-08-30T00:00:00"/>
        <d v="2024-09-17T00:00:00"/>
        <d v="2024-10-31T00:00:00"/>
        <d v="2024-10-28T00:00:00"/>
        <d v="2024-10-03T00:00:00"/>
        <d v="2024-09-27T00:00:00"/>
        <d v="2024-09-12T00:00:00"/>
        <d v="2024-09-26T00:00:00"/>
        <d v="2024-09-25T00:00:00"/>
        <d v="2024-09-30T00:00:00"/>
        <s v="NA"/>
        <s v="04-09-2024_x000a_12-09-2024"/>
        <d v="2024-10-12T00:00:00"/>
        <d v="2024-09-19T00:00:00"/>
        <d v="2024-08-29T00:00:00"/>
        <d v="2024-10-23T00:00:00"/>
        <d v="2024-10-25T00:00:00"/>
        <d v="2024-09-24T00:00:00"/>
        <d v="2024-10-15T00:00:00"/>
        <d v="1899-12-30T00:00:00"/>
        <d v="2024-08-31T00:00:00"/>
        <d v="2024-09-09T00:00:00"/>
        <d v="2024-08-05T00:00:00"/>
        <d v="2024-10-18T00:00:00"/>
        <d v="2024-10-10T00:00:00"/>
        <d v="2024-10-04T00:00:00"/>
        <d v="2024-09-16T00:00:00"/>
        <d v="2024-10-30T00:00:00"/>
        <d v="2024-09-10T00:00:00"/>
        <s v="31-08-2024_x000a_06-09-2024_x000a_10-09-2024"/>
        <d v="2024-10-09T00:00:00"/>
        <d v="2024-11-15T00:00:00"/>
        <d v="2024-09-20T00:00:00"/>
        <s v="27-09-2024_x000a_17-09-2024"/>
        <s v="07-10-2024_x000a_15-10-2024"/>
        <s v="30-Sep-2024_x000a_10-sep-2024"/>
        <s v="27-Sep-2024_x000a_05-Sep-2024"/>
        <d v="2024-10-07T00:00:00"/>
        <d v="2024-08-26T00:00:00"/>
        <s v="16-Oct-2024_x000a_25-09-2024"/>
        <d v="2024-10-26T00:00:00"/>
        <s v="13-09-2024_x000a_06-09-2024"/>
        <d v="2024-09-02T00:00:00"/>
        <d v="2024-09-13T00:00:00"/>
        <d v="2024-11-13T00:00:00"/>
        <s v="30-Oct-2024_x000a_20-11-2024"/>
        <d v="2024-10-01T00:00:00"/>
        <d v="2024-08-23T00:00:00"/>
        <d v="2024-09-11T00:00:00"/>
        <d v="2024-09-18T00:00:00"/>
        <s v="20-09-2024_x000a_27-09-2024"/>
        <s v="10-Oct-2024_x000a_20-11-2024"/>
        <d v="2024-10-24T00:00:00"/>
        <d v="2024-11-19T00:00:00"/>
        <d v="2024-11-06T00:00:00"/>
        <d v="2024-11-04T00:00:00"/>
        <d v="2024-08-12T00:00:00"/>
        <s v="27-09-2024_x000a_15-09-2024"/>
        <s v="_x000a_18-10-2024_x000a_"/>
        <d v="2024-08-03T00:00:00"/>
        <s v="20-10-2024_x000a_20-09-2024"/>
        <d v="2024-10-11T00:00:00"/>
        <s v="30-09-2024_x000a_06-09-2024"/>
        <s v="08-11-2024_x000a_25-10-2024"/>
        <d v="2024-11-20T00:00:00"/>
        <d v="2024-12-15T00:00:00"/>
        <d v="2024-09-07T00:00:00"/>
        <d v="2024-08-22T00:00:00"/>
        <d v="2024-08-01T00:00:00"/>
        <d v="2024-08-08T00:00:00"/>
        <s v="15-10-2024"/>
      </sharedItems>
    </cacheField>
    <cacheField name="Actual Cmpln Date" numFmtId="167">
      <sharedItems containsDate="1" containsMixedTypes="1" minDate="1899-12-30T00:00:00" maxDate="2024-10-19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0">
  <r>
    <s v="Shraddha Arde (ul528)"/>
    <s v="Rachna Pawale"/>
    <n v="113"/>
    <n v="113"/>
    <n v="0"/>
    <m/>
    <s v="CES CSAR 01.24.09.00 - 12962325"/>
    <s v="CES CSAR 01.24.09.00 - 12962325"/>
    <x v="0"/>
    <m/>
    <s v="CSAR MIGRATION: Soot Based Regen with Maldistribution SLE"/>
    <x v="0"/>
    <s v="Transparency check complete"/>
    <m/>
    <s v="23-Aug :Check in - completed_x000a_26-Aug :Need to close the DCR (Need to check with Madhupriya)"/>
    <x v="0"/>
    <m/>
    <m/>
    <m/>
    <m/>
    <m/>
    <m/>
    <m/>
    <m/>
    <m/>
    <m/>
    <m/>
    <s v="2024 Aug - CES PFS : 14503516"/>
    <d v="2024-07-31T00:00:00"/>
    <s v="Transparency check complete"/>
    <s v="Very High"/>
    <m/>
    <d v="2024-07-15T00:00:00"/>
    <d v="2024-07-09T00:09:01"/>
    <s v="In Progress"/>
    <s v="Change Request"/>
    <d v="2022-08-05T00:00:00"/>
    <s v="/CSARPL/Aftertreatment/Br001"/>
    <d v="2022-10-29T00:48:08"/>
    <d v="2024-08-08T00:00:00"/>
    <m/>
    <x v="0"/>
    <m/>
    <m/>
    <m/>
    <x v="0"/>
    <d v="2024-08-07T00:00:00"/>
    <d v="2024-08-19T00:00:00"/>
    <m/>
    <m/>
    <s v="PFS"/>
    <s v="CES_PFS (Owned by /C2PL/Aftertreatment)"/>
    <m/>
    <m/>
    <m/>
    <m/>
    <m/>
    <m/>
    <m/>
    <m/>
    <m/>
    <m/>
    <m/>
    <m/>
    <m/>
  </r>
  <r>
    <s v="Balraj S Malage (wf327)"/>
    <s v="Vivek Panigrahi"/>
    <n v="0"/>
    <n v="0"/>
    <n v="0"/>
    <m/>
    <s v="CES CSAR 01.24.09.00 - 12962325"/>
    <s v="CES CSAR 01.24.09.00 - 12962325"/>
    <x v="1"/>
    <m/>
    <s v="_x0009__x000a_DAC EONOx limits during NH3 slip"/>
    <x v="0"/>
    <m/>
    <m/>
    <s v="28-08 : checkin completed"/>
    <x v="0"/>
    <m/>
    <m/>
    <m/>
    <m/>
    <m/>
    <m/>
    <m/>
    <m/>
    <m/>
    <m/>
    <m/>
    <s v="2024 Aug - CES PFS : 14503516"/>
    <d v="2024-07-31T00:00:00"/>
    <s v="Transparency check complete"/>
    <s v="Very High"/>
    <m/>
    <d v="2024-07-18T00:00:00"/>
    <d v="2024-07-09T00:09:01"/>
    <s v="In Progress"/>
    <s v="Change Request"/>
    <m/>
    <s v="/CSARPL/Aftertreatment/Br001"/>
    <d v="2024-04-19T00:48:08"/>
    <m/>
    <m/>
    <x v="0"/>
    <m/>
    <m/>
    <m/>
    <x v="0"/>
    <d v="2024-07-30T00:00:00"/>
    <d v="2024-08-04T00:00:00"/>
    <m/>
    <m/>
    <s v="PFS"/>
    <s v="CES_PFS (Owned by /C2PL/Aftertreatment)"/>
    <m/>
    <m/>
    <m/>
    <m/>
    <m/>
    <m/>
    <m/>
    <m/>
    <m/>
    <m/>
    <m/>
    <m/>
    <m/>
  </r>
  <r>
    <s v="Atul Gade (vm775)"/>
    <s v="Rachna Pawale"/>
    <n v="131"/>
    <n v="170"/>
    <n v="39"/>
    <m/>
    <s v="CES CSAR 01.24.12.00 - 12962338"/>
    <m/>
    <x v="2"/>
    <m/>
    <s v="CSAR Titanium/Legend: Service Test for AT Heater system"/>
    <x v="1"/>
    <m/>
    <m/>
    <s v="18-09 : Model review discussion with stakeholders. IDA team would be creating the id 30 Sep_x000a_16-09 : Plan to complete the dummy model creation today. Concept disucssion to be plan on 18th Sep_x000a_13 Sep : dummy Model will be completed by 16 Sep_x000a_12 Sep : Discussion with Snehal is planned today_x000a_11 Sep : Comp owner Snehal unavailable till 13 Sep_x000a_09 Sep - dummy model completed 70% &amp; shared with Dhanraj, will be reviewed today _x000a_05-09 : Plan to complete the dummy model by 06-sept_x000a_05 Sep : dummy model in progress_x000a_03 Sep : Eval in progress (New componenet)_x000a_28 Aug : Eval in progress"/>
    <x v="1"/>
    <m/>
    <m/>
    <m/>
    <m/>
    <m/>
    <m/>
    <m/>
    <m/>
    <m/>
    <m/>
    <m/>
    <s v="2024 Sep - CES PFS : 14702743"/>
    <m/>
    <m/>
    <s v="Medium"/>
    <m/>
    <m/>
    <m/>
    <s v="Assess"/>
    <s v="Change Request"/>
    <d v="2024-02-28T00:00:00"/>
    <s v="/CSARPL/Aftertreatment/Br001"/>
    <d v="2023-02-11T03:06:28"/>
    <d v="2024-08-28T00:00:00"/>
    <m/>
    <x v="1"/>
    <m/>
    <m/>
    <m/>
    <x v="1"/>
    <m/>
    <m/>
    <m/>
    <m/>
    <s v="PFS"/>
    <s v="CES_PFS (Owned by /C2PL/Aftertreatment)"/>
    <m/>
    <m/>
    <m/>
    <m/>
    <m/>
    <m/>
    <m/>
    <m/>
    <m/>
    <m/>
    <m/>
    <m/>
    <m/>
  </r>
  <r>
    <s v="Atul Gade (vm775)"/>
    <s v="Rachna Pawale"/>
    <n v="0"/>
    <m/>
    <n v="0"/>
    <m/>
    <s v="CES CSAR 01.24.12.00 - 12962338"/>
    <m/>
    <x v="2"/>
    <m/>
    <s v="CSAR Titanium/Legend: Service Test for AT Heater system"/>
    <x v="0"/>
    <m/>
    <m/>
    <s v="03 Sep : Migration - planned completion -15th Nov. (Discussion regarding Implementation completion dates needs to be inititated"/>
    <x v="2"/>
    <m/>
    <m/>
    <m/>
    <m/>
    <m/>
    <m/>
    <m/>
    <m/>
    <m/>
    <m/>
    <m/>
    <m/>
    <m/>
    <m/>
    <m/>
    <m/>
    <m/>
    <m/>
    <m/>
    <m/>
    <m/>
    <m/>
    <m/>
    <m/>
    <m/>
    <x v="2"/>
    <m/>
    <m/>
    <m/>
    <x v="1"/>
    <m/>
    <m/>
    <m/>
    <m/>
    <s v="PFS"/>
    <m/>
    <m/>
    <m/>
    <m/>
    <m/>
    <m/>
    <m/>
    <m/>
    <m/>
    <m/>
    <m/>
    <m/>
    <m/>
    <m/>
  </r>
  <r>
    <s v="Lavanya Nayak (ri652)"/>
    <s v="Rachna Pawale"/>
    <n v="0"/>
    <n v="40"/>
    <n v="40"/>
    <m/>
    <m/>
    <m/>
    <x v="3"/>
    <m/>
    <s v="CSAR - create SRS and application guide for AftEngIdleHiSLShtdwn component"/>
    <x v="1"/>
    <m/>
    <m/>
    <m/>
    <x v="2"/>
    <m/>
    <m/>
    <m/>
    <m/>
    <m/>
    <m/>
    <m/>
    <m/>
    <m/>
    <m/>
    <m/>
    <s v="2024 Mar - CES PFS : 13241426"/>
    <d v="2024-02-29T00:00:00"/>
    <m/>
    <s v="Medium"/>
    <m/>
    <m/>
    <d v="2023-03-06T21:27:54"/>
    <s v="In Progress"/>
    <s v="Change Request"/>
    <d v="2023-03-31T10:30:00"/>
    <s v="/CSARPL/Aftertreatment/Br001"/>
    <d v="2023-02-24T10:19:14"/>
    <m/>
    <m/>
    <x v="3"/>
    <m/>
    <m/>
    <m/>
    <x v="1"/>
    <m/>
    <m/>
    <m/>
    <m/>
    <s v="PFS"/>
    <s v="CES_PFS (Owned by /C2PL/Aftertreatment)"/>
    <m/>
    <m/>
    <m/>
    <m/>
    <m/>
    <m/>
    <m/>
    <m/>
    <m/>
    <m/>
    <m/>
    <m/>
    <m/>
  </r>
  <r>
    <s v="sumitkumar patil (wf330)"/>
    <s v="Vivek Panigrahi"/>
    <n v="37"/>
    <n v="76"/>
    <n v="39"/>
    <m/>
    <s v="CES CSAR 01.24.12.00 - 12962338"/>
    <m/>
    <x v="4"/>
    <m/>
    <s v="TD4288: PFS ALT MIL diagnostic pass/fail counter reset over key cycle"/>
    <x v="1"/>
    <m/>
    <m/>
    <s v="18-Sep: CCB is not planned today as well due to CSAR CCB reviewr not available._x000a_16-Sep: CCB review is completed for functional end, fixed comments to be verified. CCb is planned CSAR prospective._x000a_13-Sep: Peer review is completed. CCB is planned today._x000a_12-Sep: Peer is in continiue, working on review comments._x000a_11-Sep: Peer review is planned for Eval and Interface sheet._x000a_10-Sep: Interface sheet updation is completed. PPT updation and SRS updation is in progres. Peer to be planned tomorrow._x000a_09-Sep: Evalaution is completed. Interface sheet and PPT updation is in progress._x000a_06-Sep: Evalaution is in progress._x000a_27-Aug: Kpet on hold due to other prirority task._x000a_26-Aug,22-Aug,21-Aug,20-Aug: Evalaution is in progress._x000a_16-Aug: Initial analysis to be started today."/>
    <x v="3"/>
    <m/>
    <m/>
    <m/>
    <m/>
    <m/>
    <m/>
    <m/>
    <m/>
    <m/>
    <m/>
    <m/>
    <s v="2024 Sep - CES PFS : 14702743"/>
    <m/>
    <m/>
    <s v="Very High"/>
    <m/>
    <m/>
    <m/>
    <s v="Assess"/>
    <s v="Defect"/>
    <d v="2023-10-31T00:00:00"/>
    <s v="/CSARPL/Aftertreatment/Br001"/>
    <d v="2023-09-14T23:44:33"/>
    <d v="2024-08-16T00:00:00"/>
    <m/>
    <x v="4"/>
    <m/>
    <m/>
    <m/>
    <x v="1"/>
    <m/>
    <m/>
    <m/>
    <m/>
    <s v="PFS"/>
    <s v="CES_PFS (Owned by /C2PL/Aftertreatment)"/>
    <m/>
    <m/>
    <m/>
    <m/>
    <m/>
    <m/>
    <m/>
    <m/>
    <m/>
    <m/>
    <m/>
    <m/>
    <m/>
  </r>
  <r>
    <s v="Ashitosh Nilkanth (uh953)"/>
    <s v="Vivek Panigrahi"/>
    <n v="3"/>
    <n v="10"/>
    <n v="7"/>
    <m/>
    <s v="CES CSAR 01.24.12.00 - 12962338"/>
    <m/>
    <x v="5"/>
    <m/>
    <s v="AftRegenCtrl: Fix Datatype issue for constant by using updated Csar_CES_Data_Dictionary submodule"/>
    <x v="1"/>
    <m/>
    <m/>
    <s v="18-Sep,16-Sep,13-Sep: As confirmed with Swapnil DCR to be rejected as requirement is already implimented."/>
    <x v="3"/>
    <m/>
    <m/>
    <m/>
    <m/>
    <m/>
    <m/>
    <m/>
    <m/>
    <m/>
    <m/>
    <m/>
    <s v="2024 Sep - CES PFS : 14702743"/>
    <m/>
    <m/>
    <s v="Medium"/>
    <m/>
    <m/>
    <m/>
    <s v="Assess"/>
    <s v="Change Request"/>
    <d v="2023-10-31T00:00:00"/>
    <s v="/CSARPL/Aftertreatment/Br001"/>
    <d v="2023-10-13T14:37:54"/>
    <d v="2024-08-08T00:00:00"/>
    <m/>
    <x v="5"/>
    <m/>
    <m/>
    <m/>
    <x v="1"/>
    <m/>
    <m/>
    <m/>
    <m/>
    <s v="PFS"/>
    <s v="CES_PFS (Owned by /C2PL/Aftertreatment)"/>
    <m/>
    <m/>
    <m/>
    <m/>
    <m/>
    <m/>
    <m/>
    <m/>
    <m/>
    <m/>
    <m/>
    <m/>
    <m/>
  </r>
  <r>
    <s v="jyoti dongre (vu400)"/>
    <s v="Vivek Panigrahi"/>
    <n v="20"/>
    <n v="58"/>
    <n v="38"/>
    <m/>
    <s v="CES CSAR 01.24.12.00 - 12962338"/>
    <m/>
    <x v="6"/>
    <m/>
    <s v="Short Regen Strategy Missing Separate Target Temperature"/>
    <x v="1"/>
    <m/>
    <m/>
    <s v="18-Sep: Interface sheet L2 review is completed. DCR is submitted in Integrity._x000a_16-Sep: Awaiting L2 confirmation for Interface sheet from Yue._x000a_10-Sep: CCB review is completed for Interface sheet. To be send for L2 review for Interface sheet with DCR#13208634._x000a_09-Sep: CCB reviewer not availbale hence reschedule to today._x000a_06-Sep: Interfacesheet peer review is completed, working on review comments. CCB is planned today._x000a_05-Sep: Received L2 confirmation ther is no review comments. To be sent AECD and RRB tag request. Peer review is in progress for Interface sheet._x000a_04-Sep, 03-Sep: Awaiting L2 feedback from Yue for 12541182. Interface sheet was not preapared earlier DCR owner as a result specd 4 hrs to updated the Interface sheet and planned peer review today._x000a_26-08 : Requirements to be confirm from Shubhangi_x000a_23-08 : Analysis to be started, Shubhangi handovered by sending L2 review."/>
    <x v="0"/>
    <m/>
    <m/>
    <m/>
    <m/>
    <m/>
    <m/>
    <m/>
    <m/>
    <m/>
    <m/>
    <m/>
    <s v="2024 Sep - CES PFS : 14702743"/>
    <m/>
    <m/>
    <s v="Very High"/>
    <m/>
    <m/>
    <m/>
    <s v="Assess"/>
    <s v="Defect"/>
    <d v="2023-02-01T00:00:00"/>
    <s v="/CSARPL/Aftertreatment/Br001"/>
    <d v="2023-10-30T22:04:42"/>
    <d v="2024-08-23T00:00:00"/>
    <m/>
    <x v="6"/>
    <m/>
    <m/>
    <m/>
    <x v="2"/>
    <d v="2024-09-11T00:00:00"/>
    <d v="2024-09-18T00:00:00"/>
    <m/>
    <m/>
    <s v="PFS"/>
    <s v="CES_PFS (Owned by /C2PL/Aftertreatment)"/>
    <m/>
    <m/>
    <m/>
    <m/>
    <m/>
    <m/>
    <m/>
    <m/>
    <m/>
    <m/>
    <m/>
    <m/>
    <m/>
  </r>
  <r>
    <s v="Balraj S Malage (wf327)"/>
    <s v="Vivek Panigrahi"/>
    <n v="3"/>
    <n v="24"/>
    <n v="21"/>
    <m/>
    <s v="CES CSAR 01.24.12.00 - 12962338"/>
    <m/>
    <x v="7"/>
    <m/>
    <s v="MY27 ALT MIL Strategy: NMHC"/>
    <x v="1"/>
    <m/>
    <m/>
    <s v="26-Aug: Initial analysis is in progress. Kept on hold due to other prirority work(FIM DCR)._x000a_23-Aug: Analysis to be started."/>
    <x v="4"/>
    <m/>
    <m/>
    <m/>
    <m/>
    <m/>
    <m/>
    <m/>
    <m/>
    <m/>
    <m/>
    <m/>
    <s v="2024 Sep - CES PFS : 14702743"/>
    <m/>
    <m/>
    <s v="Very High"/>
    <m/>
    <m/>
    <m/>
    <s v="Assess"/>
    <s v="Change Request"/>
    <d v="2024-04-30T00:00:00"/>
    <s v="/CSARPL/Aftertreatment/Br001"/>
    <d v="2023-11-05T20:44:17"/>
    <d v="2024-08-23T00:00:00"/>
    <m/>
    <x v="7"/>
    <m/>
    <m/>
    <m/>
    <x v="1"/>
    <m/>
    <m/>
    <m/>
    <m/>
    <s v="PFS"/>
    <s v="CES_PFS (Owned by /C2PL/Aftertreatment)"/>
    <m/>
    <m/>
    <m/>
    <m/>
    <m/>
    <m/>
    <m/>
    <m/>
    <m/>
    <m/>
    <m/>
    <m/>
    <m/>
  </r>
  <r>
    <s v="Balraj S Malage (wf327)"/>
    <s v="Vivek Panigrahi"/>
    <n v="4"/>
    <n v="44"/>
    <n v="40"/>
    <m/>
    <s v="CES CSAR 01.24.12.00 - 12962338"/>
    <m/>
    <x v="8"/>
    <m/>
    <s v="MCDC Coverage improvements for AftDiesPartFiltDltPrRatDiag component"/>
    <x v="1"/>
    <m/>
    <m/>
    <s v="02-Sep: Initial analysis is in progress. Kept on hold due to FIM prirority DCR."/>
    <x v="4"/>
    <m/>
    <m/>
    <m/>
    <m/>
    <m/>
    <m/>
    <m/>
    <m/>
    <m/>
    <m/>
    <m/>
    <s v="2024 Sep - CES PFS : 14702743"/>
    <m/>
    <m/>
    <s v="Medium"/>
    <m/>
    <m/>
    <m/>
    <s v="Assess"/>
    <s v="Change Request"/>
    <m/>
    <s v="/CSARPL/Aftertreatment/Br001"/>
    <d v="2023-12-01T14:11:21"/>
    <d v="2024-09-02T00:00:00"/>
    <m/>
    <x v="8"/>
    <m/>
    <m/>
    <m/>
    <x v="1"/>
    <m/>
    <m/>
    <m/>
    <m/>
    <s v="PFS"/>
    <s v="CES_PFS (Owned by /C2PL/Aftertreatment)"/>
    <m/>
    <m/>
    <m/>
    <m/>
    <m/>
    <m/>
    <m/>
    <m/>
    <m/>
    <m/>
    <m/>
    <m/>
    <m/>
  </r>
  <r>
    <s v="Ashitosh Nilkanth (uh953)"/>
    <s v="Vivek Panigrahi"/>
    <n v="8"/>
    <n v="10"/>
    <n v="2"/>
    <m/>
    <s v="CES CSAR 01.24.12.00 - 12962338"/>
    <m/>
    <x v="9"/>
    <m/>
    <s v="Change required in AftDiesPartFiltOpModeDet component to overcome invalid shift warning"/>
    <x v="1"/>
    <m/>
    <m/>
    <s v="18-Sep: Discussed with Swapnil with the testing analysis received few input working on this as an prirority._x000a_16-Sep,13-Sep: Scope analysis with Swapnil is in progress as 10 component are impacting for this DCR. Trail testing is is progress as advised by Swapnil._x000a_Assigned to Ashitosh to be analysed and update estimation."/>
    <x v="3"/>
    <m/>
    <m/>
    <m/>
    <m/>
    <m/>
    <m/>
    <m/>
    <m/>
    <m/>
    <m/>
    <m/>
    <s v="2024 Sep - CES PFS : 14702743"/>
    <m/>
    <m/>
    <s v="High"/>
    <m/>
    <m/>
    <m/>
    <s v="Assess"/>
    <s v="Change Request"/>
    <d v="2024-01-31T00:00:00"/>
    <s v="/CSARPL/Aftertreatment/Br001"/>
    <d v="2023-12-04T06:40:02"/>
    <m/>
    <m/>
    <x v="9"/>
    <m/>
    <m/>
    <m/>
    <x v="1"/>
    <m/>
    <m/>
    <m/>
    <m/>
    <s v="PFS"/>
    <s v="CES_PFS (Owned by /C2PL/Aftertreatment)"/>
    <m/>
    <m/>
    <m/>
    <m/>
    <m/>
    <m/>
    <m/>
    <m/>
    <m/>
    <m/>
    <m/>
    <m/>
    <m/>
  </r>
  <r>
    <s v="Srinadh Vadlamudi (wf326)"/>
    <s v="Nileema Pailwan"/>
    <n v="0"/>
    <m/>
    <n v="0"/>
    <m/>
    <m/>
    <m/>
    <x v="10"/>
    <m/>
    <s v="Test vectors update is needed for AftDiesPartFiltCSLEProc component to improve coverage"/>
    <x v="1"/>
    <m/>
    <m/>
    <s v="16-09 : Deferred for priorirty DCR_13047716_x000a_30-08- : On hold for other priority work DCR_13047716"/>
    <x v="5"/>
    <m/>
    <m/>
    <m/>
    <m/>
    <m/>
    <m/>
    <m/>
    <m/>
    <m/>
    <m/>
    <m/>
    <m/>
    <m/>
    <m/>
    <s v="Medium"/>
    <m/>
    <m/>
    <m/>
    <s v="Assess"/>
    <s v="Defect"/>
    <d v="2024-01-31T00:00:00"/>
    <s v="/CSARPL/Aftertreatment/Br001"/>
    <d v="2023-12-05T17:12:37"/>
    <m/>
    <m/>
    <x v="10"/>
    <m/>
    <m/>
    <m/>
    <x v="1"/>
    <m/>
    <m/>
    <m/>
    <m/>
    <s v="PFS"/>
    <s v="CES_PFS (Owned by /C2PL/Aftertreatment)"/>
    <m/>
    <m/>
    <m/>
    <m/>
    <m/>
    <m/>
    <m/>
    <m/>
    <m/>
    <m/>
    <m/>
    <m/>
    <m/>
  </r>
  <r>
    <s v="Ashitosh Nilkanth (uh953)"/>
    <s v="Vivek Panigrahi"/>
    <n v="0"/>
    <n v="0"/>
    <n v="0"/>
    <m/>
    <s v="CES CSAR 01.24.12.00 - 12962338"/>
    <m/>
    <x v="11"/>
    <m/>
    <s v="Change required in AftRegenCtrl component to resolve issue of global output signal going out of range in Regression Testing"/>
    <x v="1"/>
    <m/>
    <m/>
    <s v="05-Sep: Effort  tracking on DCR14433414"/>
    <x v="4"/>
    <m/>
    <m/>
    <m/>
    <m/>
    <m/>
    <m/>
    <m/>
    <m/>
    <m/>
    <m/>
    <m/>
    <s v="2024 Sep - CES PFS : 14702743"/>
    <m/>
    <m/>
    <s v="High"/>
    <m/>
    <m/>
    <m/>
    <s v="Assess"/>
    <s v="Change Request"/>
    <d v="2024-02-29T00:00:00"/>
    <s v="/CSARPL/Aftertreatment/Br001"/>
    <d v="2023-12-22T13:05:43"/>
    <d v="2024-08-08T00:00:00"/>
    <m/>
    <x v="5"/>
    <m/>
    <m/>
    <m/>
    <x v="1"/>
    <m/>
    <m/>
    <m/>
    <m/>
    <s v="PFS"/>
    <s v="CES_PFS (Owned by /C2PL/Aftertreatment)"/>
    <m/>
    <m/>
    <m/>
    <m/>
    <m/>
    <m/>
    <m/>
    <m/>
    <m/>
    <m/>
    <m/>
    <m/>
    <m/>
  </r>
  <r>
    <s v="Srinadh Vadlamudi (wf326)"/>
    <s v="Nileema Pailwan"/>
    <n v="0"/>
    <m/>
    <n v="0"/>
    <m/>
    <m/>
    <m/>
    <x v="12"/>
    <m/>
    <s v="CSAR Sync-Up: low o2 HC dosing pause filter constant"/>
    <x v="1"/>
    <s v="Transparency check complete"/>
    <m/>
    <s v="16-09 : Deferred for priorirty DCR_13047716_x000a_30-08- : On hold for other priority work DCR_13047716_x000a_26 Aug - Peer review - In progress"/>
    <x v="5"/>
    <m/>
    <m/>
    <m/>
    <m/>
    <m/>
    <m/>
    <m/>
    <m/>
    <m/>
    <m/>
    <m/>
    <m/>
    <m/>
    <s v="Transparency check complete"/>
    <s v="Medium"/>
    <m/>
    <m/>
    <m/>
    <s v="Assess"/>
    <s v="Change Request"/>
    <d v="2022-12-09T00:00:00"/>
    <s v="/CSARPL/Aftertreatment/Br001"/>
    <d v="2024-01-10T20:21:44"/>
    <d v="2024-08-19T00:00:00"/>
    <m/>
    <x v="10"/>
    <m/>
    <m/>
    <m/>
    <x v="3"/>
    <d v="2024-09-10T00:00:00"/>
    <d v="2024-09-10T00:00:00"/>
    <m/>
    <m/>
    <s v="PFS"/>
    <s v="CES_PFS (Owned by /C2PL/Aftertreatment)"/>
    <m/>
    <m/>
    <m/>
    <m/>
    <m/>
    <m/>
    <m/>
    <m/>
    <m/>
    <m/>
    <m/>
    <m/>
    <m/>
  </r>
  <r>
    <s v="Srinadh Vadlamudi (wf326)"/>
    <s v="Rachna Pawale"/>
    <n v="0"/>
    <n v="60"/>
    <n v="60"/>
    <m/>
    <m/>
    <m/>
    <x v="12"/>
    <m/>
    <s v="CSAR Sync-Up: low o2 HC dosing pause filter constant"/>
    <x v="0"/>
    <s v="Transparency check complete"/>
    <m/>
    <s v="16-09 : Deferred for priorirty DCR_13047716_x000a_30-08- : On hold for other priority work DCR_13047716"/>
    <x v="5"/>
    <m/>
    <m/>
    <m/>
    <m/>
    <m/>
    <m/>
    <m/>
    <m/>
    <m/>
    <m/>
    <m/>
    <m/>
    <m/>
    <m/>
    <m/>
    <m/>
    <m/>
    <m/>
    <m/>
    <m/>
    <m/>
    <m/>
    <m/>
    <m/>
    <m/>
    <x v="10"/>
    <m/>
    <m/>
    <m/>
    <x v="1"/>
    <m/>
    <m/>
    <m/>
    <m/>
    <s v="PFS"/>
    <m/>
    <m/>
    <m/>
    <m/>
    <m/>
    <m/>
    <m/>
    <m/>
    <m/>
    <m/>
    <m/>
    <m/>
    <m/>
    <m/>
  </r>
  <r>
    <s v="Srinadh Vadlamudi (wf326)"/>
    <s v="Nileema Pailwan"/>
    <n v="0"/>
    <m/>
    <n v="0"/>
    <m/>
    <m/>
    <m/>
    <x v="13"/>
    <m/>
    <s v="CSAR Sync-Up: A more precise O2 correction during regen at high altitude__On behalf of ATI team to request this DCR, any question, please contact Aijing-PU423"/>
    <x v="1"/>
    <s v="Transparency check complete"/>
    <m/>
    <s v="16-09 : Deferred for priorirty DCR_13047716_x000a_30-08- : On hold for other priority work DCR_13047716_x000a_26 Aug - Peer review - In progress"/>
    <x v="5"/>
    <m/>
    <m/>
    <m/>
    <m/>
    <m/>
    <m/>
    <m/>
    <m/>
    <m/>
    <m/>
    <m/>
    <m/>
    <m/>
    <s v="Transparency check complete"/>
    <s v="High"/>
    <m/>
    <m/>
    <m/>
    <s v="Assess"/>
    <s v="Change Request"/>
    <d v="2019-10-24T00:00:00"/>
    <s v="/CSARPL/Aftertreatment/Br001"/>
    <d v="2024-01-10T20:23:54"/>
    <m/>
    <m/>
    <x v="10"/>
    <m/>
    <m/>
    <m/>
    <x v="1"/>
    <m/>
    <m/>
    <m/>
    <m/>
    <s v="PFS"/>
    <s v="CES_PFS (Owned by /C2PL/Aftertreatment)"/>
    <m/>
    <m/>
    <m/>
    <m/>
    <m/>
    <m/>
    <m/>
    <m/>
    <m/>
    <m/>
    <m/>
    <m/>
    <m/>
  </r>
  <r>
    <s v="Srinadh Vadlamudi (wf326)"/>
    <s v="Rachna Pawale"/>
    <n v="0"/>
    <m/>
    <n v="0"/>
    <m/>
    <m/>
    <m/>
    <x v="13"/>
    <m/>
    <s v="CSAR Sync-Up: A more precise O2 correction during regen at high altitude__On behalf of ATI team to request this DCR, any question, please contact Aijing-PU423"/>
    <x v="0"/>
    <s v="Transparency check complete"/>
    <m/>
    <s v="16-09 : Deferred for priorirty DCR_13047716_x000a_30-08- : On hold for other priority work DCR_13047716"/>
    <x v="5"/>
    <m/>
    <m/>
    <m/>
    <m/>
    <m/>
    <m/>
    <m/>
    <m/>
    <m/>
    <m/>
    <m/>
    <m/>
    <m/>
    <m/>
    <m/>
    <m/>
    <m/>
    <m/>
    <m/>
    <m/>
    <m/>
    <m/>
    <m/>
    <m/>
    <m/>
    <x v="10"/>
    <m/>
    <m/>
    <m/>
    <x v="1"/>
    <m/>
    <m/>
    <m/>
    <m/>
    <s v="PFS"/>
    <m/>
    <m/>
    <m/>
    <m/>
    <m/>
    <m/>
    <m/>
    <m/>
    <m/>
    <m/>
    <m/>
    <m/>
    <m/>
    <m/>
  </r>
  <r>
    <s v="Indumathi M (wf309)"/>
    <s v="Rachna Pawale"/>
    <n v="14"/>
    <n v="15"/>
    <n v="1"/>
    <m/>
    <s v="CES CSAR 01.24.12.00 - 12962338"/>
    <m/>
    <x v="14"/>
    <m/>
    <s v="CSAR : Document creation/update required for AftDiesPartFiltOutDltTmptrDiag"/>
    <x v="1"/>
    <s v="Transparency check complete"/>
    <m/>
    <s v="10 Sep : Peer +CCB Review is still in progress_x000a_27 Aug : SRS document update, eval peer review"/>
    <x v="3"/>
    <m/>
    <m/>
    <m/>
    <m/>
    <m/>
    <m/>
    <m/>
    <m/>
    <m/>
    <m/>
    <m/>
    <s v="2024 Sep - CES PFS : 14702743"/>
    <m/>
    <s v="Transparency check complete"/>
    <s v="High"/>
    <m/>
    <m/>
    <m/>
    <s v="Assess"/>
    <s v="Change Request"/>
    <d v="2020-09-30T00:00:00"/>
    <s v="/CSARPL/Aftertreatment/Br001"/>
    <d v="2024-01-29T11:21:21"/>
    <d v="2024-08-28T00:00:00"/>
    <m/>
    <x v="11"/>
    <m/>
    <m/>
    <m/>
    <x v="1"/>
    <m/>
    <m/>
    <m/>
    <m/>
    <s v="PFS"/>
    <s v="CES_PFS (Owned by /C2PL/Aftertreatment)"/>
    <m/>
    <m/>
    <m/>
    <m/>
    <m/>
    <m/>
    <m/>
    <m/>
    <m/>
    <m/>
    <m/>
    <m/>
    <m/>
  </r>
  <r>
    <s v="Indumathi M (wf309)"/>
    <s v="Rachna Pawale"/>
    <n v="0"/>
    <n v="20"/>
    <n v="20"/>
    <m/>
    <m/>
    <m/>
    <x v="14"/>
    <m/>
    <s v="CSAR : Document creation/update required for AftDiesPartFiltOutDltTmptrDiag"/>
    <x v="0"/>
    <s v="Transparency check complete"/>
    <m/>
    <m/>
    <x v="2"/>
    <m/>
    <m/>
    <m/>
    <m/>
    <m/>
    <m/>
    <m/>
    <m/>
    <m/>
    <m/>
    <m/>
    <m/>
    <m/>
    <m/>
    <m/>
    <m/>
    <m/>
    <m/>
    <m/>
    <m/>
    <m/>
    <m/>
    <m/>
    <m/>
    <m/>
    <x v="12"/>
    <m/>
    <m/>
    <m/>
    <x v="1"/>
    <m/>
    <m/>
    <m/>
    <m/>
    <s v="PFS"/>
    <m/>
    <m/>
    <m/>
    <m/>
    <m/>
    <m/>
    <m/>
    <m/>
    <m/>
    <m/>
    <m/>
    <m/>
    <m/>
    <m/>
  </r>
  <r>
    <s v="sumitkumar patil (wf330)"/>
    <s v="Vivek Panigrahi"/>
    <n v="0"/>
    <n v="76"/>
    <n v="76"/>
    <m/>
    <s v="CES CSAR 01.24.12.00 - 12962338"/>
    <m/>
    <x v="15"/>
    <m/>
    <s v="CSAR SYNC-UP: PFS: MY24 OBD OEM Requested General Strategies: Implement Rapid Response in alternative pass/fail counter strategy"/>
    <x v="1"/>
    <s v="Transparency check complete"/>
    <m/>
    <s v="Effort tracking on DCR12295210"/>
    <x v="3"/>
    <m/>
    <m/>
    <m/>
    <m/>
    <m/>
    <m/>
    <m/>
    <m/>
    <m/>
    <m/>
    <m/>
    <s v="2024 Sep - CES PFS : 14702743"/>
    <m/>
    <s v="Transparency check complete"/>
    <s v="High"/>
    <m/>
    <m/>
    <m/>
    <s v="Assess"/>
    <s v="Change Request"/>
    <d v="2022-03-31T00:00:00"/>
    <s v="/CSARPL/Aftertreatment/Br001"/>
    <d v="2024-02-02T20:47:49"/>
    <m/>
    <m/>
    <x v="4"/>
    <m/>
    <m/>
    <m/>
    <x v="1"/>
    <m/>
    <m/>
    <m/>
    <m/>
    <s v="PFS"/>
    <s v="CES_PFS (Owned by /C2PL/Aftertreatment)"/>
    <m/>
    <m/>
    <m/>
    <m/>
    <m/>
    <m/>
    <m/>
    <m/>
    <m/>
    <m/>
    <m/>
    <m/>
    <m/>
  </r>
  <r>
    <s v="aishwarya Jahagirdar (ac14v)"/>
    <m/>
    <n v="0"/>
    <n v="250"/>
    <n v="250"/>
    <m/>
    <m/>
    <m/>
    <x v="16"/>
    <m/>
    <s v="CSAR Migration: Migrate PFS Delegated Assembly"/>
    <x v="1"/>
    <m/>
    <m/>
    <s v="26 Aug : Understanding requirement                        30 Aug : Interface in progress 03 Sep : Nileema to review the scope of this requirement"/>
    <x v="4"/>
    <m/>
    <m/>
    <m/>
    <m/>
    <m/>
    <m/>
    <m/>
    <m/>
    <m/>
    <m/>
    <m/>
    <s v="2024 Sep - CES PFS : 14702743"/>
    <m/>
    <m/>
    <s v="Medium"/>
    <m/>
    <d v="2024-08-22T00:00:00"/>
    <m/>
    <s v="Assess"/>
    <s v="Change Request"/>
    <d v="2024-08-30T00:00:00"/>
    <s v="/CSARPL/Aftertreatment/Br001"/>
    <d v="2024-02-06T20:33:44"/>
    <m/>
    <m/>
    <x v="13"/>
    <m/>
    <m/>
    <m/>
    <x v="1"/>
    <m/>
    <m/>
    <m/>
    <m/>
    <s v="PFS"/>
    <s v="CES_PFS (Owned by /C2PL/Aftertreatment)"/>
    <m/>
    <m/>
    <m/>
    <m/>
    <m/>
    <m/>
    <m/>
    <m/>
    <m/>
    <m/>
    <m/>
    <m/>
    <m/>
  </r>
  <r>
    <s v="umesh borde (ad33c)"/>
    <s v="Rachna Pawale"/>
    <n v="0"/>
    <m/>
    <n v="0"/>
    <m/>
    <m/>
    <m/>
    <x v="17"/>
    <m/>
    <s v="Need fix for the issues found in AftDPFExhThrotFailProt component"/>
    <x v="1"/>
    <s v="Transparency check complete"/>
    <m/>
    <s v="16-09 : Deferred for priorirty DCR_13590634"/>
    <x v="5"/>
    <m/>
    <m/>
    <m/>
    <m/>
    <m/>
    <m/>
    <m/>
    <m/>
    <m/>
    <m/>
    <m/>
    <m/>
    <m/>
    <s v="Transparency check complete"/>
    <s v="Medium"/>
    <m/>
    <m/>
    <m/>
    <s v="Assess"/>
    <s v="Defect"/>
    <d v="2024-04-30T00:00:00"/>
    <s v="/CSARPL/Aftertreatment/Br001"/>
    <d v="2024-02-13T17:50:16"/>
    <m/>
    <m/>
    <x v="10"/>
    <m/>
    <m/>
    <m/>
    <x v="1"/>
    <m/>
    <m/>
    <m/>
    <m/>
    <s v="PFS"/>
    <s v="CES_PFS (Owned by /C2PL/Aftertreatment)"/>
    <m/>
    <m/>
    <m/>
    <m/>
    <m/>
    <m/>
    <m/>
    <m/>
    <m/>
    <m/>
    <m/>
    <m/>
    <m/>
  </r>
  <r>
    <s v="umesh borde (ad33c)"/>
    <s v="Rachna Pawale"/>
    <n v="0"/>
    <n v="100"/>
    <n v="100"/>
    <m/>
    <m/>
    <m/>
    <x v="17"/>
    <m/>
    <s v="Need fix for the issues found in AftDPFExhThrotFailProt component"/>
    <x v="0"/>
    <s v="Transparency check complete"/>
    <m/>
    <s v="16-09 : Deferred for priorirty DCR_13590634"/>
    <x v="5"/>
    <m/>
    <m/>
    <m/>
    <m/>
    <m/>
    <m/>
    <m/>
    <m/>
    <m/>
    <m/>
    <m/>
    <m/>
    <m/>
    <m/>
    <m/>
    <m/>
    <m/>
    <m/>
    <m/>
    <m/>
    <m/>
    <m/>
    <m/>
    <m/>
    <m/>
    <x v="10"/>
    <m/>
    <m/>
    <m/>
    <x v="1"/>
    <m/>
    <m/>
    <m/>
    <m/>
    <s v="PFS"/>
    <m/>
    <m/>
    <m/>
    <m/>
    <m/>
    <m/>
    <m/>
    <m/>
    <m/>
    <m/>
    <m/>
    <m/>
    <m/>
    <m/>
  </r>
  <r>
    <s v="vitthal shinde (xy599)"/>
    <s v="Vivek Panigrahi"/>
    <n v="33"/>
    <n v="69"/>
    <n v="36"/>
    <m/>
    <s v="CES CSAR 01.24.12.00 - 12962338"/>
    <m/>
    <x v="18"/>
    <m/>
    <s v="Need fix for the issues found in AftSwtIntf component"/>
    <x v="1"/>
    <s v="Transparency check complete"/>
    <m/>
    <s v="12-Sep: To be analyzed on Core 2 model for golbal inputs. To be planned for peer review tomorrow._x000a_11-Sep: As advised by Ashitosh updated Interfac sheet and SRS, to be verified with Ashitosh. To be planned peer review tomorrow._x000a_10-Sep: Interface sheet updation is completed. SRS updation is in progress. To be discussed with Lavnaya as a DCR creator._x000a_09-Sep: Awaiting input from Lavanya. Interface sheet and SRS updation to be satrted._x000a_30-Aug: Awaiting input form Nileema and Lavanya kept on hold._x000a_29-Aug,28-Aug: 3 DCRs Analysis is completed, to be discussed with Ashitosh._x000a_27-Aug,26-Aug: Evaluation is in progress for 13153843._x000a_22-Aug,21-Aug: Analysis is in progress._x000a_20-Aug: Analysis is completed to be discussed with Ashitosh and priceed further with Evalaution._x000a_16-Aug: As discussed with Ashistosh to be analyse the DCR details involved in CORE2._x000a_09-Aug: Received confirmation from Dhnaraj on logic is not available in CSAR whereas it is available in CORE2. Awaiting confirmation from Nileema to raise new DCR to cover this logic. Kpet this DCR on hold due to DTR prirority work. _x000a_08-Aug: To be discussed with Lavanya for query clarification._x000a_07-Aug: Need clarification on requirement from Ashitosh or Lavanaya._x000a_06-Aug:Evalaution is in progress._x000a_05-Aug,02-Aug,01-Aug: Evalaution analysis is in progress. To be discussed with Ashitosh for query clarification._x000a_31-July: Working on initial analysis for Evalaution."/>
    <x v="3"/>
    <m/>
    <m/>
    <m/>
    <m/>
    <m/>
    <m/>
    <m/>
    <m/>
    <m/>
    <m/>
    <m/>
    <s v="2024 Sep - CES PFS : 14702743"/>
    <m/>
    <s v="Transparency check complete"/>
    <s v="Medium"/>
    <m/>
    <m/>
    <m/>
    <s v="Assess"/>
    <s v="Defect"/>
    <d v="2024-04-30T00:00:00"/>
    <s v="/CSARPL/Aftertreatment/Br001"/>
    <d v="2024-02-13T18:11:22"/>
    <d v="2024-08-01T00:00:00"/>
    <m/>
    <x v="14"/>
    <m/>
    <m/>
    <m/>
    <x v="1"/>
    <m/>
    <m/>
    <m/>
    <m/>
    <s v="PFS"/>
    <s v="CES_PFS (Owned by /C2PL/Aftertreatment)"/>
    <m/>
    <m/>
    <m/>
    <m/>
    <m/>
    <m/>
    <m/>
    <m/>
    <m/>
    <m/>
    <m/>
    <m/>
    <m/>
  </r>
  <r>
    <s v="Harshada Borude (ur897)"/>
    <s v="Vivek Panigrahi"/>
    <n v="0"/>
    <n v="20"/>
    <n v="20"/>
    <m/>
    <m/>
    <m/>
    <x v="19"/>
    <m/>
    <s v="CSAR SyncUp: Enable condition Improvement for DPSLE low flow trust logic "/>
    <x v="1"/>
    <s v="Transparency check complete"/>
    <m/>
    <s v="21-Aug: Kept on hold due to prirotiy DCR 14118970(DTR implementtaion)._x000a_05-Aug: Evalaution is in progress._x000a_02-Aug: Initial analysis to be started."/>
    <x v="4"/>
    <m/>
    <m/>
    <m/>
    <m/>
    <m/>
    <m/>
    <m/>
    <m/>
    <m/>
    <m/>
    <m/>
    <m/>
    <m/>
    <s v="Transparency check complete"/>
    <s v="High"/>
    <m/>
    <m/>
    <m/>
    <s v="Assess"/>
    <s v="Change Request"/>
    <d v="2024-04-30T00:00:00"/>
    <s v="/CSARPL/Aftertreatment/Br001"/>
    <d v="2024-02-13T18:47:50"/>
    <m/>
    <m/>
    <x v="10"/>
    <m/>
    <m/>
    <m/>
    <x v="1"/>
    <m/>
    <m/>
    <m/>
    <m/>
    <s v="PFS"/>
    <s v="CES_PFS (Owned by /C2PL/Aftertreatment)"/>
    <m/>
    <m/>
    <m/>
    <m/>
    <m/>
    <m/>
    <m/>
    <m/>
    <m/>
    <m/>
    <m/>
    <m/>
    <m/>
  </r>
  <r>
    <s v="Haridas Raut (vy322)"/>
    <s v="Vivek Panigrahi"/>
    <n v="0"/>
    <n v="0"/>
    <n v="0"/>
    <m/>
    <s v="CES CSAR 01.24.12.00 - 12962338"/>
    <s v="CES CSAR 01.24.12.00 - 12962338"/>
    <x v="20"/>
    <m/>
    <s v="Need fix for the issues found in AftLampDrvOutIntf component"/>
    <x v="1"/>
    <s v="Transparency check complete"/>
    <m/>
    <s v="30-Aug: Dcr is submitted in Integrity._x000a_29-Aug: L2 review is completed for Evalaution and interface sheet. Awaiting confirmation from John for AECD and RRB passed tag from Yogesh._x000a_28-Aug: Receieved L2 feedback and working on it to be sent for verification today. To be discussed with Dhanraj, Lavanya on rejection for DCR#13868570._x000a_27-Aug,26-Aug: To be sent reminder mail to Dhanraj for L2 feedback. To be discussed with Lavanya and Anushka for the rejection part for DCR#13868570._x000a_23-Aug: Awaiting L2 feedback from Dhanraj._x000a_22-Aug,19-Aug: Awaiting L2 feedback from Dhanraj for Evalaution and Interface sheet._x000a_16-Aug: CCB review is completed. Verification is in progress. To be sent for L2 review today._x000a_14-Aug: Peer review is completed. CCB review is also completed and working on review comments.To be planned for L2 review tomorrow._x000a_13-Aug: Peer review comments are fixed to be verified with Ankit. CCB is scheduled today._x000a_12-Aug: Peer review is completed and working on review comments. To be planned for CCB tomorrow._x000a_09-Aug: Peer review is in progress. Working on review comments._x000a_08-Aug: Evalaution is completed. PPT updation is in progress. Peer review to be planned._x000a_07-Aug,06-Aug,05-Aug: Evalaution is in progress._x000a_02-Aug: Initial analysis is in progress."/>
    <x v="0"/>
    <m/>
    <m/>
    <m/>
    <m/>
    <m/>
    <m/>
    <m/>
    <m/>
    <m/>
    <m/>
    <m/>
    <s v="2024 Aug - CES PFS : 14503516"/>
    <m/>
    <s v="Transparency check complete"/>
    <s v="Medium"/>
    <m/>
    <d v="2024-08-08T00:00:00"/>
    <s v="29-08-2024 18:37:40"/>
    <s v="In Progress"/>
    <s v="Defect"/>
    <d v="2024-04-30T00:00:00"/>
    <s v="/CSARPL/Aftertreatment/Br001"/>
    <d v="2024-02-14T10:35:12"/>
    <m/>
    <m/>
    <x v="10"/>
    <m/>
    <m/>
    <m/>
    <x v="4"/>
    <d v="2024-09-03T00:00:00"/>
    <d v="2024-09-03T00:00:00"/>
    <m/>
    <m/>
    <s v="PFS"/>
    <s v="CES_PFS (Owned by /C2PL/Aftertreatment)"/>
    <m/>
    <m/>
    <m/>
    <m/>
    <m/>
    <m/>
    <m/>
    <m/>
    <m/>
    <m/>
    <m/>
    <m/>
    <m/>
  </r>
  <r>
    <s v="Anushka P Gaikwad (wf298)"/>
    <s v="Rachna Pawale"/>
    <n v="0"/>
    <n v="60"/>
    <n v="60"/>
    <m/>
    <m/>
    <m/>
    <x v="21"/>
    <m/>
    <s v="Need fix for the issues found in AftDiesOxidCatDtrDiag component"/>
    <x v="1"/>
    <s v="Transparency check complete"/>
    <m/>
    <s v="_x000a_16-09 : Deferred for priorirty DCR_13358711_x000a_05 Sep : Evalutaion to be started today_x000a_02 Sep : planned to start on 14 Oct"/>
    <x v="5"/>
    <m/>
    <m/>
    <m/>
    <m/>
    <m/>
    <m/>
    <m/>
    <m/>
    <m/>
    <m/>
    <m/>
    <m/>
    <m/>
    <s v="Transparency check complete"/>
    <s v="Medium"/>
    <m/>
    <m/>
    <m/>
    <s v="Assess"/>
    <s v="Defect"/>
    <d v="2024-04-30T00:00:00"/>
    <s v="/CSARPL/Aftertreatment/Br001"/>
    <d v="2024-02-14T11:09:31"/>
    <m/>
    <m/>
    <x v="5"/>
    <m/>
    <m/>
    <m/>
    <x v="1"/>
    <m/>
    <m/>
    <m/>
    <m/>
    <s v="PFS"/>
    <s v="CES_PFS (Owned by /C2PL/Aftertreatment)"/>
    <m/>
    <m/>
    <m/>
    <m/>
    <m/>
    <m/>
    <m/>
    <m/>
    <m/>
    <m/>
    <m/>
    <m/>
    <m/>
  </r>
  <r>
    <s v="Anushka P Gaikwad (wf298)"/>
    <s v="Rachna Pawale"/>
    <n v="0"/>
    <n v="40"/>
    <n v="40"/>
    <m/>
    <m/>
    <m/>
    <x v="21"/>
    <m/>
    <s v="Need fix for the issues found in AftDiesOxidCatDtrDiag component"/>
    <x v="0"/>
    <s v="Transparency check complete"/>
    <m/>
    <s v="_x000a_16-09 : Deferred for priorirty DCR_13358711"/>
    <x v="5"/>
    <m/>
    <m/>
    <m/>
    <m/>
    <m/>
    <m/>
    <m/>
    <m/>
    <m/>
    <m/>
    <m/>
    <m/>
    <m/>
    <m/>
    <m/>
    <m/>
    <m/>
    <m/>
    <m/>
    <m/>
    <m/>
    <m/>
    <m/>
    <m/>
    <m/>
    <x v="15"/>
    <m/>
    <m/>
    <m/>
    <x v="1"/>
    <m/>
    <m/>
    <m/>
    <m/>
    <s v="PFS"/>
    <m/>
    <m/>
    <m/>
    <m/>
    <m/>
    <m/>
    <m/>
    <m/>
    <m/>
    <m/>
    <m/>
    <m/>
    <m/>
    <m/>
  </r>
  <r>
    <s v="vitthal shinde (xy599)"/>
    <s v="Vivek Panigrahi"/>
    <n v="0"/>
    <n v="69"/>
    <n v="69"/>
    <m/>
    <s v="CES CSAR 01.24.12.00 - 12962338"/>
    <m/>
    <x v="22"/>
    <m/>
    <s v="CSAR Sync - Up: New Setting Strategy Non-mission Regen "/>
    <x v="1"/>
    <s v="Transparency check complete"/>
    <m/>
    <s v="Effort tracking on DCR13148021"/>
    <x v="4"/>
    <m/>
    <m/>
    <m/>
    <m/>
    <m/>
    <m/>
    <m/>
    <m/>
    <m/>
    <m/>
    <m/>
    <s v="2024 Sep - CES PFS : 14702743"/>
    <m/>
    <s v="Transparency check complete"/>
    <s v="Very High"/>
    <m/>
    <m/>
    <m/>
    <s v="Assess"/>
    <s v="Change Request"/>
    <d v="2020-12-30T21:30:00"/>
    <s v="/CSARPL/Aftertreatment/Br001"/>
    <d v="2024-02-14T19:52:18"/>
    <m/>
    <m/>
    <x v="14"/>
    <m/>
    <m/>
    <m/>
    <x v="1"/>
    <m/>
    <m/>
    <m/>
    <m/>
    <s v="PFS"/>
    <s v="CES_PFS (Owned by /C2PL/Aftertreatment)"/>
    <m/>
    <m/>
    <m/>
    <m/>
    <m/>
    <m/>
    <m/>
    <m/>
    <m/>
    <m/>
    <m/>
    <m/>
    <m/>
  </r>
  <r>
    <s v="vitthal shinde (xy599)"/>
    <s v="Vivek Panigrahi"/>
    <n v="0"/>
    <n v="69"/>
    <n v="69"/>
    <m/>
    <s v="CES CSAR 01.24.12.00 - 12962338"/>
    <m/>
    <x v="23"/>
    <m/>
    <s v="CSAR Sync - Up: Regen Inhibit Switch Reset After Key-off/on"/>
    <x v="1"/>
    <s v="Transparency check complete"/>
    <m/>
    <s v="Effort tracking on DCR13148021"/>
    <x v="4"/>
    <m/>
    <m/>
    <m/>
    <m/>
    <m/>
    <m/>
    <m/>
    <m/>
    <m/>
    <m/>
    <m/>
    <s v="2024 Sep - CES PFS : 14702743"/>
    <m/>
    <s v="Transparency check complete"/>
    <s v="High"/>
    <m/>
    <m/>
    <m/>
    <s v="Assess"/>
    <s v="Change Request"/>
    <d v="2021-03-31T00:00:00"/>
    <s v="/CSARPL/Aftertreatment/Br001"/>
    <d v="2024-02-14T19:55:42"/>
    <m/>
    <m/>
    <x v="14"/>
    <m/>
    <m/>
    <m/>
    <x v="1"/>
    <m/>
    <m/>
    <m/>
    <m/>
    <s v="PFS"/>
    <s v="CES_PFS (Owned by /C2PL/Aftertreatment)"/>
    <m/>
    <m/>
    <m/>
    <m/>
    <m/>
    <m/>
    <m/>
    <m/>
    <m/>
    <m/>
    <m/>
    <m/>
    <m/>
  </r>
  <r>
    <s v="Haridas Raut (vy322)"/>
    <s v="Vivek Panigrahi"/>
    <n v="0"/>
    <n v="0"/>
    <n v="0"/>
    <m/>
    <s v="CES CSAR 01.24.12.00 - 12962338"/>
    <s v="CES CSAR 01.24.12.00 - 12962338"/>
    <x v="24"/>
    <m/>
    <s v="CSAR Sync - Up: Add De-bounce timer before setting INHIBIT_SWITCH_TIMED_REGEN_ERR"/>
    <x v="1"/>
    <s v="Transparency check complete"/>
    <m/>
    <s v="30-Aug: Dcr is submitted in Integrity._x000a_29-Aug: L2 review is completed for Evalaution and interface sheet. Awaiting confirmation from John for AECD and RRB passed tag from Yogesh._x000a_28-Aug: Receieved L2 feedback and working on it to be sent for verification today. To be discussed with Dhanraj, Lavanya on rejection for DCR#13868570._x000a_27-Aug,26-Aug: To be sent reminder mail to Dhanraj for L2 feedback. To be discussed with Lavanya and Anushka for the rejection part for DCR#13868570._x000a_23-Aug: Awaiting L2 feedback from Dhanraj._x000a_22-Aug,19-Aug: Awaiting L2 feedback from Dhanraj for Evalaution and Interface sheet._x000a_16-Aug: CCB review is completed. Verification is in progress. To be sent for L2 review today._x000a_14-Aug: Peer review is completed. CCB review is also completed and working on review comments.To be planned for L2 review tomorrow._x000a_13-Aug: Peer review comments are fixed to be verified with Ankit. CCB is scheduled today._x000a_12-Aug: Peer review is completed and working on review comments. To be planned for CCB tomorrow._x000a_09-Aug: Peer review is in progress. Working on review comments._x000a_08-Aug: Evalaution is completed. PPT updation is in progress. Peer review to be planned._x000a_07-Aug,06-Aug,05-Aug: Evalaution is in progress._x000a_02-Aug: Initial analysis is in progress."/>
    <x v="0"/>
    <m/>
    <m/>
    <m/>
    <m/>
    <m/>
    <m/>
    <m/>
    <m/>
    <m/>
    <m/>
    <m/>
    <s v="2024 Aug - CES PFS : 14503516"/>
    <m/>
    <s v="Transparency check complete"/>
    <s v="High"/>
    <m/>
    <d v="2024-08-08T00:00:00"/>
    <s v="29-08-2024 18:38:05"/>
    <s v="In Progress"/>
    <s v="Change Request"/>
    <d v="2020-11-30T00:00:00"/>
    <s v="/CSARPL/Aftertreatment/Br001"/>
    <d v="2024-02-14T19:59:45"/>
    <m/>
    <m/>
    <x v="16"/>
    <m/>
    <m/>
    <m/>
    <x v="4"/>
    <d v="2024-09-03T00:00:00"/>
    <d v="2024-09-03T00:00:00"/>
    <m/>
    <m/>
    <s v="PFS"/>
    <s v="CES_PFS (Owned by /C2PL/Aftertreatment)"/>
    <m/>
    <m/>
    <m/>
    <m/>
    <m/>
    <m/>
    <m/>
    <m/>
    <m/>
    <m/>
    <m/>
    <m/>
    <m/>
  </r>
  <r>
    <s v="Haridas Raut (vy322)"/>
    <s v="Vivek Panigrahi"/>
    <n v="0"/>
    <n v="0"/>
    <n v="0"/>
    <m/>
    <s v="CES CSAR 01.24.12.00 - 12962338"/>
    <s v="CES CSAR 01.24.12.00 - 12962338"/>
    <x v="25"/>
    <m/>
    <s v="CSAR Sync - Up: Add the switch to enable the setting  INHIBIT_SWITCH_TIMED_REGEN_ERR can choose the previous logic"/>
    <x v="1"/>
    <s v="Transparency check complete"/>
    <m/>
    <s v="30-Aug: Dcr is submitted in Integrity._x000a_29-Aug: L2 review is completed for Evalaution and interface sheet. Awaiting confirmation from John for AECD and RRB passed tag from Yogesh._x000a_28-Aug: Receieved L2 feedback and working on it to be sent for verification today. To be discussed with Dhanraj, Lavanya on rejection for DCR#13868570._x000a_27-Aug,26-Aug: To be sent reminder mail to Dhanraj for L2 feedback. To be discussed with Lavanya and Anushka for the rejection part for DCR#13868570._x000a_23-Aug: Awaiting L2 feedback from Dhanraj._x000a_22-Aug,19-Aug: Awaiting L2 feedback from Dhanraj for Evalaution and Interface sheet._x000a_16-Aug: CCB review is completed. Verification is in progress. To be sent for L2 review today._x000a_14-Aug: Peer review is completed. CCB review is also completed and working on review comments.To be planned for L2 review tomorrow._x000a_13-Aug: Peer review comments are fixed to be verified with Ankit. CCB is scheduled today._x000a_12-Aug: Peer review is completed and working on review comments. To be planned for CCB tomorrow._x000a_09-Aug: Peer review is in progress. Working on review comments._x000a_08-Aug: Evalaution is completed. PPT updation is in progress. Peer review to be planned._x000a_07-Aug,06-Aug,05-Aug: Evalaution is in progress._x000a_02-Aug: Initial analysis is in progress."/>
    <x v="0"/>
    <m/>
    <m/>
    <m/>
    <m/>
    <m/>
    <m/>
    <m/>
    <m/>
    <m/>
    <m/>
    <m/>
    <s v="2024 Aug - CES PFS : 14503516"/>
    <m/>
    <s v="Transparency check complete"/>
    <s v="High"/>
    <m/>
    <d v="2024-08-08T00:00:00"/>
    <s v="29-08-2024 18:38:23"/>
    <s v="In Progress"/>
    <s v="Change Request"/>
    <d v="2021-04-29T00:00:00"/>
    <s v="/CSARPL/Aftertreatment/Br001"/>
    <d v="2024-02-14T20:03:46"/>
    <m/>
    <m/>
    <x v="16"/>
    <m/>
    <m/>
    <m/>
    <x v="4"/>
    <d v="2024-09-03T00:00:00"/>
    <d v="2024-09-03T00:00:00"/>
    <m/>
    <m/>
    <s v="PFS"/>
    <s v="CES_PFS (Owned by /C2PL/Aftertreatment)"/>
    <m/>
    <m/>
    <m/>
    <m/>
    <m/>
    <m/>
    <m/>
    <m/>
    <m/>
    <m/>
    <m/>
    <m/>
    <m/>
  </r>
  <r>
    <s v="jyoti dongre (vu400)"/>
    <s v="Vivek Panigrahi"/>
    <n v="0"/>
    <n v="0"/>
    <n v="0"/>
    <m/>
    <s v="CES CSAR 01.24.12.00 - 12962338"/>
    <m/>
    <x v="26"/>
    <m/>
    <s v="CSAR Sync - Up: OEM1 - Updated PATM Triggering for Soot Based Cleaning"/>
    <x v="1"/>
    <s v="Transparency check complete"/>
    <m/>
    <s v="18-Sep: DCR is submitted in Integrity._x000a_04-Sep: Tracking effort on DCR12541182._x000a_ 03-Sep: Awaiting L2 feedback from Yue ._x000a_26-08 : Requirements are cleard, workign on Interface sheet_x000a_23-08 : Analysis to be started"/>
    <x v="0"/>
    <m/>
    <m/>
    <m/>
    <m/>
    <m/>
    <m/>
    <m/>
    <m/>
    <m/>
    <m/>
    <m/>
    <s v="2024 Sep - CES PFS : 14702743"/>
    <m/>
    <s v="Transparency check complete"/>
    <s v="High"/>
    <m/>
    <m/>
    <m/>
    <s v="Assess"/>
    <s v="Change Request"/>
    <d v="2021-06-18T00:00:00"/>
    <s v="/CSARPL/Aftertreatment/Br001"/>
    <d v="2024-02-14T20:07:45"/>
    <d v="2024-08-23T00:00:00"/>
    <m/>
    <x v="6"/>
    <m/>
    <m/>
    <m/>
    <x v="2"/>
    <d v="2024-08-23T00:00:00"/>
    <d v="2024-08-23T00:00:00"/>
    <m/>
    <m/>
    <s v="PFS"/>
    <s v="CES_PFS (Owned by /C2PL/Aftertreatment)"/>
    <m/>
    <m/>
    <m/>
    <m/>
    <m/>
    <m/>
    <m/>
    <m/>
    <m/>
    <m/>
    <m/>
    <m/>
    <m/>
  </r>
  <r>
    <s v="jyoti dongre (vu400)"/>
    <s v="Vivek Panigrahi"/>
    <n v="24"/>
    <n v="58"/>
    <n v="34"/>
    <m/>
    <s v="CES CSAR 01.24.12.00 - 12962338"/>
    <m/>
    <x v="27"/>
    <m/>
    <s v="Evaluate Protection based regen logic in AftSootBasedRegenTrigProc component"/>
    <x v="1"/>
    <s v="Transparency check complete"/>
    <m/>
    <s v="18-Sep: DCR is submitted in Integrity._x000a_16-Sep: Awaiting L2 feedback from Yue._x000a_13-Sep,12-Sep: CCB review is compleetd. Sent for L2 review to Yue._x000a_11-Sep: CCB is in continiouson for Interface sheet and Evalaution._x000a_10-Sep: Received CCB review comments, connect with Swapnil and to be discussed with Ashitosh on this._x000a_09-Sep: CCB reviewer not availbale hence reschedule to today._x000a_06-Sep: Peer review is completed, working on review comments. CCB is planned today._x000a_05-Sep: Peer review is in progress._x000a_04-Sep: Received confirmation from Swapnil and peer review planned today._x000a_03-Sep: As advised by Swapnil working on updated logic on 13208634_x000a_26-08 : To be discuss with Dhanraj_x000a_23-08 : Analysis to be started"/>
    <x v="0"/>
    <m/>
    <m/>
    <m/>
    <m/>
    <m/>
    <m/>
    <m/>
    <m/>
    <m/>
    <m/>
    <m/>
    <s v="2024 Sep - CES PFS : 14702743"/>
    <m/>
    <s v="Transparency check complete"/>
    <s v="Medium"/>
    <m/>
    <m/>
    <m/>
    <s v="Assess"/>
    <s v="Change Request"/>
    <d v="2024-04-30T00:00:00"/>
    <s v="/CSARPL/Aftertreatment/Br001"/>
    <d v="2024-02-23T12:03:34"/>
    <d v="2024-08-23T00:00:00"/>
    <m/>
    <x v="6"/>
    <m/>
    <m/>
    <m/>
    <x v="2"/>
    <d v="2024-09-13T00:00:00"/>
    <d v="2024-09-18T00:00:00"/>
    <m/>
    <m/>
    <s v="PFS"/>
    <s v="CES_PFS (Owned by /C2PL/Aftertreatment)"/>
    <m/>
    <m/>
    <m/>
    <m/>
    <m/>
    <m/>
    <m/>
    <m/>
    <m/>
    <m/>
    <m/>
    <m/>
    <m/>
  </r>
  <r>
    <s v="Yogesh Yenorkar (vz001)"/>
    <s v="Rachna Pawale"/>
    <n v="0"/>
    <n v="30"/>
    <n v="30"/>
    <m/>
    <m/>
    <m/>
    <x v="28"/>
    <m/>
    <s v="ISMs need to be implement for AftDiesPartFiltEffDiag component"/>
    <x v="1"/>
    <m/>
    <m/>
    <s v="23-08 : Analysis to be started"/>
    <x v="4"/>
    <m/>
    <m/>
    <m/>
    <m/>
    <m/>
    <m/>
    <m/>
    <m/>
    <m/>
    <m/>
    <m/>
    <s v="2024 Apr - CES PFS : 13371112"/>
    <m/>
    <m/>
    <s v="Very High"/>
    <m/>
    <m/>
    <m/>
    <s v="Assess"/>
    <s v="Change Request"/>
    <d v="2024-04-19T00:00:00"/>
    <s v="/CSARPL/Aftertreatment/Br001"/>
    <d v="2024-03-18T12:28:28"/>
    <m/>
    <m/>
    <x v="10"/>
    <m/>
    <m/>
    <m/>
    <x v="1"/>
    <s v="DRB/L2 : _x000a_SW_x000a_DOC_x000a_OBDM"/>
    <s v="DRB/L2 : _x000a_SW_x000a_DOC_x000a_OBDM"/>
    <m/>
    <m/>
    <s v="PFS"/>
    <s v="CES_PFS (Owned by /C2PL/Aftertreatment)"/>
    <m/>
    <m/>
    <m/>
    <m/>
    <m/>
    <m/>
    <m/>
    <m/>
    <m/>
    <m/>
    <m/>
    <m/>
    <m/>
  </r>
  <r>
    <s v="Yogesh Yenorkar (vz001)"/>
    <s v="Rachna Pawale"/>
    <n v="0"/>
    <n v="30"/>
    <n v="30"/>
    <m/>
    <m/>
    <m/>
    <x v="28"/>
    <m/>
    <s v="ISMs need to be implement for AftDiesPartFiltEffDiag component"/>
    <x v="0"/>
    <m/>
    <m/>
    <m/>
    <x v="2"/>
    <m/>
    <m/>
    <m/>
    <m/>
    <m/>
    <m/>
    <m/>
    <m/>
    <m/>
    <m/>
    <m/>
    <m/>
    <m/>
    <m/>
    <m/>
    <m/>
    <m/>
    <m/>
    <m/>
    <m/>
    <m/>
    <m/>
    <m/>
    <m/>
    <m/>
    <x v="10"/>
    <m/>
    <m/>
    <m/>
    <x v="1"/>
    <m/>
    <m/>
    <m/>
    <m/>
    <s v="PFS"/>
    <m/>
    <m/>
    <m/>
    <m/>
    <m/>
    <m/>
    <m/>
    <m/>
    <m/>
    <m/>
    <m/>
    <m/>
    <m/>
    <m/>
  </r>
  <r>
    <s v="Yogesh Yenorkar (vz001)"/>
    <s v="Rachna Pawale"/>
    <n v="31.5"/>
    <n v="100"/>
    <m/>
    <m/>
    <m/>
    <m/>
    <x v="29"/>
    <m/>
    <s v="AftDiesOxidCatPresDiag: CSAR SYNC-UP: PFS: MY24 OBD OEM Requested General Strategies: Implement Rapid Response in alternative pass/fail counter strategy"/>
    <x v="1"/>
    <m/>
    <m/>
    <s v="18 Sep : Peer review is done, comment verfication to be done_x000a_16-09 : Peer review is planned today_x000a_13 Sep : peer review tomplanned on 16 Sep"/>
    <x v="3"/>
    <m/>
    <m/>
    <m/>
    <m/>
    <m/>
    <m/>
    <m/>
    <m/>
    <m/>
    <m/>
    <m/>
    <m/>
    <m/>
    <m/>
    <m/>
    <m/>
    <m/>
    <m/>
    <m/>
    <m/>
    <m/>
    <m/>
    <m/>
    <m/>
    <m/>
    <x v="17"/>
    <m/>
    <m/>
    <m/>
    <x v="1"/>
    <m/>
    <m/>
    <m/>
    <m/>
    <m/>
    <m/>
    <m/>
    <m/>
    <m/>
    <m/>
    <m/>
    <m/>
    <m/>
    <m/>
    <m/>
    <m/>
    <m/>
    <m/>
    <m/>
  </r>
  <r>
    <s v="Yogesh Yenorkar (vz001)"/>
    <s v="Rachna Pawale"/>
    <m/>
    <n v="110"/>
    <m/>
    <m/>
    <m/>
    <m/>
    <x v="29"/>
    <m/>
    <s v="AftDiesOxidCatPresDiag: CSAR SYNC-UP: PFS: MY24 OBD OEM Requested General Strategies: Implement Rapid Response in alternative pass/fail counter strategy"/>
    <x v="0"/>
    <m/>
    <m/>
    <m/>
    <x v="2"/>
    <m/>
    <m/>
    <m/>
    <m/>
    <m/>
    <m/>
    <m/>
    <m/>
    <m/>
    <m/>
    <m/>
    <m/>
    <m/>
    <m/>
    <m/>
    <m/>
    <m/>
    <m/>
    <m/>
    <m/>
    <m/>
    <m/>
    <m/>
    <m/>
    <m/>
    <x v="10"/>
    <m/>
    <m/>
    <m/>
    <x v="1"/>
    <m/>
    <m/>
    <m/>
    <m/>
    <m/>
    <m/>
    <m/>
    <m/>
    <m/>
    <m/>
    <m/>
    <m/>
    <m/>
    <m/>
    <m/>
    <m/>
    <m/>
    <m/>
    <m/>
  </r>
  <r>
    <s v="amit matale (xy524)"/>
    <s v="Rachna Pawale"/>
    <n v="9"/>
    <n v="50"/>
    <n v="41"/>
    <m/>
    <m/>
    <m/>
    <x v="30"/>
    <m/>
    <s v="CSAR - Documentation for AftDiesOxidCatRvrsDiag component"/>
    <x v="0"/>
    <m/>
    <m/>
    <s v="22 Aug : Documentation is progress"/>
    <x v="4"/>
    <m/>
    <m/>
    <m/>
    <m/>
    <m/>
    <m/>
    <m/>
    <m/>
    <m/>
    <m/>
    <m/>
    <m/>
    <m/>
    <m/>
    <s v="Very High"/>
    <m/>
    <m/>
    <m/>
    <s v="Assess"/>
    <s v="Change Request"/>
    <d v="2024-05-31T00:00:00"/>
    <s v="/CSARPL/Aftertreatment/Br001"/>
    <d v="2024-03-26T12:22:04"/>
    <m/>
    <m/>
    <x v="9"/>
    <m/>
    <m/>
    <m/>
    <x v="1"/>
    <m/>
    <m/>
    <m/>
    <m/>
    <s v="PFS"/>
    <s v="CES_PFS (Owned by /C2PL/Aftertreatment)"/>
    <m/>
    <m/>
    <m/>
    <m/>
    <m/>
    <m/>
    <m/>
    <m/>
    <m/>
    <m/>
    <m/>
    <m/>
    <m/>
  </r>
  <r>
    <s v="amit matale (xy524)"/>
    <s v="Rachna Pawale"/>
    <n v="0"/>
    <n v="50"/>
    <n v="50"/>
    <m/>
    <m/>
    <m/>
    <x v="30"/>
    <m/>
    <s v="CSAR - Documentation for AftDiesOxidCatRvrsDiag component"/>
    <x v="0"/>
    <m/>
    <m/>
    <m/>
    <x v="4"/>
    <m/>
    <m/>
    <m/>
    <m/>
    <m/>
    <m/>
    <m/>
    <m/>
    <m/>
    <m/>
    <m/>
    <m/>
    <m/>
    <m/>
    <m/>
    <m/>
    <m/>
    <m/>
    <m/>
    <m/>
    <m/>
    <m/>
    <m/>
    <m/>
    <m/>
    <x v="18"/>
    <m/>
    <m/>
    <m/>
    <x v="1"/>
    <m/>
    <m/>
    <m/>
    <m/>
    <s v="PFS"/>
    <m/>
    <m/>
    <m/>
    <m/>
    <m/>
    <m/>
    <m/>
    <m/>
    <m/>
    <m/>
    <m/>
    <m/>
    <m/>
    <m/>
  </r>
  <r>
    <s v="Anushka P Gaikwad (wf298)"/>
    <s v="Rachna Pawale"/>
    <n v="0"/>
    <m/>
    <n v="0"/>
    <m/>
    <m/>
    <m/>
    <x v="31"/>
    <m/>
    <s v="CSAR - Documentation for AftDiesPartFiltOutPrRatDiag component"/>
    <x v="1"/>
    <m/>
    <m/>
    <m/>
    <x v="4"/>
    <m/>
    <m/>
    <m/>
    <m/>
    <m/>
    <m/>
    <m/>
    <m/>
    <m/>
    <m/>
    <m/>
    <m/>
    <m/>
    <m/>
    <s v="Very High"/>
    <m/>
    <m/>
    <m/>
    <s v="Assess"/>
    <s v="Change Request"/>
    <d v="2024-05-31T00:00:00"/>
    <s v="/CSARPL/Aftertreatment/Br001"/>
    <d v="2024-03-26T14:12:23"/>
    <m/>
    <m/>
    <x v="18"/>
    <m/>
    <m/>
    <m/>
    <x v="1"/>
    <m/>
    <m/>
    <m/>
    <m/>
    <s v="PFS"/>
    <s v="CES_PFS (Owned by /C2PL/Aftertreatment)"/>
    <m/>
    <m/>
    <m/>
    <m/>
    <m/>
    <m/>
    <m/>
    <m/>
    <m/>
    <m/>
    <m/>
    <m/>
    <m/>
  </r>
  <r>
    <s v="Anushka P Gaikwad (wf298)"/>
    <s v="Rachna Pawale"/>
    <n v="0"/>
    <m/>
    <n v="0"/>
    <m/>
    <m/>
    <m/>
    <x v="31"/>
    <m/>
    <s v="CSAR - Documentation for AftDiesPartFiltOutPrRatDiag component"/>
    <x v="0"/>
    <m/>
    <m/>
    <m/>
    <x v="4"/>
    <m/>
    <m/>
    <m/>
    <m/>
    <m/>
    <m/>
    <m/>
    <m/>
    <m/>
    <m/>
    <m/>
    <m/>
    <m/>
    <m/>
    <s v="High"/>
    <m/>
    <m/>
    <m/>
    <m/>
    <m/>
    <m/>
    <m/>
    <m/>
    <m/>
    <m/>
    <x v="18"/>
    <m/>
    <m/>
    <m/>
    <x v="1"/>
    <m/>
    <m/>
    <m/>
    <m/>
    <s v="PFS"/>
    <m/>
    <m/>
    <m/>
    <m/>
    <m/>
    <m/>
    <m/>
    <m/>
    <m/>
    <m/>
    <m/>
    <m/>
    <m/>
    <m/>
  </r>
  <r>
    <s v="Harshada Borude (ur897)"/>
    <s v="Vivek Panigrahi"/>
    <n v="0"/>
    <n v="0"/>
    <n v="0"/>
    <m/>
    <s v="CES CSAR 01.24.12.00 - 12962338"/>
    <m/>
    <x v="32"/>
    <m/>
    <s v="ISMs need to be implement for AftDiesOxidCatInlTmptrDiag component"/>
    <x v="1"/>
    <m/>
    <m/>
    <s v="02-09 : To be rejected"/>
    <x v="6"/>
    <m/>
    <m/>
    <m/>
    <m/>
    <m/>
    <m/>
    <m/>
    <m/>
    <m/>
    <m/>
    <m/>
    <s v="2024 Sep - CES PFS : 14702743"/>
    <m/>
    <m/>
    <s v="Very High"/>
    <m/>
    <m/>
    <m/>
    <s v="Assess"/>
    <s v="Change Request"/>
    <d v="2024-04-15T00:00:00"/>
    <s v="/CSARPL/Aftertreatment/Br001"/>
    <d v="2024-03-27T18:04:29"/>
    <m/>
    <m/>
    <x v="10"/>
    <m/>
    <m/>
    <m/>
    <x v="1"/>
    <m/>
    <m/>
    <m/>
    <m/>
    <s v="PFS"/>
    <s v="CES_PFS (Owned by /C2PL/Aftertreatment)"/>
    <m/>
    <m/>
    <m/>
    <m/>
    <m/>
    <m/>
    <m/>
    <m/>
    <m/>
    <m/>
    <m/>
    <m/>
    <m/>
  </r>
  <r>
    <s v="Haridas Raut (vy322)"/>
    <s v="Vivek Panigrahi"/>
    <n v="0"/>
    <n v="0"/>
    <m/>
    <m/>
    <s v="CES CSAR 01.24.12.00 - 12962338"/>
    <s v="CES CSAR 01.24.12.00 - 12962338"/>
    <x v="33"/>
    <m/>
    <s v="ISMs need to be implement for  AftLampDrvOutIntf component"/>
    <x v="1"/>
    <m/>
    <m/>
    <s v="30-Aug: Dcr is submitted in Integrity._x000a_29-Aug: L2 review is completed for Evalaution and interface sheet. Awaiting confirmation from John for AECD and RRB passed tag from Yogesh._x000a_28-Aug: Receieved L2 feedback and working on it to be sent for verification today. To be discussed with Dhanraj, Lavanya on rejection for DCR#13868570._x000a_27-Aug,26-Aug: To be sent reminder mail to Dhanraj for L2 feedback. To be discussed with Lavanya and Anushka for the rejection part for DCR#13868570._x000a_23-Aug: Awaiting L2 feedback from Dhanraj._x000a_22-Aug,19-Aug: Awaiting L2 feedback from Dhanraj for Evalaution and Interface sheet._x000a_16-Aug: CCB review is completed. Verification is in progress. To be sent for L2 review today._x000a_14-Aug: Peer review is completed. CCB review is also completed and working on review comments.To be planned for L2 review tomorrow._x000a_13-Aug: Peer review comments are fixed to be verified with Ankit. CCB is scheduled today._x000a_12-Aug: Peer review is completed and working on review comments. To be planned for CCB tomorrow._x000a_09-Aug: Peer review is in progress. Working on review comments._x000a_08-Aug: Evalaution is completed. PPT updation is in progress. Peer review to be planned._x000a_07-Aug,06-Aug,05-Aug: Evalaution is in progress._x000a_02-Aug: Initial analysis is in progress."/>
    <x v="0"/>
    <m/>
    <m/>
    <m/>
    <m/>
    <m/>
    <m/>
    <m/>
    <m/>
    <m/>
    <m/>
    <m/>
    <s v="2024 Aug - CES PFS : 14503516"/>
    <m/>
    <m/>
    <s v="Very High"/>
    <m/>
    <d v="2024-08-08T00:00:00"/>
    <s v="29-08-2024 18:38:40"/>
    <s v="In Progress"/>
    <s v="Change Request"/>
    <d v="2024-04-15T00:00:00"/>
    <s v="/CSARPL/Aftertreatment/Br001"/>
    <d v="2024-03-27T18:11:42"/>
    <m/>
    <m/>
    <x v="16"/>
    <m/>
    <m/>
    <m/>
    <x v="4"/>
    <d v="2024-09-03T00:00:00"/>
    <d v="2024-09-03T00:00:00"/>
    <m/>
    <m/>
    <s v="PFS"/>
    <s v="CES_PFS (Owned by /C2PL/Aftertreatment)"/>
    <m/>
    <m/>
    <m/>
    <m/>
    <m/>
    <m/>
    <m/>
    <m/>
    <m/>
    <m/>
    <m/>
    <m/>
    <m/>
  </r>
  <r>
    <s v="Shraddha Arde (ul528)"/>
    <s v="Rachna Pawale"/>
    <n v="30"/>
    <n v="30"/>
    <n v="0"/>
    <m/>
    <s v="CES CSAR 01.24.12.00 - 12962338"/>
    <m/>
    <x v="34"/>
    <m/>
    <s v="eHTR Power usage during regeneration - power splitting between locations"/>
    <x v="1"/>
    <s v="SRS will be updated during implementation by Nileema's team "/>
    <m/>
    <s v="18-09 : L2 feedback has been received, will be sent for authoring today_x000a_16-09 : Awaiitng L2 review since 29th Aug_x000a_23-Aug :Peer review - Done_x000a_26-Aug : CCB in progress                                               03 Sep : Eval is done , Intefacr &amp; SRS sent for L2 review"/>
    <x v="3"/>
    <m/>
    <m/>
    <m/>
    <m/>
    <m/>
    <m/>
    <m/>
    <m/>
    <m/>
    <m/>
    <m/>
    <s v="2024 Sep - CES PFS : 14702743"/>
    <d v="2024-10-31T00:00:00"/>
    <s v="SRS will be updated during implementation by Nileema's team "/>
    <s v="High"/>
    <m/>
    <m/>
    <d v="2024-08-08T20:58:19"/>
    <s v="In Progress"/>
    <s v="Change Request"/>
    <d v="2024-10-25T09:30:00"/>
    <s v="/CSARPL/Aftertreatment/Br001"/>
    <d v="2024-03-29T00:59:18"/>
    <d v="2024-08-16T00:00:00"/>
    <m/>
    <x v="19"/>
    <m/>
    <m/>
    <m/>
    <x v="1"/>
    <d v="2024-09-16T00:00:00"/>
    <m/>
    <m/>
    <m/>
    <s v="PFS"/>
    <s v="CES_PFS (Owned by /C2PL/Aftertreatment)"/>
    <m/>
    <m/>
    <m/>
    <m/>
    <m/>
    <m/>
    <m/>
    <m/>
    <m/>
    <m/>
    <m/>
    <m/>
    <m/>
  </r>
  <r>
    <s v="Shraddha Arde (ul528)"/>
    <s v="Rachna Pawale"/>
    <n v="48"/>
    <n v="320"/>
    <n v="272"/>
    <m/>
    <s v="CES CSAR 01.24.12.00 - 12962338"/>
    <m/>
    <x v="34"/>
    <m/>
    <s v="eHTR Power usage during regeneration - power splitting between locations"/>
    <x v="0"/>
    <m/>
    <m/>
    <s v="17-09 : Test vector updataion in progress_x000a_16-09 : Model prepartion will be completed today_x000a_13 Sep : app guide is done &amp; model prepration in progress_x000a_05-09 : Model Prepartion and Appguide in progress. Plan to complete appguide 10th sept. Model preparation in progress_x000a_03 Sep - Planned to start on 10 Sep"/>
    <x v="1"/>
    <m/>
    <m/>
    <m/>
    <m/>
    <m/>
    <m/>
    <m/>
    <m/>
    <m/>
    <m/>
    <m/>
    <m/>
    <m/>
    <m/>
    <m/>
    <m/>
    <m/>
    <m/>
    <m/>
    <m/>
    <m/>
    <m/>
    <m/>
    <m/>
    <m/>
    <x v="20"/>
    <m/>
    <m/>
    <m/>
    <x v="1"/>
    <m/>
    <m/>
    <m/>
    <m/>
    <s v="PFS"/>
    <m/>
    <m/>
    <m/>
    <m/>
    <m/>
    <m/>
    <m/>
    <m/>
    <m/>
    <m/>
    <m/>
    <m/>
    <m/>
    <m/>
  </r>
  <r>
    <s v="Shraddha Arde (ul528)"/>
    <s v="Rachna Pawale"/>
    <n v="37"/>
    <n v="40"/>
    <n v="3"/>
    <m/>
    <s v="CES CSAR 01.24.12.00 - 12962338"/>
    <s v="CES CSAR 01.24.12.00 - 12962338"/>
    <x v="35"/>
    <m/>
    <s v="CSAR SyncUp :- DTR replacement for AftDOCPIDFdbkUsedUpDiag"/>
    <x v="1"/>
    <m/>
    <m/>
    <s v="03 Sep : Working on code complilation error, Peer review planned on 04 Sep"/>
    <x v="0"/>
    <m/>
    <m/>
    <m/>
    <m/>
    <m/>
    <m/>
    <m/>
    <m/>
    <m/>
    <m/>
    <m/>
    <s v="2024 Aug - CES PFS : 14503516"/>
    <m/>
    <m/>
    <s v="High"/>
    <m/>
    <d v="2024-08-08T00:00:00"/>
    <s v="21-08-2024 18:55:08"/>
    <s v="In Progress"/>
    <m/>
    <d v="2024-08-31T10:30:00"/>
    <m/>
    <m/>
    <m/>
    <m/>
    <x v="21"/>
    <m/>
    <m/>
    <m/>
    <x v="5"/>
    <d v="2024-08-13T00:00:00"/>
    <d v="2024-08-21T00:00:00"/>
    <m/>
    <m/>
    <s v="PFS"/>
    <s v="CES_PFS (Owned by /C2PL/Aftertreatment)"/>
    <m/>
    <m/>
    <m/>
    <m/>
    <m/>
    <m/>
    <m/>
    <m/>
    <m/>
    <m/>
    <m/>
    <m/>
    <m/>
  </r>
  <r>
    <s v="Shraddha Arde (ul528)"/>
    <s v="Rachna Pawale"/>
    <n v="25"/>
    <n v="25"/>
    <n v="0"/>
    <m/>
    <s v="CES CSAR 01.24.12.00 - 12962338"/>
    <m/>
    <x v="35"/>
    <m/>
    <s v="CSAR SyncUp :- DTR replacement for AftDOCPIDFdbkUsedUpDiag"/>
    <x v="0"/>
    <m/>
    <m/>
    <s v="18-09 : DCR to be checked in today_x000a_16-09 : check-in progress._x000a_13 Sep : Checkn in pending due to technical issue_x000a_12 Sep : Check in will be done today 05-09 : Internal review planned today_x000a_03 Sep : Implementaion started on 27 Aug. Internal review in progress"/>
    <x v="0"/>
    <m/>
    <m/>
    <m/>
    <m/>
    <m/>
    <m/>
    <m/>
    <m/>
    <m/>
    <m/>
    <m/>
    <m/>
    <m/>
    <m/>
    <m/>
    <m/>
    <m/>
    <m/>
    <m/>
    <m/>
    <m/>
    <m/>
    <m/>
    <d v="2024-09-05T00:00:00"/>
    <m/>
    <x v="22"/>
    <m/>
    <m/>
    <m/>
    <x v="1"/>
    <m/>
    <m/>
    <m/>
    <m/>
    <s v="PFS"/>
    <m/>
    <m/>
    <m/>
    <m/>
    <m/>
    <m/>
    <m/>
    <m/>
    <m/>
    <m/>
    <m/>
    <m/>
    <m/>
    <m/>
  </r>
  <r>
    <s v="jyoti dongre (vu400)"/>
    <s v="Vivek Panigrahi"/>
    <n v="38"/>
    <n v="140"/>
    <n v="102"/>
    <m/>
    <s v="CES CSAR 01.24.12.00 - 12962338"/>
    <m/>
    <x v="36"/>
    <m/>
    <s v="VnV and Documentation for CSAR migrated component - ATS - ATM Extension - PFS CES AECD (AftPFSAecdIntfProc)"/>
    <x v="1"/>
    <m/>
    <m/>
    <s v="09-Sep: SRS query resolved by Ashitosh and Tracebility creation to be started._x000a_06-Sep: To be discussed with Dhanraj for SRS query resolution._x000a_05-Sep: To be worked on SRS._x000a_02-Sep: App Guide updation is in progress. Kept on hold due to prirority work._x000a_30-Aug: App Guide creation to be started."/>
    <x v="0"/>
    <m/>
    <m/>
    <m/>
    <m/>
    <m/>
    <m/>
    <m/>
    <m/>
    <m/>
    <m/>
    <m/>
    <s v="2024 Sep - CES PFS : 14702743"/>
    <m/>
    <m/>
    <s v="Very High"/>
    <m/>
    <m/>
    <m/>
    <s v="Assess"/>
    <s v="Change Request"/>
    <d v="2023-05-15T09:30:00"/>
    <s v="/CSARPL/Aftertreatment/Br001"/>
    <d v="2024-03-29T11:04:37"/>
    <d v="2024-08-30T00:00:00"/>
    <m/>
    <x v="20"/>
    <m/>
    <m/>
    <m/>
    <x v="6"/>
    <d v="2024-09-09T00:00:00"/>
    <d v="2024-09-09T00:00:00"/>
    <m/>
    <m/>
    <s v="PFS"/>
    <s v="CES_PFS (Owned by /C2PL/Aftertreatment)"/>
    <m/>
    <m/>
    <m/>
    <m/>
    <m/>
    <m/>
    <m/>
    <m/>
    <m/>
    <m/>
    <m/>
    <m/>
    <m/>
  </r>
  <r>
    <s v="jyoti dongre (vu400)"/>
    <s v="Vivek Panigrahi"/>
    <n v="58"/>
    <n v="140"/>
    <n v="82"/>
    <m/>
    <s v="CES CSAR 01.24.12.00 - 12962338"/>
    <m/>
    <x v="36"/>
    <m/>
    <s v="VnV and Documentation for CSAR migrated component - ATS - ATM Extension - PFS CES AECD (AftPFSAecdIntfProc)"/>
    <x v="0"/>
    <m/>
    <m/>
    <s v="18-Sep: Still Integrity access for SRS import issue is there follw up with John Phillipse is in progress. SRS peer review is in progress, review comments are fixed._x000a_16-Sep: Received TL access still facing issue to be checked with other. Peer review is planned today. Spend 6 hrs in DDP wotk on friday._x000a_13-Sep: TL access request sent to John for SRS import to Intergrity. Due to DDP work Peer is planned on Monday. Kept on hold due to DDP action item fixing._x000a_12-Sep: App Guide, SRS, Tracebility creation is completed. Peer review is planned tomorrow._x000a_11-Sep,10-Sep: Tracebility creation is in progress._x000a_09-Sep: SRS query resolved by Ashitosh and Tracebility creation to be started._x000a_06-Sep: To be discussed with Dhanraj for SRS query resolution._x000a_05-Sep: To be worked on SRS._x000a_02-Sep: App Guide updation is in progress. Kept on hold due to prirority work._x000a_30-Aug: App Guide creation to be started."/>
    <x v="3"/>
    <m/>
    <m/>
    <m/>
    <m/>
    <m/>
    <m/>
    <m/>
    <m/>
    <m/>
    <m/>
    <m/>
    <s v="2024 Sep - CES PFS : 14702743"/>
    <m/>
    <m/>
    <s v="Very High"/>
    <m/>
    <m/>
    <m/>
    <s v="Assess"/>
    <s v="Change Request"/>
    <d v="2023-05-15T09:30:00"/>
    <s v="/CSARPL/Aftertreatment/Br001"/>
    <d v="2024-03-29T11:04:37"/>
    <d v="2024-08-30T00:00:00"/>
    <m/>
    <x v="20"/>
    <m/>
    <m/>
    <m/>
    <x v="1"/>
    <m/>
    <m/>
    <m/>
    <m/>
    <s v="PFS"/>
    <s v="CES_PFS (Owned by /C2PL/Aftertreatment)"/>
    <m/>
    <m/>
    <m/>
    <m/>
    <m/>
    <m/>
    <m/>
    <m/>
    <m/>
    <m/>
    <m/>
    <m/>
    <m/>
  </r>
  <r>
    <s v="Yogesh Yenorkar (vz001)"/>
    <s v="Rachna Pawale"/>
    <n v="0"/>
    <m/>
    <n v="0"/>
    <m/>
    <s v="CES CSAR 01.24.12.00 - 12962338"/>
    <s v="CES CSAR 01.24.12.00 - 12962338"/>
    <x v="37"/>
    <m/>
    <s v="Need fix for the issues found in AftDiesOxidCatPresDiag component"/>
    <x v="1"/>
    <m/>
    <m/>
    <m/>
    <x v="0"/>
    <m/>
    <m/>
    <m/>
    <m/>
    <m/>
    <m/>
    <m/>
    <m/>
    <m/>
    <m/>
    <m/>
    <s v="2024 Aug - CES PFS : 14503516"/>
    <m/>
    <m/>
    <s v="Medium"/>
    <m/>
    <d v="2024-08-12T00:00:00"/>
    <m/>
    <s v="Assess"/>
    <s v="Defect"/>
    <d v="2024-04-30T00:00:00"/>
    <s v="/CSARPL/Aftertreatment/Br001"/>
    <d v="2024-04-08T14:17:29"/>
    <m/>
    <m/>
    <x v="10"/>
    <m/>
    <m/>
    <m/>
    <x v="7"/>
    <d v="2024-07-24T00:00:00"/>
    <d v="2024-07-31T00:00:00"/>
    <m/>
    <m/>
    <s v="PFS"/>
    <s v="CES_PFS (Owned by /C2PL/Aftertreatment)"/>
    <m/>
    <m/>
    <m/>
    <m/>
    <m/>
    <m/>
    <m/>
    <m/>
    <m/>
    <m/>
    <m/>
    <m/>
    <m/>
  </r>
  <r>
    <s v="Yogesh Yenorkar (vz001)"/>
    <s v="Rachna Pawale"/>
    <n v="0"/>
    <n v="230"/>
    <n v="230"/>
    <m/>
    <s v="CES CSAR 01.24.12.00 - 12962338"/>
    <s v="CES CSAR 01.24.12.00 - 12962338"/>
    <x v="37"/>
    <m/>
    <s v="Need fix for the issues found in AftDiesOxidCatPresDiag component"/>
    <x v="0"/>
    <m/>
    <m/>
    <m/>
    <x v="0"/>
    <m/>
    <m/>
    <m/>
    <m/>
    <m/>
    <m/>
    <m/>
    <m/>
    <m/>
    <m/>
    <m/>
    <s v="2024 Aug - CES PFS : 14503516"/>
    <m/>
    <m/>
    <m/>
    <m/>
    <d v="2024-08-12T00:00:00"/>
    <m/>
    <m/>
    <m/>
    <m/>
    <m/>
    <m/>
    <m/>
    <m/>
    <x v="10"/>
    <m/>
    <m/>
    <m/>
    <x v="8"/>
    <d v="2024-07-15T00:00:00"/>
    <d v="2024-07-15T00:00:00"/>
    <m/>
    <m/>
    <s v="PFS"/>
    <m/>
    <m/>
    <m/>
    <m/>
    <m/>
    <m/>
    <m/>
    <m/>
    <m/>
    <m/>
    <m/>
    <m/>
    <m/>
    <m/>
  </r>
  <r>
    <s v="Haridas Raut (vy322)"/>
    <s v="Vivek Panigrahi"/>
    <n v="99"/>
    <n v="36"/>
    <n v="-63"/>
    <m/>
    <s v="CES CSAR 01.24.12.00 - 12962338"/>
    <m/>
    <x v="38"/>
    <m/>
    <s v="Legend Gold VECU/PACCAR: SPN 523386 interface (CES)"/>
    <x v="1"/>
    <s v="7/15/2024 Check in Required."/>
    <m/>
    <s v="18-Sep: As advised by Duygu to be discussed with Dhanraj for IDFMEA logic confirmation today._x000a_16-Sep:  To be scheduled a meeting with Duyju to get the clarification on IDFME, new additional logic. CCB review is on hold. IDFMEA scope increased to be revised estimation._x000a_13-Sep: CCB is planned today for Eval,Interface sheet and SRS._x000a_12-Sep: CCB review is on hold due to ISM changes(DCR raised -14744133). To be planned for CCB tomorrow._x000a_11-Sep: Peer review is completed, working review comments. CCB is planned today._x000a_10-Sep:Interface sheet updation is completed. Peer review is planned for today._x000a_09-Sep: Evalaution is completed. Interface sheet updation is in progress._x000a_06-Sep: Evalaution is in progress._x000a_05-Sep: Received input from Dhanraj and Evalaution to be started._x000a_04-Sep: As advised by Dhanraj to be discussed with Chaitanya on component logic(CSAR Implementation)._x000a_03-Sep: Discussed with Devna and Chaitanya and got the clarification for requirements. Awaiting confirmation from Todd and Dhanraj for implimentation component details._x000a_02-Sep: Meeting to be rescheduled with all due to US holiday._x000a_30-Aug: As advised by Chaitanya to be scheduled a call with Devna, Chaitanya and Dhanraj, Ashitosh for scope clarification._x000a_29-Aug: As advised by Todd Analysis is completed. Meeting is scheduled today to explaing the out put._x000a_28-Aug: PPT updation is completed based on the input to be verified with Ashitosh and Prasad. To be discussed with Todd for the analysis output._x000a_27-Aug: Discussed with Ashitosh and working on the input to update PPT._x000a_26-AUg: To be discussed with Ashitosh and to be updated PPT and share with Todd._x000a_23-Aug: As advised by Chaitanya and Dhanraj to  be prepared PPT and to be reviewed with Todd._x000a_22-Aug: Call to be scheduled with Chaitanya and Dhnaraj._x000a_19-Aug,16-Aug: To be analyzed on mode arbitration sub system check in offhighway and to be dicussed with Rohit F._x000a_05-Aug: Kept on hold due to other prirority._x000a_02-Aug,01-Aug,31-July: To be discussed with Todd and Dhanraj for new logic clairifcation. _x000a_30-July,29-July: Awaiting input from Dhanraj to impiment new logc in component. Time lilne to be confirmed by Haridas._x000a_26-July: Evalaution analysis is in progress._x000a_25-July,23-July:  Initial analysis is in progress."/>
    <x v="1"/>
    <m/>
    <m/>
    <m/>
    <m/>
    <m/>
    <m/>
    <m/>
    <m/>
    <m/>
    <m/>
    <m/>
    <s v="2024 Sep - CES PFS : 14702743"/>
    <m/>
    <s v="7/15/2024 Check in Required."/>
    <s v="High"/>
    <m/>
    <m/>
    <m/>
    <s v="Assess"/>
    <s v="Change Request"/>
    <d v="2024-05-03T04:30:00"/>
    <s v="/CSARPL/Aftertreatment/Br001"/>
    <d v="2024-04-12T17:25:05"/>
    <d v="2024-08-01T00:00:00"/>
    <m/>
    <x v="5"/>
    <m/>
    <m/>
    <m/>
    <x v="1"/>
    <m/>
    <m/>
    <m/>
    <m/>
    <s v="PFS"/>
    <s v="CES_PFS (Owned by /C2PL/Aftertreatment)"/>
    <m/>
    <m/>
    <m/>
    <m/>
    <m/>
    <m/>
    <m/>
    <m/>
    <m/>
    <m/>
    <m/>
    <m/>
    <m/>
  </r>
  <r>
    <s v="Lavanya Nayak (ri652)"/>
    <s v="Rachna Pawale"/>
    <n v="0"/>
    <n v="40"/>
    <n v="40"/>
    <m/>
    <s v="CES CSAR 01.24.12.00 - 12962338"/>
    <m/>
    <x v="39"/>
    <m/>
    <s v="Inhibit non-mission regenerations from being triggered when soot load is less than the start of regen"/>
    <x v="1"/>
    <s v="7/31/2024 Check in Required."/>
    <m/>
    <s v="18-09 : Eval in progress16-09 : On hold for DDP priority DCRs_x000a_09-09 : Evaluation in progress_x000a_29-Aug,28- Aug: Working on DDP wotk. Kept on hold._x000a_27-Aug: To be started intial analysis._x000a_26-Aug: Yet to start."/>
    <x v="1"/>
    <m/>
    <m/>
    <m/>
    <m/>
    <m/>
    <m/>
    <m/>
    <m/>
    <m/>
    <m/>
    <m/>
    <s v="2024 Sep - CES PFS : 14702743"/>
    <m/>
    <s v="7/31/2024 Check in Required."/>
    <s v="Very High"/>
    <m/>
    <m/>
    <m/>
    <s v="Assess"/>
    <s v="Change Request"/>
    <d v="2024-05-15T09:30:00"/>
    <s v="/CSARPL/Aftertreatment/Br001"/>
    <d v="2024-05-01T16:55:23"/>
    <m/>
    <m/>
    <x v="9"/>
    <m/>
    <m/>
    <m/>
    <x v="1"/>
    <m/>
    <m/>
    <m/>
    <m/>
    <s v="PFS"/>
    <s v="CES_PFS (Owned by /C2PL/Aftertreatment)"/>
    <m/>
    <m/>
    <m/>
    <m/>
    <m/>
    <m/>
    <m/>
    <m/>
    <m/>
    <m/>
    <m/>
    <m/>
    <m/>
  </r>
  <r>
    <s v="amit matale (xy524)"/>
    <s v="Rachna Pawale"/>
    <n v="0"/>
    <n v="50"/>
    <n v="50"/>
    <m/>
    <m/>
    <m/>
    <x v="40"/>
    <m/>
    <s v="MCDC Coverage improvements for AftDiesOxidCatRvrsDiag component"/>
    <x v="1"/>
    <m/>
    <m/>
    <m/>
    <x v="2"/>
    <m/>
    <m/>
    <m/>
    <m/>
    <m/>
    <m/>
    <m/>
    <m/>
    <m/>
    <m/>
    <m/>
    <m/>
    <m/>
    <m/>
    <s v="Medium"/>
    <m/>
    <m/>
    <m/>
    <s v="Assess"/>
    <s v="Change Request"/>
    <d v="2024-06-01T00:00:00"/>
    <s v="/CSARPL/Aftertreatment/Br001"/>
    <d v="2024-05-02T15:34:01"/>
    <m/>
    <m/>
    <x v="18"/>
    <m/>
    <m/>
    <m/>
    <x v="1"/>
    <m/>
    <m/>
    <m/>
    <m/>
    <s v="PFS"/>
    <s v="CES_PFS (Owned by /C2PL/Aftertreatment)"/>
    <m/>
    <m/>
    <m/>
    <m/>
    <m/>
    <m/>
    <m/>
    <m/>
    <m/>
    <m/>
    <m/>
    <m/>
    <m/>
  </r>
  <r>
    <s v="jayant patil (wl795)"/>
    <s v="Rachna Pawale"/>
    <n v="4"/>
    <n v="45"/>
    <n v="41"/>
    <m/>
    <m/>
    <m/>
    <x v="41"/>
    <m/>
    <s v="Implement EDL and Implement DTR blocks - AftDiesOxidCatOutTmptrDiag diagnostics"/>
    <x v="2"/>
    <m/>
    <m/>
    <s v="03 Sep : Requrement analysis"/>
    <x v="0"/>
    <m/>
    <m/>
    <m/>
    <m/>
    <m/>
    <m/>
    <m/>
    <m/>
    <m/>
    <m/>
    <m/>
    <m/>
    <m/>
    <m/>
    <m/>
    <m/>
    <m/>
    <m/>
    <m/>
    <m/>
    <m/>
    <m/>
    <m/>
    <m/>
    <m/>
    <x v="10"/>
    <m/>
    <m/>
    <m/>
    <x v="6"/>
    <d v="2024-09-09T00:00:00"/>
    <d v="2024-09-09T00:00:00"/>
    <m/>
    <m/>
    <s v="PFS"/>
    <m/>
    <m/>
    <m/>
    <m/>
    <m/>
    <m/>
    <m/>
    <m/>
    <m/>
    <m/>
    <m/>
    <m/>
    <m/>
    <m/>
  </r>
  <r>
    <s v="jayant patil (wl795)"/>
    <s v="Rachna Pawale"/>
    <n v="28"/>
    <n v="50"/>
    <n v="22"/>
    <m/>
    <s v="CES CSAR 01.24.12.00 - 12962338"/>
    <m/>
    <x v="42"/>
    <m/>
    <s v="Need fix for the issues found in AftDualHtrCtrl component"/>
    <x v="1"/>
    <m/>
    <m/>
    <s v="16-09 : Working on peer review comments_x000a_13 Sep : Peer review is in progress &amp; working on fixing the peer comments_x000a_11 Sep : Peer reciew to be planned on 12 Sep _x000a_10 Sep : Eval ppt is done, Review to be planned on 11 Sep_x000a_30-08 : evaluation is in progress                                     03 Sep : To update the eval ppt "/>
    <x v="3"/>
    <m/>
    <m/>
    <m/>
    <m/>
    <m/>
    <m/>
    <m/>
    <m/>
    <m/>
    <m/>
    <m/>
    <s v="2024 Sep - CES PFS : 14702743"/>
    <m/>
    <m/>
    <s v="Medium"/>
    <m/>
    <m/>
    <m/>
    <s v="Assess"/>
    <s v="Defect"/>
    <d v="2024-04-29T00:00:00"/>
    <s v="/CSARPL/Aftertreatment/Br001"/>
    <d v="2024-05-06T13:10:19"/>
    <d v="2024-09-03T00:00:00"/>
    <m/>
    <x v="8"/>
    <m/>
    <m/>
    <m/>
    <x v="1"/>
    <m/>
    <m/>
    <m/>
    <m/>
    <s v="PFS"/>
    <s v="CES_PFS (Owned by /C2PL/Aftertreatment)"/>
    <m/>
    <m/>
    <m/>
    <m/>
    <m/>
    <m/>
    <m/>
    <m/>
    <m/>
    <m/>
    <m/>
    <m/>
    <m/>
  </r>
  <r>
    <s v="jayant patil (wl795)"/>
    <s v="Rachna Pawale"/>
    <n v="0"/>
    <n v="70"/>
    <n v="70"/>
    <m/>
    <m/>
    <m/>
    <x v="42"/>
    <m/>
    <s v="Need fix for the issues found in AftDualHtrCtrl component"/>
    <x v="0"/>
    <m/>
    <m/>
    <m/>
    <x v="2"/>
    <m/>
    <m/>
    <m/>
    <m/>
    <m/>
    <m/>
    <m/>
    <m/>
    <m/>
    <m/>
    <m/>
    <m/>
    <m/>
    <m/>
    <m/>
    <m/>
    <m/>
    <m/>
    <m/>
    <m/>
    <m/>
    <m/>
    <m/>
    <m/>
    <m/>
    <x v="23"/>
    <m/>
    <m/>
    <m/>
    <x v="1"/>
    <m/>
    <m/>
    <m/>
    <m/>
    <s v="PFS"/>
    <m/>
    <m/>
    <m/>
    <m/>
    <m/>
    <m/>
    <m/>
    <m/>
    <m/>
    <m/>
    <m/>
    <m/>
    <m/>
    <m/>
  </r>
  <r>
    <s v="Harshada Borude (ur897)"/>
    <s v="Vivek Panigrahi"/>
    <n v="10"/>
    <n v="10"/>
    <n v="0"/>
    <m/>
    <s v="CES CSAR 01.24.12.00 - 12962338"/>
    <m/>
    <x v="43"/>
    <m/>
    <s v="Test vectors update is needed for AftDiesOxidCatInlTmptrDiag component to improve coverage"/>
    <x v="1"/>
    <m/>
    <m/>
    <s v="10-09 : May Need to reject, No Scope for SIL coverage improvement in the component_x000a_02-09 : to be check for MCDC coverage"/>
    <x v="6"/>
    <m/>
    <m/>
    <m/>
    <m/>
    <m/>
    <m/>
    <m/>
    <m/>
    <m/>
    <m/>
    <m/>
    <s v="2024 Sep - CES PFS : 14702743"/>
    <m/>
    <m/>
    <s v="Medium"/>
    <m/>
    <m/>
    <m/>
    <s v="Assess"/>
    <s v="Change Request"/>
    <d v="2024-04-15T00:00:00"/>
    <s v="/CSARPL/Aftertreatment/Br001"/>
    <d v="2024-05-09T21:49:26"/>
    <m/>
    <m/>
    <x v="24"/>
    <m/>
    <m/>
    <m/>
    <x v="6"/>
    <d v="2024-09-09T00:00:00"/>
    <d v="2024-09-09T00:00:00"/>
    <m/>
    <m/>
    <s v="PFS"/>
    <s v="CES_PFS (Owned by /C2PL/Aftertreatment)"/>
    <m/>
    <m/>
    <m/>
    <m/>
    <m/>
    <m/>
    <m/>
    <m/>
    <m/>
    <m/>
    <m/>
    <m/>
    <m/>
  </r>
  <r>
    <s v="Harshada Borude (ur897)"/>
    <s v="Vivek Panigrahi"/>
    <n v="0"/>
    <n v="0"/>
    <n v="0"/>
    <m/>
    <s v="CES CSAR 01.24.12.00 - 12962338"/>
    <m/>
    <x v="43"/>
    <m/>
    <s v="Test vectors update is needed for AftDiesOxidCatInlTmptrDiag component to improve coverage"/>
    <x v="0"/>
    <m/>
    <m/>
    <s v="10-09 : May Need to reject, No Scope for SIL coverage improvement in the component_x000a_02-09 : to be check for MCDC coverage"/>
    <x v="6"/>
    <m/>
    <m/>
    <m/>
    <m/>
    <m/>
    <m/>
    <m/>
    <m/>
    <m/>
    <m/>
    <m/>
    <s v="2024 Sep - CES PFS : 14702743"/>
    <m/>
    <m/>
    <s v="Medium"/>
    <m/>
    <m/>
    <m/>
    <s v="Assess"/>
    <s v="Change Request"/>
    <d v="2024-04-15T00:00:00"/>
    <s v="/CSARPL/Aftertreatment/Br001"/>
    <d v="2024-05-09T21:49:26"/>
    <m/>
    <m/>
    <x v="24"/>
    <m/>
    <m/>
    <m/>
    <x v="1"/>
    <m/>
    <m/>
    <m/>
    <m/>
    <s v="PFS"/>
    <s v="CES_PFS (Owned by /C2PL/Aftertreatment)"/>
    <m/>
    <m/>
    <m/>
    <m/>
    <m/>
    <m/>
    <m/>
    <m/>
    <m/>
    <m/>
    <m/>
    <m/>
    <m/>
  </r>
  <r>
    <s v="vitthal shinde (xy599)"/>
    <s v="Vivek Panigrahi"/>
    <n v="0"/>
    <n v="69"/>
    <n v="69"/>
    <m/>
    <s v="CES CSAR 01.24.12.00 - 12962338"/>
    <m/>
    <x v="44"/>
    <m/>
    <s v="Need to update aapguide from AftSwtIntf component"/>
    <x v="1"/>
    <m/>
    <m/>
    <s v="Effort tracking on DCR13148021"/>
    <x v="4"/>
    <m/>
    <m/>
    <m/>
    <m/>
    <m/>
    <m/>
    <m/>
    <m/>
    <m/>
    <m/>
    <m/>
    <s v="2024 Sep - CES PFS : 14702743"/>
    <m/>
    <m/>
    <s v="Very High"/>
    <m/>
    <m/>
    <m/>
    <s v="Assess"/>
    <s v="Change Request"/>
    <d v="2024-06-30T00:00:00"/>
    <s v="/CSARPL/Aftertreatment/Br001"/>
    <d v="2024-05-16T17:20:04"/>
    <m/>
    <m/>
    <x v="14"/>
    <m/>
    <m/>
    <m/>
    <x v="1"/>
    <m/>
    <m/>
    <m/>
    <m/>
    <s v="PFS"/>
    <s v="CES_PFS (Owned by /C2PL/Aftertreatment)"/>
    <m/>
    <m/>
    <m/>
    <m/>
    <m/>
    <m/>
    <m/>
    <m/>
    <m/>
    <m/>
    <m/>
    <m/>
    <m/>
  </r>
  <r>
    <s v="shrutika shete (ac06r)"/>
    <s v="Vivek Panigrahi"/>
    <n v="0"/>
    <n v="16"/>
    <n v="16"/>
    <m/>
    <m/>
    <m/>
    <x v="45"/>
    <m/>
    <s v="DOC_IN_DeltaT: The CSAR translated System Errors still has some Core2 parameters "/>
    <x v="1"/>
    <m/>
    <m/>
    <s v="Taken care underDCR_14329073"/>
    <x v="3"/>
    <m/>
    <m/>
    <m/>
    <m/>
    <m/>
    <m/>
    <m/>
    <m/>
    <m/>
    <m/>
    <m/>
    <m/>
    <m/>
    <m/>
    <s v="Very High"/>
    <m/>
    <m/>
    <m/>
    <s v="Assess"/>
    <s v="Change Request"/>
    <d v="2024-06-30T09:30:00"/>
    <s v="/CSARPL/Aftertreatment/Br001"/>
    <d v="2024-05-22T03:17:49"/>
    <m/>
    <m/>
    <x v="25"/>
    <m/>
    <m/>
    <m/>
    <x v="1"/>
    <m/>
    <m/>
    <m/>
    <m/>
    <s v="PFS"/>
    <s v="CES_PFS (Owned by /C2PL/Aftertreatment)"/>
    <m/>
    <m/>
    <m/>
    <m/>
    <m/>
    <m/>
    <m/>
    <m/>
    <m/>
    <m/>
    <m/>
    <m/>
    <m/>
  </r>
  <r>
    <s v="umesh borde (ad33c)"/>
    <s v="Rachna Pawale"/>
    <n v="0"/>
    <m/>
    <n v="0"/>
    <m/>
    <m/>
    <m/>
    <x v="46"/>
    <m/>
    <s v="DOC_Out_DeltaT: The CSAR translated System Errors still has some Core2 parameters "/>
    <x v="1"/>
    <m/>
    <m/>
    <s v="18-09 : DCR rejected_x000a_16-09 : This DCR needs to be rejected"/>
    <x v="0"/>
    <m/>
    <m/>
    <m/>
    <m/>
    <m/>
    <m/>
    <m/>
    <m/>
    <m/>
    <m/>
    <m/>
    <m/>
    <m/>
    <m/>
    <s v="Very High"/>
    <m/>
    <m/>
    <m/>
    <s v="Assess"/>
    <s v="Change Request"/>
    <d v="2024-06-30T09:30:00"/>
    <s v="/CSARPL/Aftertreatment/Br001"/>
    <d v="2024-05-22T03:22:16"/>
    <m/>
    <m/>
    <x v="10"/>
    <m/>
    <m/>
    <m/>
    <x v="1"/>
    <m/>
    <m/>
    <m/>
    <m/>
    <s v="PFS"/>
    <s v="CES_PFS (Owned by /C2PL/Aftertreatment)"/>
    <m/>
    <m/>
    <m/>
    <m/>
    <m/>
    <m/>
    <m/>
    <m/>
    <m/>
    <m/>
    <m/>
    <m/>
    <m/>
  </r>
  <r>
    <s v="umesh borde (ad33c)"/>
    <s v="Rachna Pawale"/>
    <n v="0"/>
    <m/>
    <n v="0"/>
    <m/>
    <m/>
    <m/>
    <x v="46"/>
    <m/>
    <s v="DOC_Out_DeltaT: The CSAR translated System Errors still has some Core2 parameters "/>
    <x v="0"/>
    <m/>
    <m/>
    <s v="16-09 : This DCR needs to be rejected"/>
    <x v="2"/>
    <m/>
    <m/>
    <m/>
    <m/>
    <m/>
    <m/>
    <m/>
    <m/>
    <m/>
    <m/>
    <m/>
    <m/>
    <m/>
    <m/>
    <m/>
    <m/>
    <m/>
    <m/>
    <m/>
    <m/>
    <m/>
    <m/>
    <m/>
    <m/>
    <m/>
    <x v="26"/>
    <m/>
    <m/>
    <m/>
    <x v="1"/>
    <m/>
    <m/>
    <m/>
    <m/>
    <s v="PFS"/>
    <m/>
    <m/>
    <m/>
    <m/>
    <m/>
    <m/>
    <m/>
    <m/>
    <m/>
    <m/>
    <m/>
    <m/>
    <m/>
    <m/>
  </r>
  <r>
    <s v="Indumathi M (wf309)"/>
    <s v="Rachna Pawale"/>
    <n v="35"/>
    <n v="100"/>
    <n v="65"/>
    <m/>
    <s v="CES CSAR 01.24.12.00 - 12962338"/>
    <m/>
    <x v="47"/>
    <m/>
    <s v="DPF_Out_DeltaT: The CSAR translated System Errors still has some Core2 parameters"/>
    <x v="1"/>
    <m/>
    <m/>
    <s v="10 Sep : Review is still in progress_x000a_27 Aug : SRS document update, eval peer review 03 Sep : Peer review planned for 04 Sep"/>
    <x v="3"/>
    <m/>
    <m/>
    <m/>
    <m/>
    <m/>
    <m/>
    <m/>
    <m/>
    <m/>
    <m/>
    <m/>
    <s v="2024 Sep - CES PFS : 14702743"/>
    <m/>
    <m/>
    <s v="Very High"/>
    <m/>
    <m/>
    <m/>
    <s v="Assess"/>
    <s v="Change Request"/>
    <d v="2024-06-30T09:30:00"/>
    <s v="/CSARPL/Aftertreatment/Br001"/>
    <d v="2024-05-22T03:25:23"/>
    <d v="2024-08-26T00:00:00"/>
    <m/>
    <x v="27"/>
    <m/>
    <m/>
    <m/>
    <x v="1"/>
    <m/>
    <m/>
    <m/>
    <m/>
    <s v="PFS"/>
    <s v="CES_PFS (Owned by /C2PL/Aftertreatment)"/>
    <m/>
    <m/>
    <m/>
    <m/>
    <m/>
    <m/>
    <m/>
    <m/>
    <m/>
    <m/>
    <m/>
    <m/>
    <m/>
  </r>
  <r>
    <s v="Indumathi M (wf309)"/>
    <s v="Rachna Pawale"/>
    <n v="0"/>
    <n v="100"/>
    <n v="100"/>
    <m/>
    <m/>
    <m/>
    <x v="47"/>
    <m/>
    <s v="DPF_Out_DeltaT: The CSAR translated System Errors still has some Core2 parameters "/>
    <x v="0"/>
    <m/>
    <m/>
    <m/>
    <x v="2"/>
    <m/>
    <m/>
    <m/>
    <m/>
    <m/>
    <m/>
    <m/>
    <m/>
    <m/>
    <m/>
    <m/>
    <m/>
    <m/>
    <m/>
    <m/>
    <m/>
    <m/>
    <m/>
    <m/>
    <m/>
    <m/>
    <m/>
    <m/>
    <m/>
    <m/>
    <x v="12"/>
    <m/>
    <m/>
    <m/>
    <x v="1"/>
    <m/>
    <m/>
    <m/>
    <m/>
    <s v="PFS"/>
    <m/>
    <m/>
    <m/>
    <m/>
    <m/>
    <m/>
    <m/>
    <m/>
    <m/>
    <m/>
    <m/>
    <m/>
    <m/>
    <m/>
  </r>
  <r>
    <s v="shrutika shete (ac06r)"/>
    <s v="Vivek Panigrahi"/>
    <n v="14"/>
    <n v="16"/>
    <n v="2"/>
    <m/>
    <m/>
    <m/>
    <x v="48"/>
    <m/>
    <s v="DeltaT harnesses have a Data Type error while Simulating in the Test Manager"/>
    <x v="1"/>
    <s v="Std_Return_Type is an AUTOSAR standard datatype that is provided out from base software layer. Please consult with other taeam using this interface and return and how they have implemented the logic and adapt your logic accordingly.Assign CR back to tr112"/>
    <m/>
    <s v="12-Sep: CCB review is completed, working on review comments. Kept on hold due to DTR prirority work._x000a_11-Sep: CCB is in continious for Evalaution and Interfac sheet._x000a_09-Sep: CCB is planned today for Evalaution. _x000a_06-Sep: Peer review is completed. CCB to be planned after getting confirmation from Component owner for DCR 14329073_x000a_05-Sep: Peer review is completed. Working on Peer review comments. CCB to be planned tomorrow._x000a_04-Sep:  PPT updation is completed. Peer review is planned for today._x000a_03-Sep: Interfcae sheet updation is completed for DCR14329073. SRS is in progres. Interface sheet updation is not required for 13718960. PPT updation is in progress. To be planned for Peer review tomorrow._x000a_02-Sep: Initial analysis is compleetd for 14329073. SRS and Interface sheet to be updated and PPT updation is in progress. To be ger clarification fior DCR 13718960._x000a_30-Aug: Initial analysis is progress."/>
    <x v="4"/>
    <m/>
    <m/>
    <m/>
    <m/>
    <m/>
    <m/>
    <m/>
    <m/>
    <m/>
    <m/>
    <m/>
    <s v="2024 Sep - CES PFS : 14702743"/>
    <m/>
    <s v="Std_Return_Type is an AUTOSAR standard datatype that is provided out from base software layer. Please consult with other taeam using this interface and return and how they have implemented the logic and adapt your logic accordingly.Assign CR back to tr112"/>
    <s v="Very High"/>
    <m/>
    <m/>
    <m/>
    <s v="Assess"/>
    <s v="Change Request"/>
    <d v="2024-06-30T09:30:00"/>
    <s v="/CSARPL/Aftertreatment/Br001"/>
    <d v="2024-05-22T23:15:38"/>
    <d v="2024-08-30T00:00:00"/>
    <m/>
    <x v="25"/>
    <m/>
    <m/>
    <m/>
    <x v="1"/>
    <m/>
    <m/>
    <m/>
    <m/>
    <s v="PFS"/>
    <s v="CES_PFS (Owned by /C2PL/Aftertreatment)"/>
    <m/>
    <m/>
    <m/>
    <m/>
    <m/>
    <m/>
    <m/>
    <m/>
    <m/>
    <m/>
    <m/>
    <m/>
    <m/>
  </r>
  <r>
    <s v="Anushka P Gaikwad (wf298)"/>
    <s v="Rachna Pawale"/>
    <n v="30"/>
    <n v="30"/>
    <n v="0"/>
    <m/>
    <s v="CES CSAR 01.24.12.00 - 12962338"/>
    <m/>
    <x v="49"/>
    <m/>
    <s v="Implement Capability Parameters and Implement DTR blocks - Tri EGTS FMI Based diagnostics"/>
    <x v="2"/>
    <m/>
    <m/>
    <s v="05 Sep : Internal review in progress for migration and V&amp;V review in proggress. Regression and Accel to be completed. _x000a_20 Aug : Evaluation Completed_x000a_27 Aug : VnV in progress_x000a_28 Aug : MIL completed_x000a_29 Aug : SIL in progress                                                  02 Sep : SIL rework in progress                                    _x000a_"/>
    <x v="0"/>
    <m/>
    <m/>
    <m/>
    <m/>
    <m/>
    <m/>
    <m/>
    <m/>
    <m/>
    <m/>
    <m/>
    <s v="2024 Sep - CES PFS : 14702743"/>
    <d v="2024-07-31T00:00:00"/>
    <m/>
    <s v="Very High"/>
    <m/>
    <m/>
    <d v="2024-07-15T19:25:24"/>
    <s v="In Progress"/>
    <s v="Change Request"/>
    <d v="2024-06-30T09:30:00"/>
    <s v="/CSARPL/Aftertreatment/Br001"/>
    <d v="2024-05-24T12:47:16"/>
    <d v="2024-08-16T00:00:00"/>
    <m/>
    <x v="28"/>
    <s v="Delay reasons - 1. New strategy guidliness_x000a_2. code compilation_x000a_3. New checks never before 03 Sep : Additional imp chnges from Chaitali"/>
    <m/>
    <m/>
    <x v="6"/>
    <d v="2024-09-09T00:00:00"/>
    <d v="2024-09-09T00:00:00"/>
    <m/>
    <m/>
    <s v="PFS"/>
    <s v="CES_PFS (Owned by /C2PL/Aftertreatment)"/>
    <m/>
    <m/>
    <m/>
    <m/>
    <m/>
    <m/>
    <m/>
    <m/>
    <m/>
    <m/>
    <m/>
    <m/>
    <m/>
  </r>
  <r>
    <s v="Anushka P Gaikwad (wf298)"/>
    <s v="Rachna Pawale"/>
    <n v="130"/>
    <n v="150"/>
    <n v="20"/>
    <m/>
    <s v="CES CSAR 01.24.12.00 - 12962338"/>
    <m/>
    <x v="49"/>
    <m/>
    <s v="Implement Capability Parameters and Implement DTR blocks - Tri EGTS FMI Based diagnostics"/>
    <x v="0"/>
    <m/>
    <m/>
    <s v="18 Sep : L2 to be sent on 19 Sep_x000a_16 Sep : VnV done on 16 Sep_x000a_13 Sep : To work on the changes from Chaitali today_x000a_05 Sep : Internal review in progress for migration and V&amp;V review in proggress. Regression and Accel to be completed. _x000a_20 Aug : Evaluation Completed_x000a_27 Aug : VnV in progress_x000a_28 Aug : MIL completed_x000a_29 Aug : SIL in progress                                                  02 Sep : SIL rework in progress                                    _x000a_"/>
    <x v="3"/>
    <m/>
    <m/>
    <m/>
    <m/>
    <m/>
    <m/>
    <m/>
    <m/>
    <m/>
    <m/>
    <m/>
    <s v="2024 Sep - CES PFS : 14702743"/>
    <d v="2024-07-31T00:00:00"/>
    <m/>
    <s v="Very High"/>
    <m/>
    <m/>
    <d v="2024-07-15T19:25:24"/>
    <s v="In Progress"/>
    <s v="Change Request"/>
    <d v="2024-06-30T09:30:00"/>
    <s v="/CSARPL/Aftertreatment/Br001"/>
    <d v="2024-05-24T12:47:16"/>
    <d v="2024-08-16T00:00:00"/>
    <m/>
    <x v="28"/>
    <s v="Delay reasons - 1. New strategy guidliness_x000a_2. code compilation_x000a_3. New checks never before 03 Sep : Additional imp chnges from Chaitali"/>
    <m/>
    <m/>
    <x v="1"/>
    <m/>
    <m/>
    <m/>
    <m/>
    <s v="PFS"/>
    <s v="CES_PFS (Owned by /C2PL/Aftertreatment)"/>
    <m/>
    <m/>
    <m/>
    <m/>
    <m/>
    <m/>
    <m/>
    <m/>
    <m/>
    <m/>
    <m/>
    <m/>
    <m/>
  </r>
  <r>
    <s v="sumitkumar patil (wf330)"/>
    <s v="Vivek Panigrahi"/>
    <n v="0"/>
    <n v="21"/>
    <n v="21"/>
    <m/>
    <s v="CES CSAR 01.24.12.00 - 12962338"/>
    <m/>
    <x v="50"/>
    <m/>
    <s v="DCR to Implement DeltaP and OutP Parameters in CSAR to collect capability and IUPR data"/>
    <x v="1"/>
    <m/>
    <m/>
    <s v="Yet to start"/>
    <x v="2"/>
    <m/>
    <m/>
    <m/>
    <m/>
    <m/>
    <m/>
    <m/>
    <m/>
    <m/>
    <m/>
    <m/>
    <s v="2024 Sep - CES PFS : 14702743"/>
    <m/>
    <m/>
    <s v="High"/>
    <m/>
    <m/>
    <m/>
    <s v="Assess"/>
    <s v="Change Request"/>
    <d v="2024-06-12T09:30:00"/>
    <s v="/CSARPL/Aftertreatment/Br001"/>
    <d v="2024-05-28T19:09:02"/>
    <m/>
    <d v="2024-09-27T00:00:00"/>
    <x v="29"/>
    <m/>
    <m/>
    <m/>
    <x v="1"/>
    <m/>
    <m/>
    <m/>
    <m/>
    <s v="PFS"/>
    <s v="CES_PFS (Owned by /C2PL/Aftertreatment)"/>
    <m/>
    <m/>
    <m/>
    <m/>
    <m/>
    <m/>
    <m/>
    <m/>
    <m/>
    <m/>
    <m/>
    <m/>
    <m/>
  </r>
  <r>
    <s v="Atul Gade (vm775)"/>
    <s v="Rachna Pawale"/>
    <m/>
    <n v="24"/>
    <n v="24"/>
    <m/>
    <m/>
    <m/>
    <x v="51"/>
    <m/>
    <s v="Service test for eHeater replacement."/>
    <x v="1"/>
    <m/>
    <m/>
    <s v="18 Sep : this dcr to be rejected, need confirmation from TOD_x000a_05 Sep : dummy model in progress_x000a_03 Sep : Eval in progress (New componenet)_x000a_28 Aug : Eval in progress"/>
    <x v="1"/>
    <m/>
    <m/>
    <m/>
    <m/>
    <m/>
    <m/>
    <m/>
    <m/>
    <m/>
    <m/>
    <m/>
    <s v="2024 Sep - CES PFS : 14702743"/>
    <m/>
    <m/>
    <s v="High"/>
    <m/>
    <m/>
    <m/>
    <s v="Assess"/>
    <s v="Change Request"/>
    <d v="2024-08-31T09:30:00"/>
    <s v="/CSARPL/Aftertreatment/Br001"/>
    <d v="2024-05-30T14:59:20"/>
    <d v="2024-08-28T00:00:00"/>
    <m/>
    <x v="30"/>
    <m/>
    <m/>
    <m/>
    <x v="1"/>
    <m/>
    <m/>
    <m/>
    <m/>
    <s v="PFS"/>
    <s v="CES_PFS (Owned by /C2PL/Aftertreatment)"/>
    <m/>
    <m/>
    <m/>
    <m/>
    <m/>
    <m/>
    <m/>
    <m/>
    <m/>
    <m/>
    <m/>
    <m/>
    <m/>
  </r>
  <r>
    <s v="jayant patil (wl795)"/>
    <s v="Rachna Pawale"/>
    <n v="0"/>
    <n v="0"/>
    <n v="0"/>
    <m/>
    <s v="CES CSAR 01.24.12.00 - 12962338"/>
    <m/>
    <x v="52"/>
    <m/>
    <s v="Dual Htr Controller CSAR Only: Issue with AftDualHtrCtrl"/>
    <x v="1"/>
    <m/>
    <m/>
    <s v="13 Sep : this dcr needs to be rejected, Confirmed by Monali_x000a_10 Sep : Eval ppt is done, Review to be planned 11 Sep_x000a_06 Sep : PPt to be reviewed today_x000a_30-08 : evaluation is in progress                                     03 Sep : To update the eval ppt "/>
    <x v="3"/>
    <m/>
    <m/>
    <m/>
    <m/>
    <m/>
    <m/>
    <m/>
    <m/>
    <m/>
    <m/>
    <m/>
    <s v="2024 Sep - CES PFS : 14702743"/>
    <m/>
    <m/>
    <s v="High"/>
    <m/>
    <m/>
    <m/>
    <s v="Assess"/>
    <s v="Change Request"/>
    <d v="2024-10-31T09:30:00"/>
    <s v="/CSARPL/Aftertreatment/Br001"/>
    <d v="2024-06-04T23:03:55"/>
    <d v="2024-09-03T00:00:00"/>
    <m/>
    <x v="8"/>
    <m/>
    <m/>
    <m/>
    <x v="1"/>
    <m/>
    <m/>
    <m/>
    <m/>
    <s v="PFS"/>
    <s v="CES_PFS (Owned by /C2PL/Aftertreatment)"/>
    <m/>
    <m/>
    <m/>
    <m/>
    <m/>
    <m/>
    <m/>
    <m/>
    <m/>
    <m/>
    <m/>
    <m/>
    <m/>
  </r>
  <r>
    <s v="jayant patil (wl795)"/>
    <s v="Rachna Pawale"/>
    <n v="0"/>
    <m/>
    <n v="0"/>
    <m/>
    <m/>
    <m/>
    <x v="52"/>
    <m/>
    <s v="Dual Htr Controller CSAR Only: Issue with AftDualHtrCtrl"/>
    <x v="0"/>
    <m/>
    <m/>
    <m/>
    <x v="2"/>
    <m/>
    <m/>
    <m/>
    <m/>
    <m/>
    <m/>
    <m/>
    <m/>
    <m/>
    <m/>
    <m/>
    <m/>
    <m/>
    <m/>
    <m/>
    <m/>
    <m/>
    <m/>
    <m/>
    <m/>
    <m/>
    <m/>
    <m/>
    <m/>
    <m/>
    <x v="23"/>
    <m/>
    <m/>
    <m/>
    <x v="1"/>
    <m/>
    <m/>
    <m/>
    <m/>
    <s v="PFS"/>
    <m/>
    <m/>
    <m/>
    <m/>
    <m/>
    <m/>
    <m/>
    <m/>
    <m/>
    <m/>
    <m/>
    <m/>
    <m/>
    <m/>
  </r>
  <r>
    <s v="Haridas Raut (vy322)"/>
    <s v="Vivek Panigrahi"/>
    <n v="4"/>
    <n v="63"/>
    <n v="59"/>
    <m/>
    <m/>
    <m/>
    <x v="53"/>
    <m/>
    <s v="Implement Capability Parameters - dmInhSwtTimeRegenErr diagnostics"/>
    <x v="1"/>
    <m/>
    <m/>
    <s v="10-Sep: DCR is rejected._x000a_09-Sep: Received input from Encodia to reject the DCR today._x000a_05-Sep,04-Sep,03-Sep,02-Sep,30-Aug: As confirmed by Dhanraj he will confirm after getting input from Encodia._x000a_29-Aug: Awaiting confirmation from Dhanraj and Encodia(3 steps owner) for the the rejection._x000a_28-Aug: Analysis PPt shared with Dhanraj for the rejection."/>
    <x v="6"/>
    <m/>
    <m/>
    <m/>
    <m/>
    <m/>
    <m/>
    <m/>
    <m/>
    <m/>
    <m/>
    <m/>
    <s v="2024 Sep - CES PFS : 14702743"/>
    <m/>
    <m/>
    <s v="Very High"/>
    <m/>
    <m/>
    <m/>
    <s v="Assess"/>
    <s v="Change Request"/>
    <d v="2024-07-15T09:30:00"/>
    <s v="/CSARPL/Aftertreatment/Br001"/>
    <d v="2024-06-05T15:35:40"/>
    <d v="2024-08-02T00:00:00"/>
    <m/>
    <x v="8"/>
    <m/>
    <m/>
    <m/>
    <x v="1"/>
    <m/>
    <m/>
    <m/>
    <m/>
    <s v="PFS"/>
    <s v="CES_PFS (Owned by /C2PL/Aftertreatment)"/>
    <m/>
    <m/>
    <m/>
    <m/>
    <m/>
    <m/>
    <m/>
    <m/>
    <m/>
    <m/>
    <m/>
    <m/>
    <m/>
  </r>
  <r>
    <s v="sumitkumar patil (wf330)"/>
    <s v="Vivek Panigrahi"/>
    <n v="0"/>
    <n v="21"/>
    <n v="21"/>
    <m/>
    <s v="CES CSAR 01.24.12.00 - 12962338"/>
    <m/>
    <x v="54"/>
    <m/>
    <s v="Update the Tuning Guide for CSAR Programs for DeltaP and OutP Diagnostics"/>
    <x v="1"/>
    <m/>
    <m/>
    <s v="Yet to start"/>
    <x v="2"/>
    <m/>
    <m/>
    <m/>
    <m/>
    <m/>
    <m/>
    <m/>
    <m/>
    <m/>
    <m/>
    <m/>
    <s v="2024 Sep - CES PFS : 14702743"/>
    <m/>
    <m/>
    <s v="High"/>
    <m/>
    <m/>
    <m/>
    <s v="Assess"/>
    <s v="Change Request"/>
    <d v="2024-06-28T09:30:00"/>
    <s v="/CSARPL/Aftertreatment/Br001"/>
    <d v="2024-06-11T20:47:39"/>
    <m/>
    <d v="2024-09-27T00:00:00"/>
    <x v="29"/>
    <m/>
    <m/>
    <m/>
    <x v="1"/>
    <m/>
    <m/>
    <m/>
    <m/>
    <s v="PFS"/>
    <s v="CES_PFS (Owned by /C2PL/Aftertreatment)"/>
    <m/>
    <m/>
    <m/>
    <m/>
    <m/>
    <m/>
    <m/>
    <m/>
    <m/>
    <m/>
    <m/>
    <m/>
    <m/>
  </r>
  <r>
    <s v="Ashitosh Nilkanth (uh953)"/>
    <s v="Vivek Panigrahi"/>
    <n v="0"/>
    <n v="0"/>
    <n v="0"/>
    <m/>
    <m/>
    <m/>
    <x v="55"/>
    <m/>
    <s v="Need to Implement 'DEFRegenHistory' Feature in CSAR."/>
    <x v="1"/>
    <m/>
    <m/>
    <s v="05-Sep: Effort  tracking on DCR14433414"/>
    <x v="4"/>
    <m/>
    <m/>
    <m/>
    <m/>
    <m/>
    <m/>
    <m/>
    <m/>
    <m/>
    <m/>
    <m/>
    <m/>
    <m/>
    <m/>
    <s v="Medium"/>
    <m/>
    <m/>
    <m/>
    <s v="Assess"/>
    <s v="Change Request"/>
    <d v="2024-06-15T04:30:00"/>
    <s v="/CSARPL/Aftertreatment/Br001"/>
    <d v="2024-06-17T17:52:55"/>
    <d v="2024-08-08T00:00:00"/>
    <m/>
    <x v="5"/>
    <m/>
    <m/>
    <m/>
    <x v="1"/>
    <m/>
    <m/>
    <m/>
    <m/>
    <s v="PFS"/>
    <s v="CES_PFS (Owned by /C2PL/Aftertreatment)"/>
    <m/>
    <m/>
    <m/>
    <m/>
    <m/>
    <m/>
    <m/>
    <m/>
    <m/>
    <m/>
    <m/>
    <m/>
    <m/>
  </r>
  <r>
    <s v="Balraj S Malage (wf327)"/>
    <s v="Vivek Panigrahi"/>
    <n v="10"/>
    <n v="10"/>
    <n v="0"/>
    <m/>
    <m/>
    <m/>
    <x v="56"/>
    <m/>
    <s v="The capability data is present in R connect (IsmAftDiesPartFiltDltPrRatDiagHiLog)  but no data is not coming up in the GUI."/>
    <x v="1"/>
    <m/>
    <m/>
    <s v="02-Sep:Rejected the DCR_x000a_30-Aug: As discussed with Encodia to be rejected 14114528 "/>
    <x v="6"/>
    <m/>
    <m/>
    <m/>
    <m/>
    <m/>
    <m/>
    <m/>
    <m/>
    <m/>
    <m/>
    <m/>
    <m/>
    <m/>
    <m/>
    <s v="Very High"/>
    <m/>
    <m/>
    <m/>
    <s v="Assess"/>
    <s v="Defect"/>
    <d v="2024-06-27T09:30:00"/>
    <s v="/CSARPL/Aftertreatment/Br001"/>
    <d v="2024-06-20T19:03:23"/>
    <m/>
    <m/>
    <x v="10"/>
    <m/>
    <m/>
    <m/>
    <x v="1"/>
    <m/>
    <m/>
    <m/>
    <m/>
    <s v="PFS"/>
    <s v="CES_PFS (Owned by /C2PL/Aftertreatment)"/>
    <m/>
    <m/>
    <m/>
    <m/>
    <m/>
    <m/>
    <m/>
    <m/>
    <m/>
    <m/>
    <m/>
    <m/>
    <m/>
  </r>
  <r>
    <s v="Anushka P Gaikwad (wf298)"/>
    <s v="Rachna Pawale"/>
    <n v="0"/>
    <n v="70"/>
    <n v="70"/>
    <m/>
    <m/>
    <m/>
    <x v="57"/>
    <m/>
    <s v="The capability data is present in R connectIsmAftDiesPartFiltOutPrRatDiagOutPHiLog but no data is coming up"/>
    <x v="1"/>
    <m/>
    <m/>
    <s v="27 Aug : Understading the requirement"/>
    <x v="4"/>
    <m/>
    <m/>
    <m/>
    <m/>
    <m/>
    <m/>
    <m/>
    <m/>
    <m/>
    <m/>
    <m/>
    <m/>
    <m/>
    <m/>
    <s v="Very High"/>
    <m/>
    <m/>
    <m/>
    <s v="Assess"/>
    <s v="Change Request"/>
    <d v="2024-06-27T09:30:00"/>
    <s v="/CSARPL/Aftertreatment/Br001"/>
    <d v="2024-06-20T19:31:00"/>
    <d v="2024-08-23T00:00:00"/>
    <m/>
    <x v="16"/>
    <m/>
    <m/>
    <m/>
    <x v="1"/>
    <m/>
    <m/>
    <m/>
    <m/>
    <s v="PFS"/>
    <s v="CES_PFS (Owned by /C2PL/Aftertreatment)"/>
    <m/>
    <m/>
    <m/>
    <m/>
    <m/>
    <m/>
    <m/>
    <m/>
    <m/>
    <m/>
    <m/>
    <m/>
    <m/>
  </r>
  <r>
    <s v="Anushka P Gaikwad (wf298)"/>
    <s v="Rachna Pawale"/>
    <n v="0"/>
    <n v="80"/>
    <n v="80"/>
    <m/>
    <m/>
    <m/>
    <x v="57"/>
    <m/>
    <s v="The capability data is present in R connectIsmAftDiesPartFiltOutPrRatDiagOutPHiLog but no data is coming up"/>
    <x v="0"/>
    <m/>
    <m/>
    <s v="11 Sep : To start on priority"/>
    <x v="2"/>
    <m/>
    <m/>
    <m/>
    <m/>
    <m/>
    <m/>
    <m/>
    <m/>
    <m/>
    <m/>
    <m/>
    <m/>
    <m/>
    <m/>
    <s v="High"/>
    <m/>
    <m/>
    <m/>
    <m/>
    <m/>
    <m/>
    <m/>
    <m/>
    <m/>
    <m/>
    <x v="16"/>
    <m/>
    <m/>
    <m/>
    <x v="1"/>
    <m/>
    <m/>
    <m/>
    <m/>
    <s v="PFS"/>
    <m/>
    <m/>
    <m/>
    <m/>
    <m/>
    <m/>
    <m/>
    <m/>
    <m/>
    <m/>
    <m/>
    <m/>
    <m/>
    <m/>
  </r>
  <r>
    <s v="Balraj S Malage (wf327)"/>
    <s v="Vivek Panigrahi"/>
    <n v="4"/>
    <n v="44"/>
    <n v="40"/>
    <m/>
    <s v="CES CSAR 01.24.12.00 - 12962338"/>
    <m/>
    <x v="58"/>
    <m/>
    <s v="The capability data is present in R connectIsmAftDiesPartFiltDltPrRatDiagHiLog  but no data is coming up"/>
    <x v="1"/>
    <m/>
    <m/>
    <s v="18-Sep: DCR deferred due to dependency with Rconnect team._x000a_13-Sep: Follow up is in progress with Ncodia to access the artifacts attached in the DCR and Rconnect tool teams POC required to undertsand requirement scope._x000a_02-Sep: Awaiting artifact from Ncodia. "/>
    <x v="5"/>
    <m/>
    <m/>
    <m/>
    <m/>
    <m/>
    <m/>
    <m/>
    <m/>
    <m/>
    <m/>
    <m/>
    <s v="2024 Sep - CES PFS : 14702743"/>
    <m/>
    <m/>
    <s v="Very High"/>
    <m/>
    <m/>
    <m/>
    <s v="Assess"/>
    <s v="Change Request"/>
    <d v="2024-06-27T09:30:00"/>
    <s v="/CSARPL/Aftertreatment/Br001"/>
    <d v="2024-06-20T19:43:12"/>
    <d v="2024-09-02T00:00:00"/>
    <m/>
    <x v="8"/>
    <m/>
    <m/>
    <m/>
    <x v="1"/>
    <m/>
    <m/>
    <m/>
    <m/>
    <s v="PFS"/>
    <s v="CES_PFS (Owned by /C2PL/Aftertreatment)"/>
    <m/>
    <m/>
    <m/>
    <m/>
    <m/>
    <m/>
    <m/>
    <m/>
    <m/>
    <m/>
    <m/>
    <m/>
    <m/>
  </r>
  <r>
    <s v="jayant patil (wl795)"/>
    <s v="Rachna Pawale"/>
    <n v="15"/>
    <n v="60"/>
    <n v="0"/>
    <m/>
    <s v="CES CSAR 01.24.12.00 - 12962338"/>
    <m/>
    <x v="59"/>
    <m/>
    <s v="IPD specific Heater controls changes since last CES handoff"/>
    <x v="1"/>
    <m/>
    <m/>
    <s v="16-09 : Working on peer review comments_x000a_13 Sep : Peer review is in progress &amp; working on fixing the peer comments10 Sep : Eval ppt is done, Review to be planned on 11 Sep_x000a_06 Sep : PPt to be reviewed today_x000a_30-08 : evaluation is in progress                                     03 Sep : To update the eval ppt "/>
    <x v="3"/>
    <m/>
    <m/>
    <m/>
    <m/>
    <m/>
    <m/>
    <m/>
    <m/>
    <m/>
    <m/>
    <m/>
    <s v="2024 Sep - CES PFS : 14702743"/>
    <m/>
    <m/>
    <s v="Very High"/>
    <m/>
    <m/>
    <m/>
    <s v="Assess"/>
    <s v="Change Request"/>
    <d v="2024-12-02T18:30:00"/>
    <s v="/CSARPL/Aftertreatment/Br001"/>
    <d v="2024-06-25T01:11:31"/>
    <d v="2024-09-03T00:00:00"/>
    <m/>
    <x v="8"/>
    <m/>
    <m/>
    <m/>
    <x v="1"/>
    <m/>
    <m/>
    <m/>
    <m/>
    <s v="PFS"/>
    <s v="CES_PFS (Owned by /C2PL/Aftertreatment)"/>
    <m/>
    <m/>
    <m/>
    <m/>
    <m/>
    <m/>
    <m/>
    <m/>
    <m/>
    <m/>
    <m/>
    <m/>
    <m/>
  </r>
  <r>
    <s v="jayant patil (wl795)"/>
    <s v="Rachna Pawale"/>
    <n v="0"/>
    <n v="70"/>
    <n v="70"/>
    <m/>
    <s v="CES CSAR 01.24.12.00 - 12962338"/>
    <m/>
    <x v="59"/>
    <m/>
    <s v="IPD specific Heater controls changes since last CES handoff"/>
    <x v="0"/>
    <m/>
    <m/>
    <m/>
    <x v="2"/>
    <m/>
    <m/>
    <m/>
    <m/>
    <m/>
    <m/>
    <m/>
    <m/>
    <m/>
    <m/>
    <m/>
    <m/>
    <m/>
    <m/>
    <m/>
    <m/>
    <m/>
    <m/>
    <m/>
    <m/>
    <m/>
    <m/>
    <m/>
    <m/>
    <m/>
    <x v="23"/>
    <m/>
    <m/>
    <m/>
    <x v="1"/>
    <m/>
    <m/>
    <m/>
    <m/>
    <s v="PFS"/>
    <m/>
    <m/>
    <m/>
    <m/>
    <m/>
    <m/>
    <m/>
    <m/>
    <m/>
    <m/>
    <m/>
    <m/>
    <m/>
    <m/>
  </r>
  <r>
    <s v="jayant patil (wl795)"/>
    <s v="Rachna Pawale"/>
    <n v="15"/>
    <n v="40"/>
    <n v="0"/>
    <m/>
    <s v="CES CSAR 01.24.12.00 - 12962338"/>
    <m/>
    <x v="60"/>
    <m/>
    <s v="SW change related component AftDualHtrCtrl - (D phase work)"/>
    <x v="1"/>
    <m/>
    <m/>
    <s v="16-09 : Working on peer review comments_x000a_13 Sep : Peer review is in progress &amp; working on fixing the peer comments_x000a_10 Sep : Eval ppt is done, Review to be planned on 11 Sep_x000a_06 Sep : PPt to be reviewed today_x000a_30-08 : evaluation is in progress                                     03 Sep : To update the eval ppt "/>
    <x v="3"/>
    <m/>
    <m/>
    <m/>
    <m/>
    <m/>
    <m/>
    <m/>
    <m/>
    <m/>
    <m/>
    <m/>
    <s v="2024 Sep - CES PFS : 14702743"/>
    <m/>
    <m/>
    <s v="High"/>
    <m/>
    <m/>
    <m/>
    <s v="Assess"/>
    <s v="Change Request"/>
    <d v="2024-07-15T09:30:00"/>
    <s v="/CSARPL/Aftertreatment/Br001"/>
    <d v="2024-06-26T00:27:19"/>
    <m/>
    <m/>
    <x v="31"/>
    <m/>
    <m/>
    <m/>
    <x v="1"/>
    <m/>
    <m/>
    <m/>
    <m/>
    <s v="PFS"/>
    <s v="CES_PFS (Owned by /C2PL/Aftertreatment)"/>
    <m/>
    <m/>
    <m/>
    <m/>
    <m/>
    <m/>
    <m/>
    <m/>
    <m/>
    <m/>
    <m/>
    <m/>
    <m/>
  </r>
  <r>
    <s v="jayant patil (wl795)"/>
    <s v="Rachna Pawale"/>
    <n v="0"/>
    <n v="65"/>
    <n v="65"/>
    <m/>
    <s v="CES CSAR 01.24.12.00 - 12962338"/>
    <m/>
    <x v="60"/>
    <m/>
    <s v="SW change related component AftDualHtrCtrl - (D phase work)"/>
    <x v="0"/>
    <m/>
    <m/>
    <m/>
    <x v="2"/>
    <m/>
    <m/>
    <m/>
    <m/>
    <m/>
    <m/>
    <m/>
    <m/>
    <m/>
    <m/>
    <m/>
    <m/>
    <m/>
    <m/>
    <m/>
    <m/>
    <m/>
    <m/>
    <m/>
    <m/>
    <m/>
    <m/>
    <m/>
    <m/>
    <m/>
    <x v="18"/>
    <m/>
    <m/>
    <m/>
    <x v="1"/>
    <m/>
    <m/>
    <m/>
    <m/>
    <s v="PFS"/>
    <m/>
    <m/>
    <m/>
    <m/>
    <m/>
    <m/>
    <m/>
    <m/>
    <m/>
    <m/>
    <m/>
    <m/>
    <m/>
    <m/>
  </r>
  <r>
    <s v="amit matale (xy524)"/>
    <s v="Rachna Pawale"/>
    <n v="60"/>
    <n v="70"/>
    <n v="10"/>
    <m/>
    <s v="CES CSAR 01.24.12.00 - 12962338"/>
    <m/>
    <x v="61"/>
    <m/>
    <s v="SW change related component AftDualHtrCtrlIPDExt (D phase work)"/>
    <x v="1"/>
    <m/>
    <m/>
    <s v="17-09 : CCB review is planned today_x000a_16-09 : Peer review is completed. working on Peer review comments_x000a_13 Sep : Peer review is planned for today_x000a_05-09 : Plan for Peer review on 11 sept_x000a_Evalaution PPT in progress - 09-06_x000a_Interface sheet - 09-06_x000a_SRS - 09-06_x000a_30-08 : evaluation is in progress. Model changes is completed. Interface sheet is in progress"/>
    <x v="3"/>
    <m/>
    <m/>
    <m/>
    <m/>
    <m/>
    <m/>
    <m/>
    <m/>
    <m/>
    <m/>
    <m/>
    <s v="2024 Sep - CES PFS : 14702743"/>
    <m/>
    <m/>
    <s v="High"/>
    <m/>
    <m/>
    <m/>
    <s v="Assess"/>
    <s v="Change Request"/>
    <d v="2024-07-15T09:30:00"/>
    <s v="/CSARPL/Aftertreatment/Br001"/>
    <d v="2024-06-26T00:28:23"/>
    <m/>
    <m/>
    <x v="31"/>
    <m/>
    <m/>
    <m/>
    <x v="1"/>
    <m/>
    <m/>
    <m/>
    <m/>
    <s v="PFS"/>
    <s v="CES_PFS (Owned by /C2PL/Aftertreatment)"/>
    <m/>
    <m/>
    <m/>
    <m/>
    <m/>
    <m/>
    <m/>
    <m/>
    <m/>
    <m/>
    <m/>
    <m/>
    <m/>
  </r>
  <r>
    <s v="amit matale (xy524)"/>
    <s v="Rachna Pawale"/>
    <n v="0"/>
    <n v="100"/>
    <n v="100"/>
    <m/>
    <s v="CES CSAR 01.24.12.00 - 12962338"/>
    <m/>
    <x v="61"/>
    <m/>
    <s v="SW change related component AftDualHtrCtrlIPDExt (D phase work)"/>
    <x v="0"/>
    <m/>
    <m/>
    <m/>
    <x v="2"/>
    <m/>
    <m/>
    <m/>
    <m/>
    <m/>
    <m/>
    <m/>
    <m/>
    <m/>
    <m/>
    <m/>
    <m/>
    <m/>
    <m/>
    <m/>
    <m/>
    <m/>
    <m/>
    <m/>
    <m/>
    <m/>
    <m/>
    <m/>
    <m/>
    <m/>
    <x v="18"/>
    <m/>
    <m/>
    <m/>
    <x v="1"/>
    <m/>
    <m/>
    <m/>
    <m/>
    <s v="PFS"/>
    <m/>
    <m/>
    <m/>
    <m/>
    <m/>
    <m/>
    <m/>
    <m/>
    <m/>
    <m/>
    <m/>
    <m/>
    <m/>
    <m/>
  </r>
  <r>
    <s v="Indumathi M (wf309)"/>
    <s v="Rachna Pawale"/>
    <n v="0"/>
    <n v="40"/>
    <n v="0"/>
    <m/>
    <m/>
    <m/>
    <x v="62"/>
    <m/>
    <s v="VCOND creation for AftRegenCtrl component"/>
    <x v="1"/>
    <m/>
    <m/>
    <m/>
    <x v="2"/>
    <m/>
    <m/>
    <m/>
    <m/>
    <m/>
    <m/>
    <m/>
    <m/>
    <m/>
    <m/>
    <m/>
    <m/>
    <m/>
    <m/>
    <s v="High"/>
    <m/>
    <m/>
    <m/>
    <s v="Assess"/>
    <s v="Change Request"/>
    <d v="2024-07-31T00:00:00"/>
    <s v="/CSARPL/Aftertreatment/Br001"/>
    <d v="2024-06-28T17:19:05"/>
    <m/>
    <m/>
    <x v="10"/>
    <m/>
    <m/>
    <m/>
    <x v="1"/>
    <m/>
    <m/>
    <m/>
    <m/>
    <s v="PFS"/>
    <s v="CES_PFS (Owned by /C2PL/Aftertreatment)"/>
    <m/>
    <m/>
    <m/>
    <m/>
    <m/>
    <m/>
    <m/>
    <m/>
    <m/>
    <m/>
    <m/>
    <m/>
    <m/>
  </r>
  <r>
    <s v="shrutika shete (ac06r)"/>
    <s v="Vivek Panigrahi"/>
    <n v="0"/>
    <n v="16"/>
    <n v="16"/>
    <m/>
    <m/>
    <m/>
    <x v="63"/>
    <m/>
    <s v="FIM interface update required in AftDiesOxidCatInlDltTmptrDiag"/>
    <x v="1"/>
    <m/>
    <m/>
    <s v="16-09 : Deferred for priorirty DCR_XX (DCR to be raised for AftHCDosCmd component (Parent DCR_14395198))_x000a_12-Sep: CCB review is completed, working on review comments. Kpet on hold due to DTR prirority work._x000a_11-Sep: CCB is in Continious for Evala and Interface sheet._x000a_09-Sep: CCB planned for SRS, EValaution, Interface sheet today._x000a_06-Sep,05-Sep: Peer review is completed, working on peer review comments. To be discused with Chaitali and to be planned CCB review tomorrow._x000a_04-Sep: SRS is completed for one proposal. PPT updation is completed. To be discussed with Chaitali for other prorposal._x000a_03-Sep: Interfcae sheet updation is completed for DCR14329073. SRS is in progres. Interface sheet updation is not required for 13718960. PPT updation is in progress. To be planned for Peer review tomorrow._x000a_02-Sep: Initial analysis is compleetd for 14329073. SRS and Interface sheet to be updated and PPT updation is in progress. To be ger clarification fior DCR 13718960._x000a_30-Aug: Initial analysis is progress."/>
    <x v="5"/>
    <m/>
    <m/>
    <m/>
    <m/>
    <m/>
    <m/>
    <m/>
    <m/>
    <m/>
    <m/>
    <m/>
    <s v="2024 Sep - CES PFS : 14702743"/>
    <m/>
    <m/>
    <s v="High"/>
    <m/>
    <m/>
    <m/>
    <s v="Assess"/>
    <s v="Change Request"/>
    <d v="2024-09-30T00:30:00"/>
    <s v="/CSARPL/Aftertreatment/Br001"/>
    <d v="2024-07-04T15:47:11"/>
    <d v="2024-08-30T00:00:00"/>
    <m/>
    <x v="25"/>
    <m/>
    <m/>
    <m/>
    <x v="1"/>
    <m/>
    <m/>
    <m/>
    <m/>
    <s v="PFS"/>
    <s v="CES_PFS (Owned by /C2PL/Aftertreatment)"/>
    <m/>
    <m/>
    <m/>
    <m/>
    <m/>
    <m/>
    <m/>
    <m/>
    <m/>
    <m/>
    <m/>
    <m/>
    <m/>
  </r>
  <r>
    <s v="Harshada Borude (ur897)"/>
    <s v="Vivek Panigrahi"/>
    <n v="16"/>
    <n v="11"/>
    <n v="-5"/>
    <m/>
    <m/>
    <m/>
    <x v="64"/>
    <m/>
    <s v="FIM interface update required in AftDiesOxidCatInlTmptrDiag"/>
    <x v="1"/>
    <m/>
    <m/>
    <s v="16-09 : Deferred for priorirty DCR_14428693_x000a_13-Sep: Evalaution is completd. Interface sheet and SRS updation is in progress. To be worked on PPT updation._x000a_12-Sep,11-Sep: Analysis is in progress."/>
    <x v="5"/>
    <m/>
    <m/>
    <m/>
    <m/>
    <m/>
    <m/>
    <m/>
    <m/>
    <m/>
    <m/>
    <m/>
    <s v="2024 Sep - CES PFS : 14702743"/>
    <m/>
    <m/>
    <s v="High"/>
    <m/>
    <m/>
    <m/>
    <s v="Assess"/>
    <s v="Change Request"/>
    <d v="2024-09-30T00:30:00"/>
    <s v="/CSARPL/Aftertreatment/Br001"/>
    <d v="2024-07-04T15:48:17"/>
    <m/>
    <d v="2024-09-25T00:00:00"/>
    <x v="32"/>
    <m/>
    <m/>
    <m/>
    <x v="1"/>
    <m/>
    <m/>
    <m/>
    <m/>
    <s v="PFS"/>
    <s v="CES_PFS (Owned by /C2PL/Aftertreatment)"/>
    <m/>
    <m/>
    <m/>
    <m/>
    <m/>
    <m/>
    <m/>
    <m/>
    <m/>
    <m/>
    <m/>
    <m/>
    <m/>
  </r>
  <r>
    <s v="Nileema Pailwan (mt618)"/>
    <s v="Nileema Pailwan"/>
    <n v="0"/>
    <m/>
    <n v="0"/>
    <m/>
    <m/>
    <m/>
    <x v="65"/>
    <m/>
    <s v="CSAR Sync - up: Missing requirements in Phase 35 Oxidation Catalyst Manager"/>
    <x v="1"/>
    <s v="Branched from Br35"/>
    <m/>
    <s v="_x000a_16-09 : Deferred for priorirty DCR_14395198"/>
    <x v="5"/>
    <m/>
    <m/>
    <m/>
    <m/>
    <m/>
    <m/>
    <m/>
    <m/>
    <m/>
    <m/>
    <m/>
    <m/>
    <m/>
    <s v="Branched from Br35"/>
    <s v="Medium"/>
    <m/>
    <m/>
    <m/>
    <s v="Assess"/>
    <s v="Defect"/>
    <d v="2021-03-30T10:30:00"/>
    <s v="/CSARPL/Aftertreatment/Br001"/>
    <d v="2024-07-08T20:56:48"/>
    <m/>
    <m/>
    <x v="10"/>
    <m/>
    <m/>
    <m/>
    <x v="1"/>
    <m/>
    <m/>
    <m/>
    <m/>
    <s v="PFS"/>
    <s v="CES_PFS (Owned by /C2PL/Aftertreatment)"/>
    <m/>
    <m/>
    <m/>
    <m/>
    <m/>
    <m/>
    <m/>
    <m/>
    <m/>
    <m/>
    <m/>
    <m/>
    <m/>
  </r>
  <r>
    <s v="umesh borde (ad33c)"/>
    <s v="Rachna Pawale"/>
    <n v="0"/>
    <m/>
    <n v="0"/>
    <m/>
    <m/>
    <m/>
    <x v="65"/>
    <m/>
    <s v="CSAR Sync - up: Missing requirements in Phase 35 Oxidation Catalyst Manager"/>
    <x v="0"/>
    <s v="Branched from Br35"/>
    <m/>
    <s v="_x000a_16-09 : Deferred for priorirty DCR_14395198"/>
    <x v="5"/>
    <m/>
    <m/>
    <m/>
    <m/>
    <m/>
    <m/>
    <m/>
    <m/>
    <m/>
    <m/>
    <m/>
    <m/>
    <m/>
    <m/>
    <m/>
    <m/>
    <m/>
    <m/>
    <m/>
    <m/>
    <m/>
    <m/>
    <m/>
    <m/>
    <m/>
    <x v="9"/>
    <m/>
    <m/>
    <m/>
    <x v="1"/>
    <m/>
    <m/>
    <m/>
    <m/>
    <s v="PFS"/>
    <m/>
    <m/>
    <m/>
    <m/>
    <m/>
    <m/>
    <m/>
    <m/>
    <m/>
    <m/>
    <m/>
    <m/>
    <m/>
    <m/>
  </r>
  <r>
    <s v="Yogesh Yenorkar (vz001)"/>
    <s v="Rachna Pawale"/>
    <n v="0"/>
    <n v="30"/>
    <n v="30"/>
    <m/>
    <m/>
    <m/>
    <x v="66"/>
    <m/>
    <s v="CSAR Sync - up: Add a Fault Criteria when DPF CE(FC3168) set"/>
    <x v="1"/>
    <s v="Branched from Br35"/>
    <m/>
    <s v="16-09 : Deferred for priorirty DCR_14620690_x000a_23-08 : Analysis to be started"/>
    <x v="5"/>
    <m/>
    <m/>
    <m/>
    <m/>
    <m/>
    <m/>
    <m/>
    <m/>
    <m/>
    <m/>
    <m/>
    <m/>
    <m/>
    <s v="Branched from Br35"/>
    <s v="Very High"/>
    <m/>
    <m/>
    <m/>
    <s v="Assess"/>
    <s v="Change Request"/>
    <d v="2021-11-25T21:30:00"/>
    <s v="/CSARPL/Aftertreatment/Br001"/>
    <d v="2024-07-09T20:05:18"/>
    <m/>
    <m/>
    <x v="9"/>
    <m/>
    <m/>
    <m/>
    <x v="1"/>
    <s v="DRB/L2 : _x000a_SW_x000a_DOC_x000a_OBDM"/>
    <s v="DRB/L2 : _x000a_SW_x000a_DOC_x000a_OBDM"/>
    <m/>
    <m/>
    <s v="PFS"/>
    <s v="CES_PFS (Owned by /C2PL/Aftertreatment)"/>
    <m/>
    <m/>
    <m/>
    <m/>
    <m/>
    <m/>
    <m/>
    <m/>
    <m/>
    <m/>
    <m/>
    <m/>
    <m/>
  </r>
  <r>
    <s v="Yogesh Yenorkar (vz001)"/>
    <s v="Rachna Pawale"/>
    <n v="0"/>
    <n v="30"/>
    <n v="30"/>
    <m/>
    <m/>
    <m/>
    <x v="66"/>
    <m/>
    <s v="CSAR Sync - up: Add a Fault Criteria when DPF CE(FC3168) set"/>
    <x v="0"/>
    <s v="Branched from Br35"/>
    <m/>
    <s v="16-09 : Deferred for priorirty DCR_14620690"/>
    <x v="5"/>
    <m/>
    <m/>
    <m/>
    <m/>
    <m/>
    <m/>
    <m/>
    <m/>
    <m/>
    <m/>
    <m/>
    <m/>
    <m/>
    <m/>
    <m/>
    <m/>
    <m/>
    <m/>
    <m/>
    <m/>
    <m/>
    <m/>
    <m/>
    <m/>
    <m/>
    <x v="9"/>
    <m/>
    <m/>
    <m/>
    <x v="1"/>
    <m/>
    <m/>
    <m/>
    <m/>
    <s v="PFS"/>
    <m/>
    <m/>
    <m/>
    <m/>
    <m/>
    <m/>
    <m/>
    <m/>
    <m/>
    <m/>
    <m/>
    <m/>
    <m/>
    <m/>
  </r>
  <r>
    <s v="Anushka P Gaikwad (wf298)"/>
    <s v="Rachna Pawale"/>
    <n v="0"/>
    <n v="25"/>
    <n v="25"/>
    <m/>
    <m/>
    <m/>
    <x v="67"/>
    <m/>
    <s v="CSAR Sync - up: Additional NMHCeff Thresholds for Face Pluggging"/>
    <x v="1"/>
    <s v="Branched from Br35"/>
    <m/>
    <s v="_x000a__x000a_16-09 : Deferred for priorirty DCR_1335871105 Sep : Evalutaion to be started today_x000a_02 to 04 sep : worked on other priority dcr_x000a_02 Sep : planned to start on 14 Oct"/>
    <x v="5"/>
    <m/>
    <m/>
    <m/>
    <m/>
    <m/>
    <m/>
    <m/>
    <m/>
    <m/>
    <m/>
    <m/>
    <m/>
    <m/>
    <s v="Branched from Br35"/>
    <s v="High"/>
    <m/>
    <m/>
    <m/>
    <s v="Assess"/>
    <s v="Change Request"/>
    <d v="2022-10-31T09:30:00"/>
    <s v="/CSARPL/Aftertreatment/Br001"/>
    <d v="2024-07-09T23:00:26"/>
    <m/>
    <m/>
    <x v="5"/>
    <m/>
    <m/>
    <m/>
    <x v="1"/>
    <m/>
    <m/>
    <m/>
    <m/>
    <s v="PFS"/>
    <s v="CES_PFS (Owned by /C2PL/Aftertreatment)"/>
    <m/>
    <m/>
    <m/>
    <m/>
    <m/>
    <m/>
    <m/>
    <m/>
    <m/>
    <m/>
    <m/>
    <m/>
    <m/>
  </r>
  <r>
    <s v="Anushka P Gaikwad (wf298)"/>
    <s v="Rachna Pawale"/>
    <n v="0"/>
    <m/>
    <n v="0"/>
    <m/>
    <m/>
    <m/>
    <x v="67"/>
    <m/>
    <s v="CSAR Sync - up: Additional NMHCeff Thresholds for Face Pluggging"/>
    <x v="0"/>
    <s v="Branched from Br35"/>
    <m/>
    <s v="_x000a_16-09 : Deferred for priorirty DCR_13358711"/>
    <x v="5"/>
    <m/>
    <m/>
    <m/>
    <m/>
    <m/>
    <m/>
    <m/>
    <m/>
    <m/>
    <m/>
    <m/>
    <m/>
    <m/>
    <m/>
    <m/>
    <m/>
    <m/>
    <m/>
    <m/>
    <m/>
    <m/>
    <m/>
    <m/>
    <m/>
    <m/>
    <x v="15"/>
    <m/>
    <m/>
    <m/>
    <x v="1"/>
    <m/>
    <m/>
    <m/>
    <m/>
    <s v="PFS"/>
    <m/>
    <m/>
    <m/>
    <m/>
    <m/>
    <m/>
    <m/>
    <m/>
    <m/>
    <m/>
    <m/>
    <m/>
    <m/>
    <m/>
  </r>
  <r>
    <s v="Atul Gade (vm775)"/>
    <s v="Rachna Pawale"/>
    <n v="0"/>
    <m/>
    <n v="0"/>
    <m/>
    <m/>
    <m/>
    <x v="68"/>
    <m/>
    <s v="eHTR High temperature monitoring"/>
    <x v="1"/>
    <m/>
    <m/>
    <s v="03 Sep : Mostt probably would be moved to next quarter"/>
    <x v="4"/>
    <m/>
    <m/>
    <m/>
    <m/>
    <m/>
    <m/>
    <m/>
    <m/>
    <m/>
    <m/>
    <m/>
    <m/>
    <m/>
    <m/>
    <s v="Medium"/>
    <m/>
    <m/>
    <m/>
    <s v="Assess"/>
    <s v="Change Request"/>
    <d v="2024-10-31T09:30:00"/>
    <s v="/CSARPL/Aftertreatment/Br001"/>
    <d v="2024-07-09T23:49:58"/>
    <m/>
    <m/>
    <x v="13"/>
    <m/>
    <m/>
    <m/>
    <x v="1"/>
    <m/>
    <m/>
    <m/>
    <m/>
    <s v="PFS"/>
    <s v="CES_PFS (Owned by /C2PL/Aftertreatment)"/>
    <m/>
    <m/>
    <m/>
    <m/>
    <m/>
    <m/>
    <m/>
    <m/>
    <m/>
    <m/>
    <m/>
    <m/>
    <m/>
  </r>
  <r>
    <s v="Atul Gade (vm775)"/>
    <s v="Rachna Pawale"/>
    <n v="0"/>
    <m/>
    <n v="0"/>
    <m/>
    <m/>
    <m/>
    <x v="68"/>
    <m/>
    <s v="eHTR High temperature monitoring"/>
    <x v="0"/>
    <m/>
    <m/>
    <m/>
    <x v="4"/>
    <m/>
    <m/>
    <m/>
    <m/>
    <m/>
    <m/>
    <m/>
    <m/>
    <m/>
    <m/>
    <m/>
    <m/>
    <m/>
    <m/>
    <m/>
    <m/>
    <m/>
    <m/>
    <m/>
    <m/>
    <m/>
    <m/>
    <m/>
    <m/>
    <m/>
    <x v="13"/>
    <m/>
    <m/>
    <m/>
    <x v="1"/>
    <m/>
    <m/>
    <m/>
    <m/>
    <s v="PFS"/>
    <m/>
    <m/>
    <m/>
    <m/>
    <m/>
    <m/>
    <m/>
    <m/>
    <m/>
    <m/>
    <m/>
    <m/>
    <m/>
    <m/>
  </r>
  <r>
    <s v="Atul Gade (vm775)"/>
    <s v="Rachna Pawale"/>
    <n v="0"/>
    <m/>
    <n v="0"/>
    <m/>
    <m/>
    <m/>
    <x v="69"/>
    <m/>
    <s v="eHTR High temperature monitoring - Service interfacing"/>
    <x v="1"/>
    <m/>
    <m/>
    <s v="03 Sep : Mostt probably would be moved to next quarter"/>
    <x v="4"/>
    <m/>
    <m/>
    <m/>
    <m/>
    <m/>
    <m/>
    <m/>
    <m/>
    <m/>
    <m/>
    <m/>
    <m/>
    <m/>
    <m/>
    <s v="Medium"/>
    <m/>
    <m/>
    <m/>
    <s v="Assess"/>
    <s v="Change Request"/>
    <d v="2024-10-31T09:30:00"/>
    <s v="/CSARPL/Aftertreatment/Br001"/>
    <d v="2024-07-09T23:59:23"/>
    <m/>
    <m/>
    <x v="13"/>
    <m/>
    <m/>
    <m/>
    <x v="1"/>
    <m/>
    <m/>
    <m/>
    <m/>
    <s v="PFS"/>
    <s v="CES_PFS (Owned by /C2PL/Aftertreatment)"/>
    <m/>
    <m/>
    <m/>
    <m/>
    <m/>
    <m/>
    <m/>
    <m/>
    <m/>
    <m/>
    <m/>
    <m/>
    <m/>
  </r>
  <r>
    <s v="Atul Gade (vm775)"/>
    <s v="Rachna Pawale"/>
    <n v="0"/>
    <m/>
    <n v="0"/>
    <m/>
    <m/>
    <m/>
    <x v="69"/>
    <m/>
    <s v="eHTR High temperature monitoring - Service interfacing"/>
    <x v="0"/>
    <m/>
    <m/>
    <m/>
    <x v="4"/>
    <m/>
    <m/>
    <m/>
    <m/>
    <m/>
    <m/>
    <m/>
    <m/>
    <m/>
    <m/>
    <m/>
    <m/>
    <m/>
    <m/>
    <m/>
    <m/>
    <m/>
    <m/>
    <m/>
    <m/>
    <m/>
    <m/>
    <m/>
    <m/>
    <m/>
    <x v="13"/>
    <m/>
    <m/>
    <m/>
    <x v="1"/>
    <m/>
    <m/>
    <m/>
    <m/>
    <s v="PFS"/>
    <m/>
    <m/>
    <m/>
    <m/>
    <m/>
    <m/>
    <m/>
    <m/>
    <m/>
    <m/>
    <m/>
    <m/>
    <m/>
    <m/>
  </r>
  <r>
    <s v="iram nazneen (wa667)"/>
    <s v="Nileema Pailwan"/>
    <n v="15"/>
    <n v="25"/>
    <n v="10"/>
    <m/>
    <m/>
    <m/>
    <x v="70"/>
    <m/>
    <s v="HC diagnostics - Critical Parameters/ troubleshooting Parameters CSAR"/>
    <x v="1"/>
    <m/>
    <m/>
    <s v="18-09 : Plan for Peer+ccb on 20th Sep_x000a_13-09 : working on ISM Proposal and DTR, EDL and MMDL. Plan to complete the HC dosing component by monday 1st half_x000a_12-09 : Received inputs from Dhanraj, as per communication, ISM to be implemented for 4 components and capability parametrs _x000a_11-09, 10-09 : Working on PPT. To be discuss with Dhanraj for additional requirements_x000a_09-09 : Evaluation in progress_x000a_29-Aug,28- Aug: Working on DDP wotk. Kept on hold._x000a_27-Aug: Initial analysis is in progress. To be discussed with Dhanrja to get the clarification._x000a_26-Aug: Yet to start."/>
    <x v="3"/>
    <m/>
    <m/>
    <m/>
    <m/>
    <m/>
    <m/>
    <m/>
    <m/>
    <m/>
    <m/>
    <m/>
    <m/>
    <m/>
    <m/>
    <s v="Very High"/>
    <m/>
    <m/>
    <m/>
    <s v="Assess"/>
    <s v="Change Request"/>
    <d v="2024-07-29T09:30:00"/>
    <s v="/CSARPL/Aftertreatment/Br001"/>
    <d v="2024-07-16T00:49:35"/>
    <d v="2024-09-09T00:00:00"/>
    <d v="2024-09-23T00:00:00"/>
    <x v="1"/>
    <m/>
    <m/>
    <m/>
    <x v="1"/>
    <m/>
    <m/>
    <m/>
    <m/>
    <s v="PFS"/>
    <s v="CES_PFS (Owned by /C2PL/Aftertreatment)"/>
    <m/>
    <m/>
    <m/>
    <m/>
    <m/>
    <m/>
    <m/>
    <m/>
    <m/>
    <m/>
    <m/>
    <m/>
    <m/>
  </r>
  <r>
    <s v="iram nazneen (wa667)"/>
    <s v="Nileema Pailwan"/>
    <n v="4"/>
    <n v="25"/>
    <n v="21"/>
    <m/>
    <m/>
    <m/>
    <x v="71"/>
    <m/>
    <s v="LOT DSFOV Diag improvement"/>
    <x v="1"/>
    <m/>
    <m/>
    <s v="13-09, 12-09, 11-09: Evalaution in progress_x000a_09-09 : Initial analysis in progress_x000a_"/>
    <x v="3"/>
    <m/>
    <m/>
    <m/>
    <m/>
    <m/>
    <m/>
    <m/>
    <m/>
    <m/>
    <m/>
    <m/>
    <s v="2024 Sep - CES PFS : 14702743"/>
    <m/>
    <m/>
    <s v="High"/>
    <m/>
    <m/>
    <m/>
    <s v="Assess"/>
    <s v="Change Request"/>
    <d v="2024-10-31T09:30:00"/>
    <s v="/CSARPL/Aftertreatment/Br001"/>
    <d v="2024-07-20T00:56:41"/>
    <d v="2024-09-09T00:00:00"/>
    <d v="2024-09-23T00:00:00"/>
    <x v="1"/>
    <m/>
    <m/>
    <m/>
    <x v="1"/>
    <m/>
    <m/>
    <m/>
    <m/>
    <s v="PFS"/>
    <s v="CES_PFS (Owned by /C2PL/Aftertreatment)"/>
    <m/>
    <m/>
    <m/>
    <m/>
    <m/>
    <m/>
    <m/>
    <m/>
    <m/>
    <m/>
    <m/>
    <m/>
    <m/>
  </r>
  <r>
    <s v="Indumathi M (wf309)"/>
    <s v="Rachna Pawale"/>
    <m/>
    <n v="20"/>
    <n v="20"/>
    <m/>
    <s v="CES CSAR 01.24.12.00 - 12962338"/>
    <m/>
    <x v="72"/>
    <m/>
    <s v="FIM interface update required in AftDiesPartFiltOutTmptrDiag"/>
    <x v="1"/>
    <m/>
    <m/>
    <s v="16-09 : Deferred for priorirty DCR_XX (DCR to be raised for AftHCDFMDiag component (Parent DCR_14395198))"/>
    <x v="5"/>
    <m/>
    <m/>
    <m/>
    <m/>
    <m/>
    <m/>
    <m/>
    <m/>
    <m/>
    <m/>
    <m/>
    <s v="2024 Sep - CES PFS : 14702743"/>
    <m/>
    <m/>
    <s v="High"/>
    <m/>
    <m/>
    <m/>
    <s v="Assess"/>
    <s v="Change Request"/>
    <d v="2024-10-31T09:30:00"/>
    <s v="/CSARPL/Aftertreatment/Br001"/>
    <d v="2024-07-24T23:49:51"/>
    <d v="2024-08-26T00:00:00"/>
    <m/>
    <x v="5"/>
    <m/>
    <m/>
    <m/>
    <x v="1"/>
    <m/>
    <m/>
    <m/>
    <m/>
    <s v="PFS"/>
    <s v="CES_PFS (Owned by /C2PL/Aftertreatment)"/>
    <m/>
    <m/>
    <m/>
    <m/>
    <m/>
    <m/>
    <m/>
    <m/>
    <m/>
    <m/>
    <m/>
    <m/>
    <m/>
  </r>
  <r>
    <s v="Indumathi M (wf309)"/>
    <s v="Rachna Pawale"/>
    <n v="0"/>
    <n v="20"/>
    <n v="20"/>
    <m/>
    <s v="CES CSAR 01.24.12.00 - 12962338"/>
    <m/>
    <x v="72"/>
    <m/>
    <s v="FIM interface update required in AftDiesPartFiltOutTmptrDiag"/>
    <x v="0"/>
    <m/>
    <m/>
    <s v="16-09 : Deferred for priorirty DCR_XX (DCR to be raised for AftHCDFMDiag component (Parent DCR_14395198))"/>
    <x v="5"/>
    <m/>
    <m/>
    <m/>
    <m/>
    <m/>
    <m/>
    <m/>
    <m/>
    <m/>
    <m/>
    <m/>
    <m/>
    <m/>
    <m/>
    <m/>
    <m/>
    <m/>
    <m/>
    <m/>
    <m/>
    <m/>
    <m/>
    <m/>
    <m/>
    <m/>
    <x v="18"/>
    <m/>
    <m/>
    <m/>
    <x v="1"/>
    <m/>
    <m/>
    <m/>
    <m/>
    <s v="PFS"/>
    <m/>
    <m/>
    <m/>
    <m/>
    <m/>
    <m/>
    <m/>
    <m/>
    <m/>
    <m/>
    <m/>
    <m/>
    <m/>
    <m/>
  </r>
  <r>
    <s v="Indumathi M (wf309)"/>
    <s v="Rachna Pawale"/>
    <n v="19"/>
    <n v="20"/>
    <n v="0"/>
    <m/>
    <s v="CES CSAR 01.24.12.00 - 12962338"/>
    <m/>
    <x v="73"/>
    <m/>
    <s v="FIM interface update required in AftDiesPartFiltOutDltTmptrDiag"/>
    <x v="1"/>
    <m/>
    <m/>
    <s v="10 Sep : Review is still in progress_x000a_27 Aug : SRS document update, eval peer review 03 Sep : Peer review planned for 04 Sep"/>
    <x v="3"/>
    <m/>
    <m/>
    <m/>
    <m/>
    <m/>
    <m/>
    <m/>
    <m/>
    <m/>
    <m/>
    <m/>
    <s v="2024 Sep - CES PFS : 14702743"/>
    <m/>
    <m/>
    <s v="High"/>
    <m/>
    <m/>
    <m/>
    <s v="Assess"/>
    <s v="Change Request"/>
    <d v="2024-10-31T09:30:00"/>
    <s v="/CSARPL/Aftertreatment/Br001"/>
    <d v="2024-07-24T23:50:06"/>
    <m/>
    <m/>
    <x v="27"/>
    <m/>
    <m/>
    <m/>
    <x v="1"/>
    <m/>
    <m/>
    <m/>
    <m/>
    <s v="PFS"/>
    <s v="CES_PFS (Owned by /C2PL/Aftertreatment)"/>
    <m/>
    <m/>
    <m/>
    <m/>
    <m/>
    <m/>
    <m/>
    <m/>
    <m/>
    <m/>
    <m/>
    <m/>
    <m/>
  </r>
  <r>
    <s v="Indumathi M (wf309)"/>
    <s v="Rachna Pawale"/>
    <n v="0"/>
    <n v="20"/>
    <n v="20"/>
    <m/>
    <s v="CES CSAR 01.24.12.00 - 12962338"/>
    <m/>
    <x v="73"/>
    <m/>
    <s v="FIM interface update required in AftDiesPartFiltOutDltTmptrDiag"/>
    <x v="0"/>
    <m/>
    <m/>
    <m/>
    <x v="2"/>
    <m/>
    <m/>
    <m/>
    <m/>
    <m/>
    <m/>
    <m/>
    <m/>
    <m/>
    <m/>
    <m/>
    <m/>
    <m/>
    <m/>
    <m/>
    <m/>
    <m/>
    <m/>
    <m/>
    <m/>
    <m/>
    <m/>
    <m/>
    <m/>
    <m/>
    <x v="12"/>
    <m/>
    <m/>
    <m/>
    <x v="1"/>
    <m/>
    <m/>
    <m/>
    <m/>
    <s v="PFS"/>
    <m/>
    <m/>
    <m/>
    <m/>
    <m/>
    <m/>
    <m/>
    <m/>
    <m/>
    <m/>
    <m/>
    <m/>
    <m/>
    <m/>
  </r>
  <r>
    <s v="umesh borde (ad33c)"/>
    <s v="Rachna Pawale"/>
    <n v="0"/>
    <n v="20"/>
    <n v="20"/>
    <m/>
    <s v="CES CSAR 01.24.12.00 - 12962338"/>
    <m/>
    <x v="74"/>
    <m/>
    <s v="FIM interface update required in AftDiesPartFiltOverTmptrDiag"/>
    <x v="1"/>
    <m/>
    <m/>
    <s v="16-09 : Deferred for priorirty DCR_XX (DCR to be raised for AftHCDosCmd component (Parent DCR_14395198))_x000a_10 Sep : Diagstat us not available"/>
    <x v="5"/>
    <m/>
    <m/>
    <m/>
    <m/>
    <m/>
    <m/>
    <m/>
    <m/>
    <m/>
    <m/>
    <m/>
    <s v="2024 Sep - CES PFS : 14702743"/>
    <m/>
    <m/>
    <s v="High"/>
    <m/>
    <m/>
    <m/>
    <s v="Assess"/>
    <s v="Change Request"/>
    <d v="2024-10-31T09:30:00"/>
    <s v="/CSARPL/Aftertreatment/Br001"/>
    <d v="2024-07-24T23:50:22"/>
    <m/>
    <m/>
    <x v="10"/>
    <m/>
    <m/>
    <m/>
    <x v="1"/>
    <m/>
    <m/>
    <m/>
    <m/>
    <s v="PFS"/>
    <s v="CES_PFS (Owned by /C2PL/Aftertreatment)"/>
    <m/>
    <m/>
    <m/>
    <m/>
    <m/>
    <m/>
    <m/>
    <m/>
    <m/>
    <m/>
    <m/>
    <m/>
    <m/>
  </r>
  <r>
    <s v="umesh borde (ad33c)"/>
    <s v="Rachna Pawale"/>
    <n v="0"/>
    <n v="20"/>
    <n v="20"/>
    <m/>
    <s v="CES CSAR 01.24.12.00 - 12962338"/>
    <m/>
    <x v="74"/>
    <m/>
    <s v="FIM interface update required in AftDiesPartFiltOverTmptrDiag"/>
    <x v="0"/>
    <m/>
    <m/>
    <s v="16-09 : Deferred for priorirty DCR_XX (DCR to be raised for AftHCDosCmd component (Parent DCR_14395198))"/>
    <x v="5"/>
    <m/>
    <m/>
    <m/>
    <m/>
    <m/>
    <m/>
    <m/>
    <m/>
    <m/>
    <m/>
    <m/>
    <m/>
    <m/>
    <m/>
    <m/>
    <m/>
    <m/>
    <m/>
    <m/>
    <m/>
    <m/>
    <m/>
    <m/>
    <m/>
    <m/>
    <x v="10"/>
    <m/>
    <m/>
    <m/>
    <x v="1"/>
    <m/>
    <m/>
    <m/>
    <m/>
    <s v="PFS"/>
    <m/>
    <m/>
    <m/>
    <m/>
    <m/>
    <m/>
    <m/>
    <m/>
    <m/>
    <m/>
    <m/>
    <m/>
    <m/>
    <m/>
  </r>
  <r>
    <s v="umesh borde (ad33c)"/>
    <s v="Rachna Pawale"/>
    <n v="22"/>
    <n v="15"/>
    <n v="-7"/>
    <m/>
    <s v="CES CSAR 01.24.12.00 - 12962338"/>
    <m/>
    <x v="75"/>
    <m/>
    <s v="FIM interface update required in AftDiesOxidCatOutDltTmptrDiag"/>
    <x v="1"/>
    <m/>
    <m/>
    <s v="18-09 : Peer review to be done today_x000a_16-09 : Evaluation review is plan for wednesday_x000a_13 Sep : Interface sheet completed, SRS &amp; ppt to be updated today"/>
    <x v="3"/>
    <m/>
    <m/>
    <m/>
    <m/>
    <m/>
    <m/>
    <m/>
    <m/>
    <m/>
    <m/>
    <m/>
    <s v="2024 Sep - CES PFS : 14702743"/>
    <m/>
    <m/>
    <s v="High"/>
    <m/>
    <m/>
    <m/>
    <s v="Assess"/>
    <s v="Change Request"/>
    <d v="2024-10-31T09:30:00"/>
    <s v="/CSARPL/Aftertreatment/Br001"/>
    <d v="2024-07-24T23:50:39"/>
    <m/>
    <m/>
    <x v="9"/>
    <m/>
    <m/>
    <m/>
    <x v="1"/>
    <m/>
    <m/>
    <m/>
    <m/>
    <s v="PFS"/>
    <s v="CES_PFS (Owned by /C2PL/Aftertreatment)"/>
    <m/>
    <m/>
    <m/>
    <m/>
    <m/>
    <m/>
    <m/>
    <m/>
    <m/>
    <m/>
    <m/>
    <m/>
    <m/>
  </r>
  <r>
    <s v="umesh borde (ad33c)"/>
    <s v="Rachna Pawale"/>
    <n v="0"/>
    <n v="15"/>
    <n v="15"/>
    <m/>
    <s v="CES CSAR 01.24.12.00 - 12962338"/>
    <m/>
    <x v="75"/>
    <m/>
    <s v="FIM interface update required in AftDiesOxidCatOutDltTmptrDiag"/>
    <x v="0"/>
    <m/>
    <m/>
    <m/>
    <x v="2"/>
    <m/>
    <m/>
    <m/>
    <m/>
    <m/>
    <m/>
    <m/>
    <m/>
    <m/>
    <m/>
    <m/>
    <m/>
    <m/>
    <m/>
    <m/>
    <m/>
    <m/>
    <m/>
    <m/>
    <m/>
    <m/>
    <m/>
    <m/>
    <m/>
    <m/>
    <x v="32"/>
    <m/>
    <m/>
    <m/>
    <x v="1"/>
    <m/>
    <m/>
    <m/>
    <m/>
    <s v="PFS"/>
    <m/>
    <m/>
    <m/>
    <m/>
    <m/>
    <m/>
    <m/>
    <m/>
    <m/>
    <m/>
    <m/>
    <m/>
    <m/>
    <m/>
  </r>
  <r>
    <s v="shrutika shete (ac06r)"/>
    <s v="Vivek Panigrahi"/>
    <n v="0"/>
    <n v="25"/>
    <n v="25"/>
    <m/>
    <s v="CES CSAR 01.24.12.00 - 12962338"/>
    <m/>
    <x v="76"/>
    <m/>
    <s v="FIM interface update required in AftDiesOxidCatOverTmptrDiag"/>
    <x v="1"/>
    <m/>
    <m/>
    <s v="16-09 : Deferred for priorirty DCR_XX (DCR to be raised for AftHCDFMDiag component (Parent DCR_14395198))"/>
    <x v="5"/>
    <m/>
    <m/>
    <m/>
    <m/>
    <m/>
    <m/>
    <m/>
    <m/>
    <m/>
    <m/>
    <m/>
    <s v="2024 Sep - CES PFS : 14702743"/>
    <m/>
    <m/>
    <s v="High"/>
    <m/>
    <m/>
    <m/>
    <s v="Assess"/>
    <s v="Change Request"/>
    <d v="2024-10-31T09:30:00"/>
    <s v="/CSARPL/Aftertreatment/Br001"/>
    <d v="2024-07-24T23:50:53"/>
    <m/>
    <m/>
    <x v="5"/>
    <m/>
    <m/>
    <m/>
    <x v="1"/>
    <m/>
    <m/>
    <m/>
    <m/>
    <m/>
    <s v="CES_PFS (Owned by /C2PL/Aftertreatment)"/>
    <m/>
    <m/>
    <m/>
    <m/>
    <m/>
    <m/>
    <m/>
    <m/>
    <m/>
    <m/>
    <m/>
    <m/>
    <m/>
  </r>
  <r>
    <s v="amit matale (xy524)"/>
    <s v="Rachna Pawale"/>
    <n v="0"/>
    <n v="30"/>
    <n v="30"/>
    <m/>
    <s v="CES CSAR 01.24.12.00 - 12962338"/>
    <m/>
    <x v="77"/>
    <m/>
    <s v="FIM interface update required in AftDiesOxidCatRvrsDiag"/>
    <x v="1"/>
    <m/>
    <m/>
    <s v="_x000a_16-09 : Deferred for priorirty DCR_XX (DCR to be raised for AftHCDosCompnUsedUpDiag component (Parent DCR_14395198))"/>
    <x v="5"/>
    <m/>
    <m/>
    <m/>
    <m/>
    <m/>
    <m/>
    <m/>
    <m/>
    <m/>
    <m/>
    <m/>
    <s v="2024 Sep - CES PFS : 14702743"/>
    <m/>
    <m/>
    <s v="High"/>
    <m/>
    <m/>
    <m/>
    <s v="Assess"/>
    <s v="Change Request"/>
    <d v="2024-10-31T09:30:00"/>
    <s v="/CSARPL/Aftertreatment/Br001"/>
    <d v="2024-07-25T00:14:07"/>
    <m/>
    <m/>
    <x v="9"/>
    <m/>
    <m/>
    <m/>
    <x v="1"/>
    <m/>
    <m/>
    <m/>
    <m/>
    <s v="PFS"/>
    <s v="CES_PFS (Owned by /C2PL/Aftertreatment)"/>
    <m/>
    <m/>
    <m/>
    <m/>
    <m/>
    <m/>
    <m/>
    <m/>
    <m/>
    <m/>
    <m/>
    <m/>
    <m/>
  </r>
  <r>
    <s v="amit matale (xy524)"/>
    <s v="Rachna Pawale"/>
    <n v="0"/>
    <n v="30"/>
    <n v="30"/>
    <m/>
    <m/>
    <m/>
    <x v="77"/>
    <m/>
    <s v="FIM interface update required in AftDiesOxidCatRvrsDiag"/>
    <x v="0"/>
    <m/>
    <m/>
    <s v="_x000a_16-09 : Deferred for priorirty DCR_XX (DCR to be raised for AftHCDosCompnUsedUpDiag component (Parent DCR_14395198))"/>
    <x v="5"/>
    <m/>
    <m/>
    <m/>
    <m/>
    <m/>
    <m/>
    <m/>
    <m/>
    <m/>
    <m/>
    <m/>
    <m/>
    <m/>
    <m/>
    <m/>
    <m/>
    <m/>
    <m/>
    <m/>
    <m/>
    <m/>
    <m/>
    <m/>
    <m/>
    <m/>
    <x v="18"/>
    <m/>
    <m/>
    <m/>
    <x v="1"/>
    <m/>
    <m/>
    <m/>
    <m/>
    <s v="PFS"/>
    <m/>
    <m/>
    <m/>
    <m/>
    <m/>
    <m/>
    <m/>
    <m/>
    <m/>
    <m/>
    <m/>
    <m/>
    <m/>
    <m/>
  </r>
  <r>
    <s v="Balraj S Malage (wf327)"/>
    <s v="Vivek Panigrahi"/>
    <n v="22"/>
    <n v="44"/>
    <n v="22"/>
    <m/>
    <s v="CES CSAR 01.24.12.00 - 12962338"/>
    <m/>
    <x v="78"/>
    <m/>
    <s v="FIM interface update required in AftDiesPartFiltDltPrRatDiag"/>
    <x v="1"/>
    <m/>
    <m/>
    <s v="18-Sep: Working on peer review comment- Propsed model changes to be updated before proceeding with peer review. To be planned remaning peer review tomorrow._x000a_16-Sep: Due to reviewer not available to be planned peer review today._x000a_13-Sep: PPT updation is in progress.Peer review is planned for Eval,Interface sheet and SRS._x000a_11-Sep,10-Sep,02-Sep: Evalaution is in progress"/>
    <x v="3"/>
    <m/>
    <m/>
    <m/>
    <m/>
    <m/>
    <m/>
    <m/>
    <m/>
    <m/>
    <m/>
    <m/>
    <s v="2024 Sep - CES PFS : 14702743"/>
    <m/>
    <m/>
    <s v="High"/>
    <m/>
    <m/>
    <m/>
    <s v="Assess"/>
    <s v="Change Request"/>
    <d v="2024-10-31T09:30:00"/>
    <s v="/CSARPL/Aftertreatment/Br001"/>
    <d v="2024-07-25T00:14:25"/>
    <d v="2024-09-02T00:00:00"/>
    <m/>
    <x v="8"/>
    <m/>
    <m/>
    <m/>
    <x v="1"/>
    <m/>
    <m/>
    <m/>
    <m/>
    <s v="PFS"/>
    <s v="CES_PFS (Owned by /C2PL/Aftertreatment)"/>
    <m/>
    <m/>
    <m/>
    <m/>
    <m/>
    <m/>
    <m/>
    <m/>
    <m/>
    <m/>
    <m/>
    <m/>
    <m/>
  </r>
  <r>
    <s v="sumitkumar patil (wf330)"/>
    <s v="Vivek Panigrahi"/>
    <n v="0"/>
    <n v="21"/>
    <n v="21"/>
    <m/>
    <s v="CES CSAR 01.24.12.00 - 12962338"/>
    <m/>
    <x v="79"/>
    <m/>
    <s v="FIM interface update required in AftDPFDltPrKeyOnOffRatDiag"/>
    <x v="1"/>
    <m/>
    <m/>
    <s v="16-09 : Deferred for priorirty DCR_14655991"/>
    <x v="5"/>
    <m/>
    <m/>
    <m/>
    <m/>
    <m/>
    <m/>
    <m/>
    <m/>
    <m/>
    <m/>
    <m/>
    <s v="2024 Sep - CES PFS : 14702743"/>
    <m/>
    <m/>
    <s v="High"/>
    <m/>
    <m/>
    <m/>
    <s v="Assess"/>
    <s v="Change Request"/>
    <d v="2024-10-31T09:30:00"/>
    <s v="/CSARPL/Aftertreatment/Br001"/>
    <d v="2024-07-25T00:14:40"/>
    <m/>
    <d v="2024-09-27T00:00:00"/>
    <x v="29"/>
    <m/>
    <m/>
    <m/>
    <x v="1"/>
    <m/>
    <m/>
    <m/>
    <m/>
    <s v="PFS"/>
    <s v="CES_PFS (Owned by /C2PL/Aftertreatment)"/>
    <m/>
    <m/>
    <m/>
    <m/>
    <m/>
    <m/>
    <m/>
    <m/>
    <m/>
    <m/>
    <m/>
    <m/>
    <m/>
  </r>
  <r>
    <s v="Harshada Borude (ur897)"/>
    <s v="Vivek Panigrahi"/>
    <n v="0"/>
    <n v="12"/>
    <n v="12"/>
    <m/>
    <s v="CES CSAR 01.24.12.00 - 12962338"/>
    <m/>
    <x v="80"/>
    <m/>
    <s v="FIM interface update required in AftDiesPartFiltOutPrKeyOnOffRatDiag"/>
    <x v="1"/>
    <m/>
    <m/>
    <s v="18-Sep: Analysis to be started._x000a_Note: DCR: 13751560 &amp; DCR_14026935 are part of same component hence considering effor for these DCR in this DCR."/>
    <x v="3"/>
    <m/>
    <m/>
    <m/>
    <m/>
    <m/>
    <m/>
    <m/>
    <m/>
    <m/>
    <m/>
    <m/>
    <s v="2024 Sep - CES PFS : 14702743"/>
    <m/>
    <m/>
    <s v="High"/>
    <m/>
    <m/>
    <m/>
    <s v="Assess"/>
    <s v="Change Request"/>
    <d v="2024-10-31T09:30:00"/>
    <s v="/CSARPL/Aftertreatment/Br001"/>
    <d v="2024-07-25T00:14:53"/>
    <m/>
    <d v="2024-09-16T00:00:00"/>
    <x v="33"/>
    <m/>
    <m/>
    <m/>
    <x v="1"/>
    <m/>
    <m/>
    <m/>
    <m/>
    <s v="PFS"/>
    <s v="CES_PFS (Owned by /C2PL/Aftertreatment)"/>
    <m/>
    <m/>
    <m/>
    <m/>
    <m/>
    <m/>
    <m/>
    <m/>
    <m/>
    <m/>
    <m/>
    <m/>
    <m/>
  </r>
  <r>
    <s v="Jagadeesh V (wt481)"/>
    <s v="Vivek Panigrahi"/>
    <n v="14"/>
    <n v="18"/>
    <n v="4"/>
    <m/>
    <s v="CES CSAR 01.24.12.00 - 12962338"/>
    <m/>
    <x v="81"/>
    <m/>
    <s v="FIM interface update required in AftDiesPartFiltInComplRegenDiag"/>
    <x v="1"/>
    <m/>
    <m/>
    <s v="18-Sep: To be worked on SRS._x000a_16-Sep,13-Sep: Received confirmation from Ajay and Alex. Kept on hold due to other prirority DCR work._x000a_12-Sep: Evalaution is in progress. Awaiting confirmation from Ajay._x000a_11-Sep: Analysis is shared with Dhanraj and awaiting confirmation from Lavanya._x000a_10-Sep: As advised by Lavanaya working on analysis part._x000a_09-Sep: Awaiting input from Shrutika, working on RRB review comments._x000a_06-Sep: Updated Interfacesheet. Awaiting confirmation from Shrutika._x000a_27-Aug,26-Aug: Incomplete regen diag SRS is in open state once it is completed then will work on SRS publition. Kpet on hold._x000a_23-Aug: SRS to be published in Integrity today. PPT updation is completed. _x000a_22-Aug: Interface sheet updation is completed. PPT updation and SRS updation is in progress._x000a_21-Aug: Evalaution is completed. Working on Interface sheet._x000a_20-Aug: Estimation details to be shared and Evalaution analysis is in progress._x000a_19-Aug: Evalaution analysis is in progress."/>
    <x v="1"/>
    <m/>
    <m/>
    <m/>
    <m/>
    <m/>
    <m/>
    <m/>
    <m/>
    <m/>
    <m/>
    <m/>
    <s v="2024 Sep - CES PFS : 14702743"/>
    <m/>
    <m/>
    <s v="High"/>
    <m/>
    <m/>
    <m/>
    <s v="Assess"/>
    <s v="Change Request"/>
    <d v="2024-10-31T09:30:00"/>
    <s v="/CSARPL/Aftertreatment/Br001"/>
    <d v="2024-07-25T00:15:15"/>
    <d v="2024-08-19T00:00:00"/>
    <m/>
    <x v="27"/>
    <m/>
    <m/>
    <m/>
    <x v="1"/>
    <m/>
    <m/>
    <m/>
    <m/>
    <s v="PFS"/>
    <s v="CES_PFS (Owned by /C2PL/Aftertreatment)"/>
    <m/>
    <m/>
    <m/>
    <m/>
    <m/>
    <m/>
    <m/>
    <m/>
    <m/>
    <m/>
    <m/>
    <m/>
    <m/>
  </r>
  <r>
    <s v="Jagadeesh V (wt481)"/>
    <s v="Vivek Panigrahi"/>
    <n v="29"/>
    <n v="12"/>
    <n v="-17"/>
    <m/>
    <s v="CES CSAR 01.24.12.00 - 12962338"/>
    <m/>
    <x v="82"/>
    <m/>
    <s v="FIM interface update required in AftHCDosCompnUsedUpDiag"/>
    <x v="1"/>
    <m/>
    <m/>
    <s v="18-Sep: CCB is in progress, working on review comments._x000a_16-Sep: Peer review is completed and review comments to be verifed with reviewer. CCB is planned today._x000a_13-Sep: Received input from Ajay and Alex. Peer review is in progress, working on review comments.CCB to be planned tomorrow._x000a_12-Sep: Evalaution is in progress. Awaiting confirmation from Ajay._x000a_11-Sep: Shared analysis with Dhanraj and awaiting confirmation from Lavanya to proceed furhter._x000a_10-Sep: As advised by Lavanya working on analysis and will share the ouput to Dhanraj._x000a_09-Sep,06-Sep: Awaiting input from Dhanraj._x000a_05-Sep: Shared the implimentation result with Dhanraj and waiting for the confirmation._x000a_04-Sep: Working on Dhanraj's input on checking with provider component. To be sent a mail to Dhanraj after updating the logic._x000a_03-Sep: CCB review is in progress._x000a_02-Sep: CCB review was not scheduled due to reviewer not available on Friday. CCB is planned today. DCR#14692695 raised for SRS, App Guide and IDFMEA to create._x000a_30-Aug: Peer review is completed. Working on review comments fix. CCB is planned today._x000a_29-Aug: Peer review is in progress, Working on review comments._x000a_28-Aug: Interface sheet is completed and PPT updation is completed. Peer  is planned for today._x000a_27-Aug: Evalaution is completed. Interface sheet updation is completed._x000a_26-Aug: Initial analysis is in progress."/>
    <x v="1"/>
    <m/>
    <m/>
    <m/>
    <m/>
    <m/>
    <m/>
    <m/>
    <m/>
    <m/>
    <m/>
    <m/>
    <s v="2024 Sep - CES PFS : 14702743"/>
    <m/>
    <m/>
    <s v="High"/>
    <m/>
    <m/>
    <m/>
    <s v="Assess"/>
    <s v="Change Request"/>
    <d v="2024-10-31T09:30:00"/>
    <s v="/CSARPL/Aftertreatment/Br001"/>
    <d v="2024-07-25T00:15:31"/>
    <d v="2024-08-26T00:00:00"/>
    <m/>
    <x v="34"/>
    <m/>
    <m/>
    <m/>
    <x v="1"/>
    <m/>
    <m/>
    <m/>
    <m/>
    <s v="PFS"/>
    <s v="CES_PFS (Owned by /C2PL/Aftertreatment)"/>
    <m/>
    <m/>
    <m/>
    <m/>
    <m/>
    <m/>
    <m/>
    <m/>
    <m/>
    <m/>
    <m/>
    <m/>
    <m/>
  </r>
  <r>
    <s v="Ashitosh Nilkanth (uh953)"/>
    <s v="Vivek Panigrahi"/>
    <n v="2"/>
    <n v="30"/>
    <n v="28"/>
    <m/>
    <s v="CES CSAR 01.24.12.00 - 12962338"/>
    <m/>
    <x v="83"/>
    <m/>
    <s v="Short Regen Strategy Missing Separate Target Temperature- AftDiesPartFiltOpModeDet"/>
    <x v="1"/>
    <m/>
    <m/>
    <s v="18-Sep: Kept on hold due to prirority analysis for DCR#12748925._x000a_16-Sep,13-Sep: Scope analysis with Swapnil is in progress. As advised by Swapnil working on Regen trigger state analysis._x000a_Assigned to Ashitosh to be analysed and update estimation."/>
    <x v="4"/>
    <m/>
    <m/>
    <m/>
    <m/>
    <m/>
    <m/>
    <m/>
    <m/>
    <m/>
    <m/>
    <m/>
    <s v="2024 Sep - CES PFS : 14702743"/>
    <m/>
    <m/>
    <s v="Very High"/>
    <m/>
    <m/>
    <m/>
    <s v="Assess"/>
    <s v="Change Request"/>
    <d v="2023-02-01T00:00:00"/>
    <s v="/CSARPL/Aftertreatment/Br001"/>
    <d v="2024-08-02T13:04:00"/>
    <m/>
    <m/>
    <x v="9"/>
    <m/>
    <m/>
    <m/>
    <x v="1"/>
    <m/>
    <m/>
    <m/>
    <m/>
    <s v="PFS"/>
    <s v="CES_PFS (Owned by /C2PL/Aftertreatment)"/>
    <m/>
    <m/>
    <m/>
    <m/>
    <m/>
    <m/>
    <m/>
    <m/>
    <m/>
    <m/>
    <m/>
    <m/>
    <m/>
  </r>
  <r>
    <s v="Harshada Borude (ur897)"/>
    <s v="Vivek Panigrahi"/>
    <n v="13"/>
    <n v="10"/>
    <n v="-3"/>
    <m/>
    <s v="CES CSAR 01.24.12.00 - 12962338"/>
    <m/>
    <x v="84"/>
    <m/>
    <s v="CSAR SyncUp :- DTR replacement for AftPartMatSenCRegenDiag."/>
    <x v="1"/>
    <m/>
    <m/>
    <s v="18-Sep: DCR is submitted in Integrity._x000a_13-Sep: Received L2 feedback and fixed and L2 review is completed. DCR to be submitted in Integrity._x000a_12-Sep: Awaiitng L2 feedback from Yue_x000a_11-Sep: Peer+CCB is completed for Evalaution and L2 sent to Yue._x000a_10-Sep: Peer+CCB is planned today for Evalaution, Interface sheet, SRS._x000a_09-Sep: PPT updation and SRS to be started._x000a_02-Sep: Interface sheet updation is completed. Kept on hold due to other priority work._x000a_30-Aug: Interface sheet is in progress."/>
    <x v="0"/>
    <m/>
    <m/>
    <m/>
    <m/>
    <m/>
    <m/>
    <m/>
    <m/>
    <m/>
    <m/>
    <m/>
    <s v="2024 Sep - CES PFS : 14702743"/>
    <d v="2024-08-31T00:00:00"/>
    <m/>
    <s v="High"/>
    <m/>
    <m/>
    <d v="2024-08-10T01:41:08"/>
    <s v="Approved"/>
    <s v="Change Request"/>
    <d v="2024-08-31T10:30:00"/>
    <s v="/CSARPL/Aftertreatment/Br001"/>
    <d v="2024-08-09T10:56:58"/>
    <d v="2024-08-30T00:00:00"/>
    <m/>
    <x v="6"/>
    <m/>
    <m/>
    <m/>
    <x v="2"/>
    <d v="2024-09-13T00:00:00"/>
    <d v="2024-09-18T00:00:00"/>
    <m/>
    <m/>
    <s v="PFS"/>
    <s v="CES_PFS (Owned by /C2PL/Aftertreatment)"/>
    <m/>
    <m/>
    <m/>
    <m/>
    <m/>
    <m/>
    <m/>
    <m/>
    <m/>
    <m/>
    <m/>
    <m/>
    <m/>
  </r>
  <r>
    <s v="shrutika shete (ac06r)"/>
    <s v="Vivek Panigrahi"/>
    <n v="5"/>
    <n v="36"/>
    <n v="31"/>
    <m/>
    <s v="CES CSAR 01.24.12.00 - 12962338"/>
    <s v="CES CSAR 01.24.12.00 - 12962338"/>
    <x v="85"/>
    <m/>
    <s v="CSAR SyncUp :- DTR replacement for AftPartMatSenCFiltEffDiag"/>
    <x v="1"/>
    <m/>
    <m/>
    <s v="09-Sep: Code compilation is in progress. Facing issue and taking IT support help._x000a_06-09: Model updation is in progress._x000a_05-09 : Implemenetation in progress_x000a_03-Sep: Awaiting ARXML from Madhupriya from 2nd sept."/>
    <x v="0"/>
    <m/>
    <m/>
    <m/>
    <m/>
    <m/>
    <m/>
    <m/>
    <m/>
    <m/>
    <m/>
    <m/>
    <s v="2024 Aug - CES PFS : 14503516"/>
    <d v="2024-08-31T00:00:00"/>
    <m/>
    <s v="High"/>
    <m/>
    <d v="2024-08-09T00:00:00"/>
    <d v="2024-08-10T01:42:39"/>
    <s v="In Progress"/>
    <s v="Change Request"/>
    <d v="2024-08-31T10:30:00"/>
    <s v="/CSARPL/Aftertreatment/Br001"/>
    <d v="2024-08-09T10:57:55"/>
    <d v="2024-09-03T00:00:00"/>
    <m/>
    <x v="8"/>
    <m/>
    <m/>
    <m/>
    <x v="8"/>
    <d v="2024-08-23T00:00:00"/>
    <d v="2024-08-29T00:00:00"/>
    <m/>
    <m/>
    <s v="PFS"/>
    <s v="CES_PFS (Owned by /C2PL/Aftertreatment)"/>
    <m/>
    <m/>
    <m/>
    <m/>
    <m/>
    <m/>
    <m/>
    <m/>
    <m/>
    <m/>
    <m/>
    <m/>
    <m/>
  </r>
  <r>
    <s v="shrutika shete (ac06r)"/>
    <s v="Vivek Panigrahi"/>
    <n v="23"/>
    <n v="36"/>
    <n v="13"/>
    <m/>
    <s v="CES CSAR 01.24.12.00 - 12962338"/>
    <m/>
    <x v="85"/>
    <m/>
    <s v="CSAR SyncUp :- DTR replacement for AftPartMatSenCFiltEffDiag"/>
    <x v="0"/>
    <m/>
    <m/>
    <s v="18-Sep: To be worked on Polyspace. Working on MIL issue._x000a_16-Sep: Received confirmation from Yue and received approval for new proposal. Remigration to be started._x000a_13-Sep: During Tracebility updation identified One more DTR component scope to be added here, to be confirmed from Chaitali to proceed further._x000a_12-Sep: Polyspace is completed.Working on Visual studio issue._x000a_11-Sep,09-Sep: Code compilation is in progress. Facing issue and taking IT support help. SRS published._x000a_06-09: Model updation is in progress._x000a_05-09 : Implemenetation in progress_x000a_03-Sep: Awaiting ARXML from Madhupriya from 2nd sept."/>
    <x v="3"/>
    <m/>
    <m/>
    <m/>
    <m/>
    <m/>
    <m/>
    <m/>
    <m/>
    <m/>
    <m/>
    <m/>
    <s v="2024 Sep - CES PFS : 14702743"/>
    <d v="2024-08-31T00:00:00"/>
    <m/>
    <s v="High"/>
    <m/>
    <m/>
    <d v="2024-08-10T01:42:39"/>
    <s v="In Progress"/>
    <s v="Change Request"/>
    <d v="2024-08-31T10:30:00"/>
    <s v="/CSARPL/Aftertreatment/Br001"/>
    <d v="2024-08-09T10:57:55"/>
    <d v="2024-09-03T00:00:00"/>
    <m/>
    <x v="8"/>
    <m/>
    <m/>
    <m/>
    <x v="1"/>
    <m/>
    <m/>
    <m/>
    <m/>
    <s v="PFS"/>
    <s v="CES_PFS (Owned by /C2PL/Aftertreatment)"/>
    <m/>
    <m/>
    <m/>
    <m/>
    <m/>
    <m/>
    <m/>
    <m/>
    <m/>
    <m/>
    <m/>
    <m/>
    <m/>
  </r>
  <r>
    <s v="shrutika shete (ac06r)"/>
    <s v="Vivek Panigrahi"/>
    <n v="0"/>
    <n v="36"/>
    <n v="36"/>
    <m/>
    <s v="CES CSAR 01.24.12.00 - 12962338"/>
    <s v="CES CSAR 01.24.12.00 - 12962338"/>
    <x v="86"/>
    <m/>
    <s v="CSAR SyncUp :- DTR replacement for AftDiesPartFiltInComplRegenDiag"/>
    <x v="1"/>
    <m/>
    <m/>
    <s v="09-Sep: Awaiting ARXML, to be folowed up with Madhuproya. To be assigned to other team member._x000a_06-Sep,03-Sep: Awaiting ARXML from Madhupriya from 4th sept."/>
    <x v="0"/>
    <m/>
    <m/>
    <m/>
    <m/>
    <m/>
    <m/>
    <m/>
    <m/>
    <m/>
    <m/>
    <m/>
    <s v="2024 Aug - CES PFS : 14503516"/>
    <d v="2024-08-31T00:00:00"/>
    <m/>
    <s v="High"/>
    <m/>
    <d v="2024-08-09T00:00:00"/>
    <d v="2024-08-10T01:43:33"/>
    <s v="In Progress"/>
    <s v="Change Request"/>
    <d v="2024-08-31T10:30:00"/>
    <s v="/CSARPL/Aftertreatment/Br001"/>
    <d v="2024-08-09T11:01:08"/>
    <d v="2024-09-03T00:00:00"/>
    <m/>
    <x v="35"/>
    <m/>
    <m/>
    <m/>
    <x v="8"/>
    <d v="2024-08-23T00:00:00"/>
    <d v="2024-08-29T00:00:00"/>
    <m/>
    <m/>
    <s v="PFS"/>
    <s v="CES_PFS (Owned by /C2PL/Aftertreatment)"/>
    <m/>
    <m/>
    <m/>
    <m/>
    <m/>
    <m/>
    <m/>
    <m/>
    <m/>
    <m/>
    <m/>
    <m/>
    <m/>
  </r>
  <r>
    <s v="shrutika shete (ac06r)"/>
    <s v="Nileema Pailwan"/>
    <n v="15.5"/>
    <n v="36"/>
    <n v="20.5"/>
    <m/>
    <s v="CES CSAR 01.24.12.00 - 12962338"/>
    <m/>
    <x v="86"/>
    <m/>
    <s v="CSAR SyncUp :- DTR replacement for AftDiesPartFiltInComplRegenDiag"/>
    <x v="0"/>
    <m/>
    <m/>
    <s v="18-09 : V&amp;V in progress_x000a_16-09 : MA checks are completed. code gen and V&amp;V to be continue._x000a_12-09 : Migration is completed. working on V&amp;V._x000a_11-09 : Impl to be started. _x000a_09-Sep: Awaiting ARXML, to be folowed up with Madhuproya. To be assigned to other team member._x000a_06-Sep,03-Sep: Awaiting ARXML from Madhupriya from 4th sept."/>
    <x v="3"/>
    <m/>
    <m/>
    <m/>
    <m/>
    <m/>
    <m/>
    <m/>
    <m/>
    <m/>
    <m/>
    <m/>
    <s v="2024 Sep - CES PFS : 14702743"/>
    <d v="2024-08-31T00:00:00"/>
    <m/>
    <s v="High"/>
    <m/>
    <m/>
    <d v="2024-08-10T01:43:33"/>
    <s v="In Progress"/>
    <s v="Change Request"/>
    <d v="2024-08-31T10:30:00"/>
    <s v="/CSARPL/Aftertreatment/Br001"/>
    <d v="2024-08-09T11:01:08"/>
    <d v="2024-09-03T00:00:00"/>
    <m/>
    <x v="35"/>
    <m/>
    <m/>
    <m/>
    <x v="1"/>
    <m/>
    <m/>
    <m/>
    <m/>
    <s v="PFS"/>
    <s v="CES_PFS (Owned by /C2PL/Aftertreatment)"/>
    <m/>
    <m/>
    <m/>
    <m/>
    <m/>
    <m/>
    <m/>
    <m/>
    <m/>
    <m/>
    <m/>
    <m/>
    <m/>
  </r>
  <r>
    <s v="Ashitosh Nilkanth (uh953)"/>
    <s v="Vivek Panigrahi"/>
    <n v="20"/>
    <n v="17"/>
    <n v="-3"/>
    <m/>
    <s v="CES CSAR 01.24.12.00 - 12962338"/>
    <s v="CES CSAR 01.24.12.00 - 12962338"/>
    <x v="87"/>
    <m/>
    <s v="CSAR SyncUp :- DTR replacement for AftDPFMissDiag"/>
    <x v="1"/>
    <m/>
    <m/>
    <s v="27-Aug: RRB review is completed. DCR is submitted in Integrity._x000a_26-Aug: L2 review is completed. Awaiting RRB review from Yogesh._x000a_23-Aug: Awaiting L2 feedback from Yue._x000a_22-Aug: Awaiting L2 feedback from Yue for Evala anf Interface sheet._x000a_21-Aug: CCB review is completed. Sent for L2 review Evalaution and Interface sheet to Yue._x000a_20-Aug: Peer review is completed. CCB is planned today._x000a_14-Aug: Peer review is planned for today as reviewer were not availanle._x000a_13-Aug: Interface sheet and SRS updation is completed. Peer review is planned today._x000a_12-Aug: Interface sheet and SRS updation to be staretd. To be discussed with Ashish for DTR receiver port creation. To be planned Internal review tomorrow._x000a_09-Aug: Initial analysis is in progress."/>
    <x v="0"/>
    <m/>
    <m/>
    <m/>
    <m/>
    <m/>
    <m/>
    <m/>
    <m/>
    <m/>
    <m/>
    <m/>
    <s v="2024 Aug - CES PFS : 14503516"/>
    <m/>
    <m/>
    <s v="High"/>
    <m/>
    <d v="2024-08-08T00:00:00"/>
    <s v="26-08-2024 21:18:18"/>
    <s v="In Progress"/>
    <m/>
    <d v="2024-08-31T10:30:00"/>
    <m/>
    <m/>
    <d v="2024-08-09T00:00:00"/>
    <m/>
    <x v="36"/>
    <m/>
    <m/>
    <m/>
    <x v="9"/>
    <d v="2024-08-20T00:00:00"/>
    <d v="2024-08-23T00:00:00"/>
    <m/>
    <m/>
    <s v="PFS"/>
    <s v="CES_PFS (Owned by /C2PL/Aftertreatment)"/>
    <m/>
    <m/>
    <m/>
    <m/>
    <m/>
    <m/>
    <m/>
    <m/>
    <m/>
    <m/>
    <m/>
    <m/>
    <m/>
  </r>
  <r>
    <s v="Ashitosh Nilkanth (uh953)"/>
    <s v="Vivek Panigrahi"/>
    <n v="28"/>
    <n v="27"/>
    <n v="-1"/>
    <m/>
    <m/>
    <m/>
    <x v="87"/>
    <m/>
    <s v="CSAR SyncUp :- DTR replacement for AftDPFMissDiag"/>
    <x v="0"/>
    <m/>
    <m/>
    <s v="18-Sep: L2 review is completed. To be sent for Merge request._x000a_16-Sep,13-Sep,12-Sep,11-Sep: Awaiting L2 feedback from yue._x000a_10-Sep: Peer+CCB is completed. Sent for L2 review to Yue._x000a_09-Sep: Due to reviewers were not available hence rescheduling to today._x000a_06-Sep: PPT updation is completed. Peer+CCB review is planned today._x000a_05-Sep: V&amp;V is completed. PPT updation and Req Mapping is in progress. _x000a_04-Sep: Migration is completed. Req mapping and V&amp;V to be started._x000a_03-Sep,02-Sep: Received ARXML and to be worked on Model Migration._x000a_30-Aug,28-Aug,27-Aug: Sent a mail for ARXML to Madhupriya."/>
    <x v="3"/>
    <m/>
    <m/>
    <m/>
    <m/>
    <m/>
    <m/>
    <m/>
    <m/>
    <m/>
    <m/>
    <m/>
    <m/>
    <m/>
    <m/>
    <m/>
    <m/>
    <m/>
    <m/>
    <m/>
    <m/>
    <m/>
    <m/>
    <m/>
    <d v="2024-08-27T00:00:00"/>
    <m/>
    <x v="37"/>
    <m/>
    <m/>
    <m/>
    <x v="1"/>
    <d v="2024-09-12T00:00:00"/>
    <m/>
    <m/>
    <m/>
    <s v="PFS"/>
    <s v="CES_PFS (Owned by "/>
    <m/>
    <m/>
    <m/>
    <m/>
    <m/>
    <m/>
    <m/>
    <m/>
    <m/>
    <m/>
    <m/>
    <m/>
    <m/>
  </r>
  <r>
    <s v="Haridas Raut (vy322)"/>
    <s v="Vivek Panigrahi"/>
    <n v="14"/>
    <n v="63"/>
    <n v="49"/>
    <m/>
    <s v="CES CSAR 01.24.12.00"/>
    <m/>
    <x v="20"/>
    <m/>
    <s v="Need fix for the issues found in AftLampDrvOutIntf component"/>
    <x v="0"/>
    <s v="Transparency check complete"/>
    <m/>
    <s v="18-Sep: MA and Polyspace to be started._x000a_16-Sep: Migration to be started today._x000a_13-Sep: Received ARXMl from Madhupriya yesetrday. Kept on hold due to other prirority work._x000a_12-Sep,11-Sep: Received input from Dhanraj, awaiting ARXML from Madhupriya._x000a_10-Sep: To be scheduled a call with all to conclude the approach._x000a_09-Sep: Awaiting input from Dhanraj for ARXML parameter._x000a_06-Sep: Awaiting ARXML from Madhupriya._x000a_05-Sep: As confirmed Dhanraj required same parameter and confirmed to Madhupriya. Awaiting ARXML. Kpet on hold till the time._x000a_04-Sep:Awaiting input from Dhanraj._x000a_03-Sep: Working on Mshupriya's input on ARXML. To be replied for ARXML generation. App Guide updation is in progress._x000a_02-Sep,30-Aug: To be sent for ARXMl request to Madhupriya."/>
    <x v="1"/>
    <m/>
    <m/>
    <m/>
    <m/>
    <m/>
    <m/>
    <m/>
    <m/>
    <m/>
    <m/>
    <m/>
    <s v="2024 Aug - CES_CSAR_CTCI : 14552771"/>
    <m/>
    <m/>
    <m/>
    <m/>
    <m/>
    <m/>
    <m/>
    <m/>
    <m/>
    <m/>
    <m/>
    <d v="2024-08-30T00:00:00"/>
    <m/>
    <x v="8"/>
    <m/>
    <m/>
    <m/>
    <x v="1"/>
    <m/>
    <m/>
    <m/>
    <m/>
    <s v="PFS"/>
    <m/>
    <m/>
    <m/>
    <m/>
    <m/>
    <m/>
    <m/>
    <m/>
    <m/>
    <m/>
    <m/>
    <m/>
    <m/>
    <m/>
  </r>
  <r>
    <s v="Haridas Raut (vy322)"/>
    <s v="Vivek Panigrahi"/>
    <n v="0"/>
    <n v="63"/>
    <n v="63"/>
    <m/>
    <s v="CES CSAR 01.24.12.00"/>
    <m/>
    <x v="24"/>
    <m/>
    <s v="CSAR Sync - Up: Add De-bounce timer before setting INHIBIT_SWITCH_TIMED_REGEN_ERR"/>
    <x v="0"/>
    <s v="Transparency check complete"/>
    <m/>
    <s v="Effort tracking on DCR#13151029"/>
    <x v="3"/>
    <m/>
    <m/>
    <m/>
    <m/>
    <m/>
    <m/>
    <m/>
    <m/>
    <m/>
    <m/>
    <m/>
    <s v="2024 Aug - CES_CSAR_CTCI : 14552771"/>
    <m/>
    <m/>
    <m/>
    <m/>
    <m/>
    <m/>
    <m/>
    <m/>
    <m/>
    <m/>
    <m/>
    <d v="2024-08-30T00:00:00"/>
    <m/>
    <x v="8"/>
    <m/>
    <m/>
    <m/>
    <x v="1"/>
    <m/>
    <m/>
    <m/>
    <m/>
    <s v="PFS"/>
    <m/>
    <m/>
    <m/>
    <m/>
    <m/>
    <m/>
    <m/>
    <m/>
    <m/>
    <m/>
    <m/>
    <m/>
    <m/>
    <m/>
  </r>
  <r>
    <s v="shrutika shete (ac06r)"/>
    <s v="Vivek Panigrahi"/>
    <n v="0"/>
    <n v="34"/>
    <n v="34"/>
    <m/>
    <m/>
    <m/>
    <x v="63"/>
    <m/>
    <s v="FIM interface update required in AftDiesOxidCatInlDltTmptrDiag"/>
    <x v="0"/>
    <m/>
    <m/>
    <s v="16-09 : Deferred for priorirty DCR_XX (DCR to be raised for AftHCDosCmd component (Parent DCR_14395198))"/>
    <x v="5"/>
    <m/>
    <m/>
    <m/>
    <m/>
    <m/>
    <m/>
    <m/>
    <m/>
    <m/>
    <m/>
    <m/>
    <m/>
    <m/>
    <m/>
    <s v="High"/>
    <m/>
    <m/>
    <m/>
    <s v="Assess"/>
    <s v="Change Request"/>
    <d v="2024-10-31T09:30:00"/>
    <s v="/CSARPL/Aftertreatment/Br001"/>
    <d v="2024-07-24T23:21:17"/>
    <m/>
    <d v="2024-10-04T00:00:00"/>
    <x v="38"/>
    <m/>
    <m/>
    <m/>
    <x v="1"/>
    <m/>
    <m/>
    <m/>
    <m/>
    <s v="PFS"/>
    <s v="CES_PFS (Owned by /C2PL/Aftertreatment)"/>
    <m/>
    <m/>
    <m/>
    <m/>
    <m/>
    <m/>
    <m/>
    <m/>
    <m/>
    <m/>
    <m/>
    <m/>
    <m/>
  </r>
  <r>
    <s v="amit matale (xy524)"/>
    <s v="Rachna Pawale"/>
    <n v="15"/>
    <n v="15"/>
    <n v="0"/>
    <m/>
    <s v="CES CSAR 01.24.12.00 - 12962338"/>
    <s v="CES CSAR 01.24.12.00 - 12962338"/>
    <x v="88"/>
    <m/>
    <s v="CSAR SyncUp :- DTR replacement for AftPartMatSenCRatDiag"/>
    <x v="1"/>
    <m/>
    <m/>
    <s v="04-09 : Migration in progress_x000a_30-08 : Awaiitng ARXML"/>
    <x v="0"/>
    <m/>
    <m/>
    <m/>
    <m/>
    <m/>
    <m/>
    <m/>
    <m/>
    <m/>
    <m/>
    <m/>
    <s v="2024 Aug - CES PFS : 14503516"/>
    <m/>
    <m/>
    <s v="High"/>
    <m/>
    <d v="2024-08-08T00:00:00"/>
    <s v="26-08-2024 18:45:38"/>
    <s v="In Progress"/>
    <m/>
    <d v="2024-08-31T10:30:00"/>
    <m/>
    <m/>
    <m/>
    <m/>
    <x v="39"/>
    <m/>
    <m/>
    <m/>
    <x v="10"/>
    <d v="2024-08-16T00:00:00"/>
    <d v="2024-08-23T00:00:00"/>
    <m/>
    <m/>
    <s v="PFS"/>
    <s v="CES_PFS (Owned by /C2PL/Aftertreatment)"/>
    <m/>
    <m/>
    <m/>
    <m/>
    <m/>
    <m/>
    <m/>
    <m/>
    <m/>
    <m/>
    <m/>
    <m/>
    <m/>
  </r>
  <r>
    <s v="amit matale (xy524)"/>
    <s v="Rachna Pawale"/>
    <n v="48"/>
    <n v="25"/>
    <n v="-23"/>
    <m/>
    <s v="CES CSAR 01.24.12.00 - 12962338"/>
    <m/>
    <x v="88"/>
    <m/>
    <s v="CSAR SyncUp :- DTR replacement for AftPartMatSenCRatDiag"/>
    <x v="0"/>
    <m/>
    <m/>
    <s v="17-09 : CCB review is planned today_x000a_16-09 : received L2 confirmation, Merge request to raise (imple of has been taken care in this DCR itself)_x000a_13 Sep: L2 sent on 12 Sep (working on Upendara's dcr under this dcr hence the actual hours are increased)_x000a_11 Sep : peer + ccb to be planned on 12 Sep _x000a_04-09 : Migration in progress_x000a_30-08 : Awaiitng ARXML"/>
    <x v="3"/>
    <m/>
    <m/>
    <m/>
    <m/>
    <m/>
    <m/>
    <m/>
    <m/>
    <m/>
    <m/>
    <m/>
    <s v="2024 Sep - CES PFS : 14702743"/>
    <m/>
    <m/>
    <s v="High"/>
    <m/>
    <m/>
    <s v="26-08-2024 18:45:38"/>
    <s v="In Progress"/>
    <m/>
    <d v="2024-08-31T10:30:00"/>
    <m/>
    <m/>
    <m/>
    <m/>
    <x v="39"/>
    <m/>
    <m/>
    <m/>
    <x v="1"/>
    <m/>
    <m/>
    <m/>
    <m/>
    <s v="PFS"/>
    <s v="CES_PFS (Owned by /C2PL/Aftertreatment)"/>
    <m/>
    <m/>
    <m/>
    <m/>
    <m/>
    <m/>
    <m/>
    <m/>
    <m/>
    <m/>
    <m/>
    <m/>
    <m/>
  </r>
  <r>
    <s v="Indumathi M (wf309)"/>
    <s v="Rachna Pawale"/>
    <n v="0"/>
    <n v="15"/>
    <n v="0"/>
    <m/>
    <s v="CES CSAR 01.24.12.00 - 12962338"/>
    <m/>
    <x v="89"/>
    <m/>
    <s v="CSAR SyncUp :- DTR replacement for AftPartMatSenCRemvlDiag"/>
    <x v="1"/>
    <m/>
    <m/>
    <s v="30-08 : Awaiitng L2 verification"/>
    <x v="0"/>
    <m/>
    <m/>
    <m/>
    <m/>
    <m/>
    <m/>
    <m/>
    <m/>
    <m/>
    <m/>
    <m/>
    <s v="2024 Sep - CES PFS : 14702743"/>
    <m/>
    <m/>
    <s v="Low"/>
    <m/>
    <m/>
    <d v="2024-04-09T19:30:44"/>
    <s v="In Progress"/>
    <m/>
    <d v="2024-08-31T10:30:00"/>
    <m/>
    <m/>
    <m/>
    <m/>
    <x v="40"/>
    <m/>
    <m/>
    <m/>
    <x v="11"/>
    <m/>
    <m/>
    <m/>
    <m/>
    <s v="PFS"/>
    <s v="CES_PFS (Owned by /C2PL/Aftertreatment)"/>
    <m/>
    <m/>
    <m/>
    <m/>
    <m/>
    <m/>
    <m/>
    <m/>
    <m/>
    <m/>
    <m/>
    <m/>
    <m/>
  </r>
  <r>
    <s v="Indumathi M (wf309)"/>
    <s v="Rachna Pawale"/>
    <n v="0"/>
    <n v="25"/>
    <n v="25"/>
    <m/>
    <s v="CES CSAR 01.24.12.00 - 12962338"/>
    <m/>
    <x v="89"/>
    <m/>
    <s v="CSAR SyncUp :- DTR replacement for AftPartMatSenCRemvlDiag"/>
    <x v="0"/>
    <m/>
    <m/>
    <s v="18-09 : Received ARXML on 16th Sep_x000a_10 Sep : awaiting ARXML"/>
    <x v="3"/>
    <m/>
    <m/>
    <m/>
    <m/>
    <m/>
    <m/>
    <m/>
    <m/>
    <m/>
    <m/>
    <m/>
    <m/>
    <m/>
    <m/>
    <m/>
    <m/>
    <m/>
    <m/>
    <m/>
    <m/>
    <m/>
    <m/>
    <m/>
    <m/>
    <m/>
    <x v="41"/>
    <m/>
    <m/>
    <m/>
    <x v="1"/>
    <m/>
    <m/>
    <m/>
    <m/>
    <s v="PFS"/>
    <m/>
    <m/>
    <m/>
    <m/>
    <m/>
    <m/>
    <m/>
    <m/>
    <m/>
    <m/>
    <m/>
    <m/>
    <m/>
    <m/>
  </r>
  <r>
    <s v="Srinadh Vadlamudi (wf326)"/>
    <s v="Rachna Pawale"/>
    <n v="47"/>
    <n v="100"/>
    <n v="16"/>
    <m/>
    <s v="CES CSAR 01.24.12.00 - 12962338"/>
    <m/>
    <x v="90"/>
    <m/>
    <s v="HC Doser Diagnostic frequency increase request"/>
    <x v="1"/>
    <m/>
    <m/>
    <s v="18 -09 : CCB to be planned on 19 Sep _x000a_16-09 : Peer review is planned today_x000a_13 Sep : peer review is done, peer review (Interface sheetis planned for today12 Sep : Peer review is planned todayplanned on 11 Sep_x000a_10 Sep : SRS changes completed, Peer review to be planned on 11 Sep_x000a_05-09 : Interface sheet, Eval ppt and SRS - Plan to complete the artefacts by 06-09 and go for review for peer on 09th sept_x000a_03 Sep : Interface sheet to migrated"/>
    <x v="3"/>
    <m/>
    <m/>
    <m/>
    <m/>
    <m/>
    <m/>
    <m/>
    <m/>
    <m/>
    <m/>
    <m/>
    <s v="2024 Sep - CES PFS : 14702743"/>
    <d v="2024-08-29T00:00:00"/>
    <m/>
    <s v="High"/>
    <m/>
    <m/>
    <d v="2024-07-22T20:37:10"/>
    <s v="In Progress"/>
    <s v="Change Request"/>
    <d v="2024-08-30T00:00:00"/>
    <s v="/CSARPL/Aftertreatment/Br001"/>
    <d v="2024-01-25T01:10:46"/>
    <m/>
    <m/>
    <x v="37"/>
    <m/>
    <m/>
    <m/>
    <x v="1"/>
    <m/>
    <m/>
    <m/>
    <m/>
    <m/>
    <s v="CES_PFS (Owned by /C2PL/Aftertreatment)"/>
    <m/>
    <m/>
    <m/>
    <m/>
    <m/>
    <m/>
    <m/>
    <m/>
    <m/>
    <m/>
    <m/>
    <m/>
    <m/>
  </r>
  <r>
    <s v="Srinadh Vadlamudi (wf326)"/>
    <s v="Rachna Pawale"/>
    <n v="6"/>
    <n v="100"/>
    <n v="94"/>
    <m/>
    <s v="CES CSAR 01.24.12.00 - 12962338"/>
    <m/>
    <x v="90"/>
    <m/>
    <s v="HC Doser Diagnostic frequency increase request"/>
    <x v="0"/>
    <m/>
    <m/>
    <s v="16-09 : Working on test vector analysis and Appguide"/>
    <x v="3"/>
    <m/>
    <m/>
    <m/>
    <m/>
    <m/>
    <m/>
    <m/>
    <m/>
    <m/>
    <m/>
    <m/>
    <m/>
    <m/>
    <m/>
    <m/>
    <m/>
    <m/>
    <m/>
    <m/>
    <m/>
    <m/>
    <m/>
    <m/>
    <m/>
    <m/>
    <x v="3"/>
    <m/>
    <m/>
    <m/>
    <x v="1"/>
    <m/>
    <m/>
    <m/>
    <m/>
    <m/>
    <m/>
    <m/>
    <m/>
    <m/>
    <m/>
    <m/>
    <m/>
    <m/>
    <m/>
    <m/>
    <m/>
    <m/>
    <m/>
    <m/>
  </r>
  <r>
    <s v="Ashitosh Nilkanth (uh953)"/>
    <s v="Vivek Panigrahi"/>
    <n v="0"/>
    <n v="0"/>
    <n v="0"/>
    <m/>
    <s v="CES CSAR 01.24.12.00 - 12962338"/>
    <m/>
    <x v="91"/>
    <m/>
    <s v="Stay Warm logic missing in AftOpModePrmt and wrong logic in AftRegenCtrl"/>
    <x v="1"/>
    <m/>
    <m/>
    <s v="Effort  tracking on DCR14433414_x000a_13-Sep: Evalaution is completed by Swapnil. To be worked on Interface sheet update. Kept on hold due to other AFT reger control DCR priorirty work."/>
    <x v="4"/>
    <m/>
    <m/>
    <m/>
    <m/>
    <m/>
    <m/>
    <m/>
    <m/>
    <m/>
    <m/>
    <m/>
    <s v="2024 Sep - CES PFS : 14702743"/>
    <m/>
    <m/>
    <s v="Very High"/>
    <m/>
    <m/>
    <d v="2024-08-29T23:03:37"/>
    <s v="In Progress"/>
    <s v="Defect"/>
    <d v="2024-08-05T09:30:00"/>
    <s v="/CSARPL/Aftertreatment/Br001"/>
    <d v="2024-07-22T22:35:34"/>
    <d v="2024-08-08T00:00:00"/>
    <m/>
    <x v="5"/>
    <m/>
    <m/>
    <m/>
    <x v="1"/>
    <m/>
    <m/>
    <m/>
    <m/>
    <s v="PFS"/>
    <s v="CES_PFS (Owned by /C2PL/Aftertreatment)"/>
    <m/>
    <m/>
    <m/>
    <m/>
    <m/>
    <m/>
    <m/>
    <m/>
    <m/>
    <m/>
    <m/>
    <m/>
    <m/>
  </r>
  <r>
    <s v="Ashitosh Nilkanth (uh953)"/>
    <s v="Vivek Panigrahi"/>
    <n v="16"/>
    <n v="48"/>
    <n v="32"/>
    <m/>
    <s v="CES CSAR 01.24.12.00 - 12962338"/>
    <m/>
    <x v="92"/>
    <m/>
    <s v="Ineffective dosing time being reset by oper mode permit (regen ID)"/>
    <x v="1"/>
    <m/>
    <m/>
    <s v="18-Sep: Scope is cleared and impacted components are 20 hence discussion is in progress with Swapnil, Nileema and Ninad for DCR#12878180._x000a_16-Sep,13-Sep: Scope clarification with Swapnil for DCR12878180 is in progress._x000a_12-Sep: DCR12878180 regression testing issue DCR discussion with Swapnil is in progress._x000a_02-Sep: PPT updation is in progress. To be worked on SRS and Interface sheet updation. Kept on hold due to DTR prirority work._x000a_30-Aug,28-Aug: Evalaution is completed for 2 DCRs and other s are in progress. PPT updation is in progress._x000a_27-Aug: Evlaution is in progress._x000a_26-Aug: Evalaution is in progress. On hold_x000a_23-Aug,22-Aug,21-Aug: Initial analysis is In progress._x000a_09-Aug: Kept on hold due to DTR prirority DCR._x000a_08-Aug: Initial analysis is in progress."/>
    <x v="3"/>
    <m/>
    <m/>
    <m/>
    <m/>
    <m/>
    <m/>
    <m/>
    <m/>
    <m/>
    <m/>
    <m/>
    <s v="2024 Sep - CES PFS : 14702743"/>
    <m/>
    <m/>
    <s v="Very High"/>
    <m/>
    <m/>
    <d v="2024-08-30T00:07:48"/>
    <s v="In Progress"/>
    <s v="Defect"/>
    <d v="2024-08-05T09:30:00"/>
    <s v="/CSARPL/Aftertreatment/Br001"/>
    <d v="2024-07-22T22:42:52"/>
    <d v="2024-08-08T00:00:00"/>
    <m/>
    <x v="5"/>
    <m/>
    <m/>
    <m/>
    <x v="1"/>
    <m/>
    <m/>
    <m/>
    <m/>
    <s v="PFS"/>
    <s v="CES_PFS (Owned by /C2PL/Aftertreatment)"/>
    <m/>
    <m/>
    <m/>
    <m/>
    <m/>
    <m/>
    <m/>
    <m/>
    <m/>
    <m/>
    <m/>
    <m/>
    <m/>
  </r>
  <r>
    <s v="shrutika shete (ac06r)"/>
    <s v="Vivek Panigrahi"/>
    <n v="0"/>
    <n v="35"/>
    <n v="35"/>
    <m/>
    <s v="CES CSAR 01.24.12.00 - 12962338"/>
    <m/>
    <x v="76"/>
    <m/>
    <s v="FIM interface update required in AftDiesOxidCatOverTmptrDiag"/>
    <x v="0"/>
    <m/>
    <m/>
    <s v="16-09 : Deferred for priorirty DCR_XX (DCR to be raised for AftHCDFMDiag component (Parent DCR_14395198))"/>
    <x v="5"/>
    <m/>
    <m/>
    <m/>
    <m/>
    <m/>
    <m/>
    <m/>
    <m/>
    <m/>
    <m/>
    <m/>
    <m/>
    <m/>
    <m/>
    <s v="High"/>
    <m/>
    <m/>
    <m/>
    <s v="Assess"/>
    <s v="Change Request"/>
    <d v="2024-10-31T09:30:00"/>
    <s v="/CSARPL/Aftertreatment/Br001"/>
    <d v="2024-07-24T23:50:53"/>
    <m/>
    <m/>
    <x v="23"/>
    <m/>
    <m/>
    <m/>
    <x v="1"/>
    <m/>
    <m/>
    <m/>
    <m/>
    <m/>
    <s v="CES_PFS (Owned by /C2PL/Aftertreatment)"/>
    <m/>
    <m/>
    <m/>
    <m/>
    <m/>
    <m/>
    <m/>
    <m/>
    <m/>
    <m/>
    <m/>
    <m/>
    <m/>
  </r>
  <r>
    <s v="Harshada Borude (ur897)"/>
    <s v="Vivek Panigrahi"/>
    <n v="50"/>
    <n v="51"/>
    <n v="1"/>
    <m/>
    <m/>
    <m/>
    <x v="93"/>
    <m/>
    <s v="Implement EDL and Implement DTR blocks - AftDiesOxidCatInlTmptrDiag diagnostics"/>
    <x v="2"/>
    <m/>
    <m/>
    <s v="closed"/>
    <x v="0"/>
    <m/>
    <m/>
    <m/>
    <m/>
    <m/>
    <m/>
    <m/>
    <m/>
    <m/>
    <m/>
    <m/>
    <m/>
    <m/>
    <m/>
    <m/>
    <m/>
    <m/>
    <m/>
    <m/>
    <m/>
    <m/>
    <m/>
    <m/>
    <d v="2024-08-14T00:00:00"/>
    <m/>
    <x v="27"/>
    <m/>
    <m/>
    <m/>
    <x v="6"/>
    <d v="2024-09-03T00:00:00"/>
    <d v="2024-09-09T00:00:00"/>
    <m/>
    <m/>
    <s v="PFS"/>
    <m/>
    <m/>
    <m/>
    <m/>
    <m/>
    <m/>
    <m/>
    <m/>
    <m/>
    <m/>
    <m/>
    <m/>
    <m/>
    <m/>
  </r>
  <r>
    <s v="Harshada Borude (ur897)"/>
    <s v="Vivek Panigrahi"/>
    <n v="52.5"/>
    <n v="51"/>
    <n v="-1.5"/>
    <m/>
    <m/>
    <m/>
    <x v="93"/>
    <m/>
    <s v="Implement EDL and Implement DTR blocks - AftDiesOxidCatInlTmptrDiag diagnostics"/>
    <x v="0"/>
    <m/>
    <m/>
    <s v="18-Sep: Received PV version. To be resubmitted the DCR in Integrity._x000a_12-Sep: Awaiting confirmation from Mdhupriya for PV version ID. To be submitted the DCR. _x000a_11-Sep: Design and OBDM branch request sent to component owner. To be sent Main branch merge req._x000a_10-Sep: L2 review is completed. To be sent for merge request._x000a_09-Sep: Peer+CCB review is completed. Sent for L2 review._x000a_05-Sep: Peer+CCB review is completed working on the review comments. To be sent L2 review today._x000a_03-Sep: MIL execution is in progress and facing issue and taking help of Ashitosh._x000a_02-Sep: Model migration is compleetd for revised ARXML. Working on MIL execution._x000a_30-Aug: Visual studio set up is completed. DMID value was wrong in ARXML due to that new ARXML recieved from Madhupriya and remigration is in progress._x000a_29-Aug: SRS RRB passed tag received. Visual Studio set up is in progress. MIL is completed. SIL to be started._x000a_28-Aug: Test vector updation is completed. MIL is in progress._x000a_27-Aug: SRS L2 review is completed. Model migration is completed. Test vector updation to be started._x000a_26-Aug: Peer review is completed for SRS and sent for L2 review to Chaitali. Model migration to be started._x000a_23-Aug: SRS updation is completed. Peer review is planned today. Received confirmation from Chaitali and Working Harness updation._x000a_22-Aug:Discussed with Chaitali and mail sent for the confirmation. To be worked on MA and Polyspace._x000a_21-Aug: Need to be clarified from Meghna and Chaitali for upper limit and lower limit details._x000a_14-Aug: Model preparation is in prgress."/>
    <x v="0"/>
    <m/>
    <m/>
    <m/>
    <m/>
    <m/>
    <m/>
    <m/>
    <m/>
    <m/>
    <m/>
    <m/>
    <s v="Sep"/>
    <m/>
    <m/>
    <m/>
    <m/>
    <m/>
    <m/>
    <m/>
    <m/>
    <m/>
    <m/>
    <m/>
    <d v="2024-08-14T00:00:00"/>
    <m/>
    <x v="27"/>
    <m/>
    <m/>
    <m/>
    <x v="12"/>
    <d v="2024-09-03T00:00:00"/>
    <d v="2024-09-13T00:00:00"/>
    <m/>
    <m/>
    <s v="PFS"/>
    <m/>
    <m/>
    <m/>
    <m/>
    <m/>
    <m/>
    <m/>
    <m/>
    <m/>
    <m/>
    <m/>
    <m/>
    <m/>
    <m/>
  </r>
  <r>
    <s v="Harshada Borude (ur897)"/>
    <s v="Vivek Panigrahi"/>
    <n v="0"/>
    <n v="43"/>
    <n v="43"/>
    <m/>
    <m/>
    <m/>
    <x v="64"/>
    <m/>
    <s v="FIM interface update required in AftDiesOxidCatInlTmptrDiag"/>
    <x v="0"/>
    <m/>
    <m/>
    <s v="16-09 : Deferred for priorirty DCR_14428693"/>
    <x v="5"/>
    <m/>
    <m/>
    <m/>
    <m/>
    <m/>
    <m/>
    <m/>
    <m/>
    <m/>
    <m/>
    <m/>
    <m/>
    <m/>
    <m/>
    <s v="High"/>
    <m/>
    <m/>
    <m/>
    <s v="Assess"/>
    <s v="Change Request"/>
    <d v="2024-09-30T00:30:00"/>
    <s v="/CSARPL/Aftertreatment/Br001"/>
    <d v="2024-07-04T15:48:17"/>
    <m/>
    <d v="2024-10-15T00:00:00"/>
    <x v="42"/>
    <m/>
    <m/>
    <m/>
    <x v="1"/>
    <m/>
    <m/>
    <m/>
    <m/>
    <s v="PFS"/>
    <s v="CES_PFS (Owned by /C2PL/Aftertreatment)"/>
    <m/>
    <m/>
    <m/>
    <m/>
    <m/>
    <m/>
    <m/>
    <m/>
    <m/>
    <m/>
    <m/>
    <m/>
    <m/>
  </r>
  <r>
    <s v="Harshada Borude (ur897)"/>
    <s v="Vivek Panigrahi"/>
    <n v="0"/>
    <n v="43"/>
    <n v="43"/>
    <m/>
    <s v="CES CSAR 01.24.12.00 - 12962338"/>
    <m/>
    <x v="80"/>
    <m/>
    <s v="FIM interface update required in AftDiesPartFiltOutPrKeyOnOffRatDiag"/>
    <x v="0"/>
    <m/>
    <m/>
    <s v="Yet to work on it"/>
    <x v="2"/>
    <m/>
    <m/>
    <m/>
    <m/>
    <m/>
    <m/>
    <m/>
    <m/>
    <m/>
    <m/>
    <m/>
    <m/>
    <m/>
    <m/>
    <s v="High"/>
    <m/>
    <m/>
    <m/>
    <s v="Assess"/>
    <s v="Change Request"/>
    <d v="2024-10-31T09:30:00"/>
    <s v="/CSARPL/Aftertreatment/Br001"/>
    <d v="2024-07-25T00:14:53"/>
    <m/>
    <d v="2024-10-01T00:00:00"/>
    <x v="43"/>
    <m/>
    <m/>
    <m/>
    <x v="1"/>
    <m/>
    <m/>
    <m/>
    <m/>
    <s v="PFS"/>
    <s v="CES_PFS (Owned by /C2PL/Aftertreatment)"/>
    <m/>
    <m/>
    <m/>
    <m/>
    <m/>
    <m/>
    <m/>
    <m/>
    <m/>
    <m/>
    <m/>
    <m/>
    <m/>
  </r>
  <r>
    <s v="jyoti dongre (vu400)"/>
    <s v="Vivek Panigrahi"/>
    <n v="2"/>
    <n v="110"/>
    <n v="108"/>
    <m/>
    <s v="CES CSAR 01.24.12.00 - 12962338"/>
    <m/>
    <x v="6"/>
    <m/>
    <s v="CSAR Sync - Up: OEM1 - Updated PATM Triggering for Soot Based Cleaning"/>
    <x v="0"/>
    <s v="Transparency check complete"/>
    <m/>
    <s v="18-Sep: Sent for authoring today. Tracebility updation is in progress._x000a_16-Sep: Worked on Tracebility updation."/>
    <x v="3"/>
    <m/>
    <m/>
    <m/>
    <m/>
    <m/>
    <m/>
    <m/>
    <m/>
    <m/>
    <m/>
    <m/>
    <m/>
    <m/>
    <s v="Transparency check complete"/>
    <s v="High"/>
    <m/>
    <m/>
    <m/>
    <s v="Assess"/>
    <s v="Change Request"/>
    <d v="2021-06-18T00:00:00"/>
    <s v="/CSARPL/Aftertreatment/Br001"/>
    <d v="2024-02-14T20:07:45"/>
    <m/>
    <d v="2024-09-12T00:00:00"/>
    <x v="18"/>
    <m/>
    <m/>
    <m/>
    <x v="13"/>
    <d v="2024-08-23T00:00:00"/>
    <d v="2024-08-23T00:00:00"/>
    <m/>
    <m/>
    <s v="PFS"/>
    <s v="CES_PFS (Owned by /C2PL/Aftertreatment)"/>
    <m/>
    <m/>
    <m/>
    <m/>
    <m/>
    <m/>
    <m/>
    <m/>
    <m/>
    <m/>
    <m/>
    <m/>
    <m/>
  </r>
  <r>
    <s v="jyoti dongre (vu400)"/>
    <s v="Vivek Panigrahi"/>
    <n v="0"/>
    <n v="110"/>
    <n v="110"/>
    <m/>
    <s v="CES CSAR 01.24.12.00 - 12962338"/>
    <m/>
    <x v="27"/>
    <m/>
    <s v="Evaluate Protection based regen logic in AftSootBasedRegenTrigProc component"/>
    <x v="0"/>
    <s v="Transparency check complete"/>
    <m/>
    <s v="Yet to work on it"/>
    <x v="2"/>
    <m/>
    <m/>
    <m/>
    <m/>
    <m/>
    <m/>
    <m/>
    <m/>
    <m/>
    <m/>
    <m/>
    <s v="2024 Aug - CES PFS : 14503516"/>
    <m/>
    <s v="Transparency check complete"/>
    <s v="Medium"/>
    <m/>
    <m/>
    <m/>
    <s v="Assess"/>
    <s v="Change Request"/>
    <d v="2024-04-30T00:00:00"/>
    <s v="/CSARPL/Aftertreatment/Br001"/>
    <d v="2024-02-23T12:03:34"/>
    <m/>
    <d v="2024-09-12T00:00:00"/>
    <x v="18"/>
    <m/>
    <m/>
    <m/>
    <x v="1"/>
    <m/>
    <m/>
    <m/>
    <m/>
    <s v="PFS"/>
    <s v="CES_PFS (Owned by /C2PL/Aftertreatment)"/>
    <m/>
    <m/>
    <m/>
    <m/>
    <m/>
    <m/>
    <m/>
    <m/>
    <m/>
    <m/>
    <m/>
    <m/>
    <m/>
  </r>
  <r>
    <s v="Jagadeesh V (wt481)"/>
    <s v="Vivek Panigrahi"/>
    <n v="0"/>
    <n v="39"/>
    <n v="39"/>
    <m/>
    <s v="CES CSAR 01.24.12.00 - 12962338"/>
    <m/>
    <x v="82"/>
    <m/>
    <s v="FIM interface update required in AftHCDosCompnUsedUpDiag"/>
    <x v="0"/>
    <m/>
    <m/>
    <s v="Yet to work on it"/>
    <x v="2"/>
    <m/>
    <m/>
    <m/>
    <m/>
    <m/>
    <m/>
    <m/>
    <m/>
    <m/>
    <m/>
    <m/>
    <s v="2024 Aug - CES PFS : 14503516"/>
    <m/>
    <m/>
    <s v="High"/>
    <m/>
    <m/>
    <m/>
    <s v="Assess"/>
    <s v="Change Request"/>
    <d v="2024-10-31T09:30:00"/>
    <s v="/CSARPL/Aftertreatment/Br001"/>
    <d v="2024-07-25T00:15:31"/>
    <m/>
    <d v="2024-09-10T00:00:00"/>
    <x v="8"/>
    <m/>
    <m/>
    <m/>
    <x v="1"/>
    <m/>
    <m/>
    <m/>
    <m/>
    <s v="PFS"/>
    <s v="CES_PFS (Owned by /C2PL/Aftertreatment)"/>
    <m/>
    <m/>
    <m/>
    <m/>
    <m/>
    <m/>
    <m/>
    <m/>
    <m/>
    <m/>
    <m/>
    <m/>
    <m/>
  </r>
  <r>
    <s v="Jagadeesh V (wt481)"/>
    <s v="Vivek Panigrahi"/>
    <n v="0"/>
    <n v="41"/>
    <n v="41"/>
    <m/>
    <s v="CES CSAR 01.24.12.00 - 12962338"/>
    <m/>
    <x v="81"/>
    <m/>
    <s v="FIM interface update required in AftDiesPartFiltInComplRegenDiag"/>
    <x v="0"/>
    <m/>
    <m/>
    <s v="Yet to work on it"/>
    <x v="2"/>
    <m/>
    <m/>
    <m/>
    <m/>
    <m/>
    <m/>
    <m/>
    <m/>
    <m/>
    <m/>
    <m/>
    <m/>
    <m/>
    <m/>
    <s v="High"/>
    <m/>
    <m/>
    <m/>
    <s v="Assess"/>
    <s v="Change Request"/>
    <d v="2024-10-31T09:30:00"/>
    <s v="/CSARPL/Aftertreatment/Br001"/>
    <d v="2024-07-25T00:15:15"/>
    <m/>
    <d v="2024-09-15T00:00:00"/>
    <x v="33"/>
    <m/>
    <m/>
    <m/>
    <x v="1"/>
    <m/>
    <m/>
    <m/>
    <m/>
    <s v="PFS"/>
    <s v="CES_PFS (Owned by /C2PL/Aftertreatment)"/>
    <m/>
    <m/>
    <m/>
    <m/>
    <m/>
    <m/>
    <m/>
    <m/>
    <m/>
    <m/>
    <m/>
    <m/>
    <m/>
  </r>
  <r>
    <s v="Jagadeesh V (wt481)"/>
    <s v="Vivek Panigrahi"/>
    <n v="0"/>
    <n v="20"/>
    <n v="20"/>
    <m/>
    <s v="CES CSAR 01.24.12.00 - 12962338"/>
    <m/>
    <x v="9"/>
    <m/>
    <s v="Change required in AftDiesPartFiltOpModeDet component to overcome invalid shift warning"/>
    <x v="0"/>
    <m/>
    <m/>
    <s v="Ashitosh doing analysis "/>
    <x v="2"/>
    <m/>
    <m/>
    <m/>
    <m/>
    <m/>
    <m/>
    <m/>
    <m/>
    <m/>
    <m/>
    <m/>
    <m/>
    <m/>
    <m/>
    <s v="High"/>
    <m/>
    <m/>
    <m/>
    <s v="Assess"/>
    <s v="Change Request"/>
    <d v="2024-01-31T00:00:00"/>
    <s v="/CSARPL/Aftertreatment/Br001"/>
    <d v="2023-12-04T06:40:02"/>
    <m/>
    <m/>
    <x v="23"/>
    <m/>
    <m/>
    <m/>
    <x v="1"/>
    <m/>
    <m/>
    <m/>
    <m/>
    <s v="PFS"/>
    <s v="CES_PFS (Owned by /C2PL/Aftertreatment)"/>
    <m/>
    <m/>
    <m/>
    <m/>
    <m/>
    <m/>
    <m/>
    <m/>
    <m/>
    <m/>
    <m/>
    <m/>
    <m/>
  </r>
  <r>
    <s v="Jagadeesh V (wt481)"/>
    <s v="Vivek Panigrahi"/>
    <n v="0"/>
    <n v="60"/>
    <n v="60"/>
    <m/>
    <s v="CES CSAR 01.24.12.00 - 12962338"/>
    <m/>
    <x v="83"/>
    <m/>
    <s v="Short Regen Strategy Missing Separate Target Temperature- AftDiesPartFiltOpModeDet"/>
    <x v="0"/>
    <m/>
    <m/>
    <s v="Ashitosh doing analysis "/>
    <x v="2"/>
    <m/>
    <m/>
    <m/>
    <m/>
    <m/>
    <m/>
    <m/>
    <m/>
    <m/>
    <m/>
    <m/>
    <s v="2024 Aug - CES PFS : 14503516"/>
    <m/>
    <m/>
    <s v="Very High"/>
    <m/>
    <m/>
    <m/>
    <s v="Assess"/>
    <s v="Change Request"/>
    <d v="2023-02-01T00:00:00"/>
    <s v="/CSARPL/Aftertreatment/Br001"/>
    <d v="2024-08-02T13:04:00"/>
    <m/>
    <m/>
    <x v="23"/>
    <m/>
    <m/>
    <m/>
    <x v="1"/>
    <m/>
    <m/>
    <m/>
    <m/>
    <s v="PFS"/>
    <s v="CES_PFS (Owned by /C2PL/Aftertreatment)"/>
    <m/>
    <m/>
    <m/>
    <m/>
    <m/>
    <m/>
    <m/>
    <m/>
    <m/>
    <m/>
    <m/>
    <m/>
    <m/>
  </r>
  <r>
    <s v="Shubham U Pansare (so150)"/>
    <s v="Vivek Panigrahi"/>
    <n v="36.5"/>
    <n v="128"/>
    <n v="91.5"/>
    <m/>
    <s v="CES CSAR 01.24.12.00 - 12962338"/>
    <m/>
    <x v="94"/>
    <m/>
    <s v="CSAR FTIS component creation - AFT Particulate Filter Regeneration (Batch 2)"/>
    <x v="1"/>
    <m/>
    <m/>
    <s v="18-Sep: Discussed with Swapnil and received input to be worked on Swapnil's feedback. Discussion is in progres with Prasanta on TIS mapping._x000a_13-Sep: As advised by Swapnil working on the input to be scheduled a call with Swapnil to get scope confirmation._x000a_12-Sep: Awaiting confirmation on Component owner._x000a_11-Sep: Swaonil was not available, to be reschedule the call to today._x000a_10-Sep: To be verified for component owner for this._x000a_09-Sep: As advised by Dhanraj to be analyzed othe FT component and migrarate accordingly._x000a_06-Sep: Model preparation is in progress._x000a_05-Sep: Model preparation to be started._x000a_04-Sep: Receievd input from Dhanraj yesetrday about 4 parameters. To be worked on Evalaution._x000a_03-Sep: Evalaution is in progress except 4 parameter and discussion is progress for the understanding of that remaining parameter. To be discussed with Dhanraj in the evening. _x000a_02-Sep: Evalaution is in progress._x000a_30-Aug: Analysis is in progress._x000a_29-Aug: To be discussed with Madhupriya and awaiting confirmation from Prasanta and Dhanraj._x000a_28-Aug: Discussed with Sushma and analysis is in progress fir provided PPT. To be dcisused with Prasanta to get the PFS CES FTiS migrated list._x000a_27-Aug: As advised by Dhanraj GTP1 comppnent TIS S/W parameter logic to be verified._x000a_26-Aug,22-Aug: Analysis is in progress._x000a_21-Aug: To be discussed with Ashish H, Aishwarya and Atul for the requirement clarifictaion, Analysis is in progress._x000a_20-Aug: Initial analysis is in progress."/>
    <x v="1"/>
    <m/>
    <m/>
    <m/>
    <m/>
    <m/>
    <m/>
    <m/>
    <m/>
    <m/>
    <m/>
    <m/>
    <s v="2024 Sep - CES PFS : 14702743"/>
    <d v="2024-05-15T00:00:00"/>
    <m/>
    <s v="High"/>
    <m/>
    <m/>
    <d v="2024-04-12T22:21:00"/>
    <s v="In Progress"/>
    <s v="Change Request"/>
    <d v="2024-02-29T09:30:00"/>
    <s v="/CSARPL/Aftertreatment/Br001"/>
    <d v="2023-12-21T17:00:38"/>
    <d v="2024-08-20T00:00:00"/>
    <m/>
    <x v="4"/>
    <m/>
    <m/>
    <m/>
    <x v="1"/>
    <m/>
    <m/>
    <m/>
    <m/>
    <s v="PFS"/>
    <s v="CES_PFS (Owned by /C2PL/Aftertreatment)"/>
    <m/>
    <m/>
    <m/>
    <m/>
    <m/>
    <m/>
    <m/>
    <m/>
    <m/>
    <m/>
    <m/>
    <m/>
    <m/>
  </r>
  <r>
    <s v="Balraj S Malage (wf327)"/>
    <s v="Vivek Panigrahi"/>
    <n v="41"/>
    <n v="38"/>
    <n v="-3"/>
    <m/>
    <s v="CES CSAR 01.24.12.00 - 12962338"/>
    <m/>
    <x v="95"/>
    <m/>
    <s v="CSAR SyncUp :- DTR replacement for AftDiesPartFiltDltPrRatDiag"/>
    <x v="0"/>
    <m/>
    <m/>
    <s v="18-Sep: Merge request approval is in progress. To be resubmitted the DCR today._x000a_16-Sep: Awaiting component branch merge request._x000a_13-Sep: L2 review is completed. Checkin to be planned today._x000a_11-Sep,10-Sep: Sent for L2 review to Dhanraj._x000a_09-Sep: Peer+CCB review is completed, working on review comments. To be sent for L2 review today._x000a_06-Sep: Peer+CCB is planned today._x000a_05-Sep: Test vector updation is completed. PPT updation and Req mapping is in progress. Peer +CCB is planned tommorow._x000a_04-Sep: Migration is completed. Test vector updation is in progress._x000a_03-Sep: MA is completed. Polyspace is in progress._x000a_02-Sep: Received ARXML and To be worked on model migration._x000a_30-Aug,29-Aug,28-Aug,27-Aug: Sent a request for ARXML generation to Madhupriya."/>
    <x v="3"/>
    <m/>
    <m/>
    <m/>
    <m/>
    <m/>
    <m/>
    <m/>
    <m/>
    <m/>
    <m/>
    <m/>
    <s v="2024 Sep - CES PFS : 14702743"/>
    <m/>
    <m/>
    <s v="High"/>
    <m/>
    <m/>
    <s v="27-08-2024 02:02:22"/>
    <s v="In Progress"/>
    <m/>
    <d v="2024-08-31T10:30:00"/>
    <m/>
    <m/>
    <d v="2024-08-27T00:00:00"/>
    <m/>
    <x v="41"/>
    <m/>
    <m/>
    <m/>
    <x v="2"/>
    <d v="2024-09-18T00:00:00"/>
    <d v="2024-09-18T00:00:00"/>
    <m/>
    <m/>
    <s v="PFS"/>
    <s v="CES_PFS (Owned by /C2PL/Aftertreatment)"/>
    <m/>
    <m/>
    <m/>
    <m/>
    <m/>
    <m/>
    <m/>
    <m/>
    <m/>
    <m/>
    <m/>
    <m/>
    <m/>
  </r>
  <r>
    <s v="vitthal shinde (xy599)"/>
    <s v="Vivek Panigrahi"/>
    <m/>
    <n v="17"/>
    <n v="17"/>
    <m/>
    <s v="CES CSAR 01.24.12.00 - 12962338"/>
    <s v="CES CSAR 01.24.12.00 - 12962338"/>
    <x v="96"/>
    <m/>
    <s v="CSAR SyncUp :- DTR replacement for AftDiesOxidCatInsufXthmDiag"/>
    <x v="1"/>
    <m/>
    <m/>
    <s v="26-Aug: L2 review is completed. DCR is submitted in Integrity._x000a_22-Aug,21-Aug,20-Aug: Awaiting L2 feedback from Dhanraj._x000a_16-Aug: CCB review is completed. review comments are fixed and to be verified with reviewer. To be sent for L2 review to Dhanraj._x000a_14-Aug: Peer review is completed and review comments are fixed. To be verified with Atul and CCB is planned for today._x000a_13-Aug: Interface sheet updation is completed. SRS updation is completed. Peer review is planned today._x000a_12-Aug: To be discussed with Ashish and proceed further after getting error details._x000a_09-Aug: Initial analysis is in progress."/>
    <x v="0"/>
    <m/>
    <m/>
    <m/>
    <m/>
    <m/>
    <m/>
    <m/>
    <m/>
    <m/>
    <m/>
    <m/>
    <s v="2024 Aug - CES PFS : 14503516"/>
    <m/>
    <m/>
    <s v="High"/>
    <m/>
    <d v="2024-08-08T00:00:00"/>
    <s v="23-08-2024 22:56:54"/>
    <s v="In Progress"/>
    <m/>
    <d v="2024-08-31T10:30:00"/>
    <m/>
    <m/>
    <m/>
    <m/>
    <x v="44"/>
    <m/>
    <m/>
    <m/>
    <x v="14"/>
    <d v="2024-08-16T00:00:00"/>
    <d v="2024-08-23T00:00:00"/>
    <m/>
    <m/>
    <s v="PFS"/>
    <s v="CES_PFS (Owned by /C2PL/Aftertreatment)"/>
    <m/>
    <m/>
    <m/>
    <m/>
    <m/>
    <m/>
    <m/>
    <m/>
    <m/>
    <m/>
    <m/>
    <m/>
    <m/>
  </r>
  <r>
    <s v="vitthal shinde (xy599)"/>
    <s v="Vivek Panigrahi"/>
    <n v="24"/>
    <n v="27"/>
    <n v="3"/>
    <m/>
    <s v="CES CSAR 01.24.12.00 - 12962338"/>
    <m/>
    <x v="96"/>
    <m/>
    <s v="CSAR SyncUp :- DTR replacement for AftDiesOxidCatInsufXthmDiag"/>
    <x v="0"/>
    <m/>
    <m/>
    <s v="12-Sep,11-Sep,10-Sep,09-Sep: Peer+CCB review is completed. Sent for L2 review to Dhnaraj._x000a_06-Sep: Due to reviewr not available Peer+CCB is planned today._x000a_05-Sep: V&amp;V execution is completed. PPT updation is in progress. Peer+CCB is planned today._x000a_04-Sep: V&amp;V execution is in progress . Facing issue on regression._x000a_03-Sep: Test vector updation is completed. MIL set up is in progress facingin issue taking help from Ashitosh._x000a_02-Sep: Polyspace is completed. Req. mapping and test vector updation is in progress._x000a_30-Aug: Working polyspace._x000a_29-Aug: Received ARXML from Madhupiya. To be worked on model changes._x000a_28-Aug,27-Aug,26-Aug: To be sent for ARXML to Madhupriya."/>
    <x v="3"/>
    <m/>
    <m/>
    <m/>
    <m/>
    <m/>
    <m/>
    <m/>
    <m/>
    <m/>
    <m/>
    <m/>
    <m/>
    <m/>
    <m/>
    <m/>
    <m/>
    <m/>
    <m/>
    <m/>
    <m/>
    <m/>
    <m/>
    <m/>
    <d v="2024-08-26T00:00:00"/>
    <m/>
    <x v="45"/>
    <m/>
    <m/>
    <m/>
    <x v="1"/>
    <d v="2024-09-12T00:00:00"/>
    <m/>
    <m/>
    <m/>
    <s v="PFS"/>
    <m/>
    <m/>
    <m/>
    <m/>
    <m/>
    <m/>
    <m/>
    <m/>
    <m/>
    <m/>
    <m/>
    <m/>
    <m/>
    <m/>
  </r>
  <r>
    <s v="sumitkumar patil (wf330)"/>
    <s v="Vivek Panigrahi"/>
    <n v="38"/>
    <n v="41"/>
    <n v="3"/>
    <m/>
    <s v="CES CSAR 01.24.12.00 - 12962338"/>
    <s v="CES CSAR 01.24.12.00 - 12962338"/>
    <x v="97"/>
    <m/>
    <s v="CSAR SyncUp :- DTR replacement for AftDiesOxidCatNonMthnHCEffDiag"/>
    <x v="1"/>
    <m/>
    <m/>
    <s v="closed"/>
    <x v="0"/>
    <m/>
    <m/>
    <m/>
    <m/>
    <m/>
    <m/>
    <m/>
    <m/>
    <m/>
    <m/>
    <m/>
    <s v="2024 Aug - CES PFS : 14503516"/>
    <m/>
    <m/>
    <s v="Medium"/>
    <m/>
    <d v="2024-08-08T00:00:00"/>
    <d v="2024-08-26T18:52:23"/>
    <s v="In Progress"/>
    <s v="Change Request"/>
    <d v="2024-08-31T10:30:00"/>
    <s v="/CSARPL/Aftertreatment/Br001"/>
    <d v="2024-08-09T11:05:23"/>
    <d v="2024-08-27T00:00:00"/>
    <m/>
    <x v="46"/>
    <m/>
    <m/>
    <m/>
    <x v="15"/>
    <d v="2024-08-22T00:00:00"/>
    <d v="2024-08-24T00:00:00"/>
    <m/>
    <m/>
    <s v="PFS"/>
    <s v="CES_PFS (Owned by /C2PL/Aftertreatment)"/>
    <m/>
    <m/>
    <m/>
    <m/>
    <m/>
    <m/>
    <m/>
    <m/>
    <m/>
    <m/>
    <m/>
    <m/>
    <m/>
  </r>
  <r>
    <s v="sumitkumar patil (wf330)"/>
    <s v="Vivek Panigrahi"/>
    <n v="45"/>
    <n v="41"/>
    <n v="-4"/>
    <m/>
    <s v="CES CSAR 01.24.12.00 - 12962338"/>
    <m/>
    <x v="97"/>
    <m/>
    <s v="CSAR SyncUp :- DTR replacement for AftDiesOxidCatNonMthnHCEffDiag"/>
    <x v="0"/>
    <m/>
    <m/>
    <s v="18-Sep: DCR is resubmitted._x000a_16-Sep: L2 review is completed. Checkin is progress. DCR to be closed today._x000a_13-Sep: L2 review comments are fixed to be sent for verification today._x000a_12-Sep: Received L2 feedback working on it._x000a_11-Sep,10-Sep,09-Sep: Awaiting L2 feedback._x000a_06-Sep: Sent for L2 review to Dhanraj._x000a_05-Sep: Peer+CCB review is completed, working on review comments. To be sent for L2 review today to Dhanraj_x000a_04-Sep: Peer +CCB planned for Migration and V&amp;V._x000a_02-Sep: SIL is completed. Working on APp Guide and PPT updation. Peer review is planned tomorrow._x000a_30-Aug: MIL is completed SIL is in progress._x000a_29-Aug: Polyspace is completed. Migration is completed. Test vector updation is in progress. To be worked on MIL execution to be started._x000a_28-Aug:Model Changes, MA and Code generation is completed. Polyspace is in progress._x000a_27-Aug: Sent request for ARXML yesterday and received today. Model changes to be started."/>
    <x v="0"/>
    <m/>
    <m/>
    <m/>
    <m/>
    <m/>
    <m/>
    <m/>
    <m/>
    <m/>
    <m/>
    <m/>
    <s v="2024 Sep - CES PFS : 14702743"/>
    <m/>
    <m/>
    <s v="Medium"/>
    <m/>
    <m/>
    <d v="2024-08-26T18:52:23"/>
    <s v="In Progress"/>
    <s v="Change Request"/>
    <d v="2024-08-31T10:30:00"/>
    <s v="/CSARPL/Aftertreatment/Br001"/>
    <d v="2024-08-09T11:05:23"/>
    <d v="2024-08-27T00:00:00"/>
    <m/>
    <x v="46"/>
    <m/>
    <m/>
    <m/>
    <x v="2"/>
    <d v="2024-09-06T00:00:00"/>
    <d v="2024-09-18T00:00:00"/>
    <m/>
    <m/>
    <s v="PFS"/>
    <s v="CES_PFS (Owned by /C2PL/Aftertreatment)"/>
    <m/>
    <m/>
    <m/>
    <m/>
    <m/>
    <m/>
    <m/>
    <m/>
    <m/>
    <m/>
    <m/>
    <m/>
    <m/>
  </r>
  <r>
    <s v="Yogesh Yenorkar (vz001)"/>
    <s v="Rachna Pawale"/>
    <n v="30"/>
    <n v="20"/>
    <n v="-10"/>
    <m/>
    <s v="CES CSAR 01.24.12.00 - 12962338"/>
    <m/>
    <x v="98"/>
    <m/>
    <s v="CSAR SyncUp :- DTR replacement for AftDiesOxidCatPresDiag"/>
    <x v="1"/>
    <m/>
    <m/>
    <s v="09 Sep : L2 feedback to dicussed today with Dhanraj_x000a_05-09 : Peer + ccb review is planned today"/>
    <x v="0"/>
    <m/>
    <m/>
    <m/>
    <m/>
    <m/>
    <m/>
    <m/>
    <m/>
    <m/>
    <m/>
    <m/>
    <s v="2024 Sep - CES PFS : 14702743"/>
    <m/>
    <m/>
    <s v="Medium"/>
    <m/>
    <m/>
    <m/>
    <s v="Assess"/>
    <s v="Change Request"/>
    <d v="2024-08-31T10:30:00"/>
    <s v="/CSARPL/Aftertreatment/Br001"/>
    <d v="2024-08-09T15:06:35"/>
    <m/>
    <m/>
    <x v="22"/>
    <m/>
    <m/>
    <m/>
    <x v="16"/>
    <m/>
    <m/>
    <m/>
    <m/>
    <s v="PFS"/>
    <s v="CES_PFS (Owned by /C2PL/Aftertreatment)"/>
    <m/>
    <m/>
    <m/>
    <m/>
    <m/>
    <m/>
    <m/>
    <m/>
    <m/>
    <m/>
    <m/>
    <m/>
    <m/>
  </r>
  <r>
    <s v="Yogesh Yenorkar (vz001)"/>
    <s v="Rachna Pawale"/>
    <m/>
    <n v="20"/>
    <n v="20"/>
    <m/>
    <s v="CES CSAR 01.24.12.00"/>
    <m/>
    <x v="98"/>
    <m/>
    <s v="CSAR SyncUp :- DTR replacement for AftDiesOxidCatPresDiag"/>
    <x v="0"/>
    <m/>
    <m/>
    <s v="18 Sep : Interface sheet needs to be reworked_x000a_16 Sep : 13 Sep : ARXML awaited"/>
    <x v="3"/>
    <m/>
    <m/>
    <m/>
    <m/>
    <m/>
    <m/>
    <m/>
    <m/>
    <m/>
    <m/>
    <m/>
    <s v="2024 Sep - CES PFS : 14702743"/>
    <m/>
    <m/>
    <s v="Medium"/>
    <m/>
    <m/>
    <m/>
    <s v="Assess"/>
    <s v="Change Request"/>
    <d v="2024-08-31T10:30:00"/>
    <s v="/CSARPL/Aftertreatment/Br001"/>
    <d v="2024-08-09T15:06:35"/>
    <m/>
    <m/>
    <x v="47"/>
    <m/>
    <m/>
    <m/>
    <x v="1"/>
    <m/>
    <m/>
    <m/>
    <m/>
    <s v="PFS"/>
    <s v="CES_PFS (Owned by "/>
    <m/>
    <m/>
    <m/>
    <m/>
    <m/>
    <m/>
    <m/>
    <m/>
    <m/>
    <m/>
    <m/>
    <m/>
    <m/>
  </r>
  <r>
    <s v="Ashitosh Nilkanth (uh953)"/>
    <s v="Vivek Panigrahi"/>
    <n v="0"/>
    <n v="173"/>
    <n v="173"/>
    <m/>
    <s v="CES CSAR 01.24.12.00 - 12962338"/>
    <m/>
    <x v="92"/>
    <m/>
    <s v="Ineffective dosing time being reset by oper mode permit (regen ID)"/>
    <x v="0"/>
    <m/>
    <m/>
    <m/>
    <x v="2"/>
    <d v="2024-09-27T00:00:00"/>
    <m/>
    <m/>
    <m/>
    <m/>
    <m/>
    <m/>
    <m/>
    <m/>
    <m/>
    <s v="CES_PFS (Owned by /C2PL/Aftertreatment)"/>
    <m/>
    <m/>
    <m/>
    <m/>
    <m/>
    <m/>
    <m/>
    <m/>
    <m/>
    <m/>
    <m/>
    <m/>
    <m/>
    <d v="2024-10-03T00:00:00"/>
    <x v="48"/>
    <m/>
    <m/>
    <m/>
    <x v="1"/>
    <m/>
    <m/>
    <m/>
    <m/>
    <s v="PFS"/>
    <m/>
    <m/>
    <m/>
    <m/>
    <m/>
    <m/>
    <m/>
    <m/>
    <m/>
    <m/>
    <m/>
    <m/>
    <m/>
    <m/>
  </r>
  <r>
    <s v="Balraj S Malage (wf327)"/>
    <s v="Vivek Panigrahi"/>
    <n v="0"/>
    <n v="94"/>
    <n v="94"/>
    <m/>
    <s v="CES CSAR 01.24.12.00 - 12962338"/>
    <m/>
    <x v="8"/>
    <m/>
    <s v="MCDC Coverage improvements for AftDiesPartFiltDltPrRatDiag component"/>
    <x v="0"/>
    <m/>
    <m/>
    <m/>
    <x v="2"/>
    <d v="2024-09-25T00:00:00"/>
    <m/>
    <m/>
    <m/>
    <m/>
    <m/>
    <m/>
    <m/>
    <m/>
    <m/>
    <s v="CES_PFS (Owned by /C2PL/Aftertreatment)"/>
    <m/>
    <m/>
    <m/>
    <m/>
    <m/>
    <m/>
    <m/>
    <m/>
    <m/>
    <m/>
    <m/>
    <m/>
    <m/>
    <d v="2024-09-26T00:00:00"/>
    <x v="49"/>
    <m/>
    <m/>
    <m/>
    <x v="1"/>
    <m/>
    <m/>
    <m/>
    <m/>
    <s v="PFS"/>
    <m/>
    <m/>
    <m/>
    <m/>
    <m/>
    <m/>
    <m/>
    <m/>
    <m/>
    <m/>
    <m/>
    <m/>
    <m/>
    <m/>
  </r>
  <r>
    <s v="Balraj S Malage (wf327)"/>
    <s v="Vivek Panigrahi"/>
    <n v="0"/>
    <n v="64"/>
    <n v="64"/>
    <m/>
    <s v="CES CSAR 01.24.12.00 - 12962338"/>
    <m/>
    <x v="7"/>
    <m/>
    <s v="MY27 ALT MIL Strategy: NMHC"/>
    <x v="0"/>
    <m/>
    <m/>
    <m/>
    <x v="2"/>
    <d v="2024-09-26T00:00:00"/>
    <m/>
    <m/>
    <m/>
    <m/>
    <m/>
    <m/>
    <m/>
    <m/>
    <m/>
    <s v="CES_PFS (Owned by /C2PL/Aftertreatment)"/>
    <m/>
    <m/>
    <m/>
    <m/>
    <m/>
    <m/>
    <m/>
    <m/>
    <m/>
    <m/>
    <m/>
    <m/>
    <m/>
    <d v="2024-09-27T00:00:00"/>
    <x v="20"/>
    <m/>
    <m/>
    <m/>
    <x v="1"/>
    <m/>
    <m/>
    <m/>
    <m/>
    <s v="PFS"/>
    <m/>
    <m/>
    <m/>
    <m/>
    <m/>
    <m/>
    <m/>
    <m/>
    <m/>
    <m/>
    <m/>
    <m/>
    <m/>
    <m/>
  </r>
  <r>
    <s v="Haridas Raut (vy322)"/>
    <s v="Vivek Panigrahi"/>
    <m/>
    <n v="63"/>
    <n v="63"/>
    <m/>
    <s v="CES CSAR 01.24.12.00 - 12962338"/>
    <m/>
    <x v="25"/>
    <m/>
    <s v="CSAR Sync - Up: Add the switch to enable the setting  INHIBIT_SWITCH_TIMED_REGEN_ERR can choose the previous logic"/>
    <x v="0"/>
    <s v="Transparency check complete"/>
    <m/>
    <s v="Effort tracking on DCR#13151029"/>
    <x v="3"/>
    <m/>
    <s v="2024 Sep - CES PFS : 14702743"/>
    <d v="2024-02-14T20:03:46"/>
    <m/>
    <m/>
    <m/>
    <m/>
    <d v="2024-09-03T00:00:00"/>
    <d v="2024-09-03T00:00:00"/>
    <d v="2024-09-03T00:00:00"/>
    <m/>
    <m/>
    <m/>
    <s v="CES_PFS (Owned by /C2PL/Aftertreatment)"/>
    <m/>
    <m/>
    <m/>
    <m/>
    <m/>
    <m/>
    <m/>
    <m/>
    <m/>
    <d v="2024-08-30T00:00:00"/>
    <m/>
    <x v="8"/>
    <m/>
    <m/>
    <m/>
    <x v="1"/>
    <d v="2024-09-05T00:00:00"/>
    <d v="2024-09-05T00:00:00"/>
    <m/>
    <m/>
    <s v="PFS"/>
    <m/>
    <m/>
    <m/>
    <m/>
    <m/>
    <m/>
    <m/>
    <m/>
    <m/>
    <m/>
    <m/>
    <m/>
    <m/>
    <m/>
  </r>
  <r>
    <s v="Haridas Raut (vy322)"/>
    <s v="Vivek Panigrahi"/>
    <m/>
    <n v="63"/>
    <n v="63"/>
    <m/>
    <s v="CES CSAR 01.24.12.00 - 12962338"/>
    <m/>
    <x v="33"/>
    <m/>
    <s v="ISMs need to be implement for  AftLampDrvOutIntf component"/>
    <x v="0"/>
    <m/>
    <m/>
    <s v="Effort tracking on DCR#13151029"/>
    <x v="3"/>
    <m/>
    <s v="2024 Sep - CES PFS : 14702743"/>
    <d v="2024-03-27T18:11:42"/>
    <m/>
    <m/>
    <m/>
    <m/>
    <d v="2024-09-03T00:00:00"/>
    <d v="2024-09-03T00:00:00"/>
    <d v="2024-09-03T00:00:00"/>
    <m/>
    <m/>
    <m/>
    <s v="CES_PFS (Owned by /C2PL/Aftertreatment)"/>
    <m/>
    <m/>
    <m/>
    <m/>
    <m/>
    <m/>
    <m/>
    <m/>
    <m/>
    <d v="2024-08-30T00:00:00"/>
    <m/>
    <x v="8"/>
    <m/>
    <m/>
    <m/>
    <x v="1"/>
    <m/>
    <m/>
    <m/>
    <m/>
    <s v="PFS"/>
    <m/>
    <m/>
    <m/>
    <m/>
    <m/>
    <m/>
    <m/>
    <m/>
    <m/>
    <m/>
    <m/>
    <m/>
    <m/>
    <m/>
  </r>
  <r>
    <s v="Haridas Raut (vy322)"/>
    <s v="Vivek Panigrahi"/>
    <n v="0"/>
    <n v="114"/>
    <n v="114"/>
    <m/>
    <s v="CES CSAR 01.24.12.00 - 12962338"/>
    <m/>
    <x v="38"/>
    <m/>
    <s v="Legend Gold VECU/PACCAR: SPN 523386 interface (CES)"/>
    <x v="0"/>
    <s v="7/15/2024 Check in Required."/>
    <m/>
    <s v="Yet to start"/>
    <x v="2"/>
    <m/>
    <s v="2024 Sep - CES PFS : 14702743"/>
    <d v="2024-04-12T17:25:05"/>
    <m/>
    <m/>
    <m/>
    <m/>
    <m/>
    <m/>
    <m/>
    <m/>
    <m/>
    <m/>
    <s v="CES_PFS (Owned by /C2PL/Aftertreatment)"/>
    <m/>
    <m/>
    <m/>
    <m/>
    <m/>
    <m/>
    <m/>
    <m/>
    <m/>
    <m/>
    <d v="2024-10-03T00:00:00"/>
    <x v="50"/>
    <m/>
    <m/>
    <m/>
    <x v="1"/>
    <m/>
    <m/>
    <m/>
    <m/>
    <s v="PFS"/>
    <m/>
    <m/>
    <m/>
    <m/>
    <m/>
    <m/>
    <m/>
    <m/>
    <m/>
    <m/>
    <m/>
    <m/>
    <m/>
    <m/>
  </r>
  <r>
    <s v="Shubham U Pansare (so150)"/>
    <s v="Vivek Panigrahi"/>
    <n v="0"/>
    <n v="192"/>
    <n v="192"/>
    <m/>
    <s v="CES CSAR 01.24.12.00 - 12962338"/>
    <m/>
    <x v="94"/>
    <m/>
    <s v="CSAR FTIS component creation - AFT Particulate Filter Regeneration (Batch 2)"/>
    <x v="0"/>
    <m/>
    <m/>
    <m/>
    <x v="2"/>
    <m/>
    <m/>
    <m/>
    <m/>
    <m/>
    <m/>
    <m/>
    <m/>
    <m/>
    <m/>
    <m/>
    <s v="2024 Sep - CES PFS : 14702743"/>
    <d v="2024-05-15T00:00:00"/>
    <m/>
    <s v="High"/>
    <m/>
    <m/>
    <d v="2024-04-12T22:21:00"/>
    <s v="In Progress"/>
    <s v="Change Request"/>
    <d v="2024-02-29T09:30:00"/>
    <s v="/CSARPL/Aftertreatment/Br001"/>
    <d v="2023-12-21T17:00:38"/>
    <m/>
    <d v="2024-10-04T00:00:00"/>
    <x v="18"/>
    <m/>
    <m/>
    <m/>
    <x v="1"/>
    <m/>
    <m/>
    <m/>
    <m/>
    <s v="PFS"/>
    <s v="CES_PFS (Owned by /C2PL/Aftertreatment)"/>
    <m/>
    <m/>
    <m/>
    <m/>
    <m/>
    <m/>
    <m/>
    <m/>
    <m/>
    <m/>
    <m/>
    <m/>
    <m/>
  </r>
  <r>
    <s v="sumitkumar patil (wf330)"/>
    <s v="Vivek Panigrahi"/>
    <n v="0"/>
    <n v="45"/>
    <n v="45"/>
    <m/>
    <s v="CES CSAR 01.24.12.00 - 12962338"/>
    <m/>
    <x v="50"/>
    <m/>
    <s v="DCR to Implement DeltaP and OutP Parameters in CSAR to collect capability and IUPR data"/>
    <x v="0"/>
    <m/>
    <m/>
    <s v="Yet to start"/>
    <x v="2"/>
    <m/>
    <m/>
    <m/>
    <m/>
    <m/>
    <m/>
    <m/>
    <m/>
    <m/>
    <m/>
    <m/>
    <s v="2024 Sep - CES PFS : 14702743"/>
    <m/>
    <m/>
    <s v="High"/>
    <m/>
    <m/>
    <m/>
    <s v="Assess"/>
    <s v="Change Request"/>
    <d v="2024-06-12T09:30:00"/>
    <s v="/CSARPL/Aftertreatment/Br001"/>
    <d v="2024-05-28T19:09:02"/>
    <m/>
    <d v="2024-10-21T00:00:00"/>
    <x v="51"/>
    <m/>
    <m/>
    <m/>
    <x v="1"/>
    <m/>
    <m/>
    <m/>
    <m/>
    <s v="PFS"/>
    <s v="CES_PFS (Owned by /C2PL/Aftertreatment)"/>
    <m/>
    <m/>
    <m/>
    <m/>
    <m/>
    <m/>
    <m/>
    <m/>
    <m/>
    <m/>
    <m/>
    <m/>
    <m/>
  </r>
  <r>
    <s v="sumitkumar patil (wf330)"/>
    <s v="Vivek Panigrahi"/>
    <n v="0"/>
    <n v="45"/>
    <n v="45"/>
    <m/>
    <s v="CES CSAR 01.24.12.00 - 12962338"/>
    <m/>
    <x v="79"/>
    <m/>
    <s v="FIM interface update required in AftDPFDltPrKeyOnOffRatDiag"/>
    <x v="0"/>
    <m/>
    <m/>
    <s v="16-09 : Deferred for priorirty DCR_14655991"/>
    <x v="5"/>
    <m/>
    <m/>
    <m/>
    <m/>
    <m/>
    <m/>
    <m/>
    <m/>
    <m/>
    <m/>
    <m/>
    <s v="2024 Sep - CES PFS : 14702743"/>
    <m/>
    <m/>
    <s v="High"/>
    <m/>
    <m/>
    <m/>
    <s v="Assess"/>
    <s v="Change Request"/>
    <d v="2024-10-31T09:30:00"/>
    <s v="/CSARPL/Aftertreatment/Br001"/>
    <d v="2024-07-25T00:14:40"/>
    <m/>
    <d v="2024-10-21T00:00:00"/>
    <x v="51"/>
    <m/>
    <m/>
    <m/>
    <x v="1"/>
    <m/>
    <m/>
    <m/>
    <m/>
    <s v="PFS"/>
    <s v="CES_PFS (Owned by /C2PL/Aftertreatment)"/>
    <m/>
    <m/>
    <m/>
    <m/>
    <m/>
    <m/>
    <m/>
    <m/>
    <m/>
    <m/>
    <m/>
    <m/>
    <m/>
  </r>
  <r>
    <s v="Harshada Borude (ur897)"/>
    <s v="Vivek Panigrahi"/>
    <n v="0"/>
    <n v="40"/>
    <n v="40"/>
    <m/>
    <s v="CES CSAR 01.24.12.00 - 12962338"/>
    <m/>
    <x v="84"/>
    <m/>
    <s v="CSAR SyncUp :- DTR replacement for AftPartMatSenCRegenDiag."/>
    <x v="0"/>
    <m/>
    <m/>
    <s v="18-Sep: Awaiting ARXML from Madhupriya._x000a_13-Sep: Sent for authoring. "/>
    <x v="4"/>
    <d v="2024-09-12T00:00:00"/>
    <m/>
    <m/>
    <m/>
    <m/>
    <m/>
    <m/>
    <m/>
    <m/>
    <m/>
    <s v="CES_PFS (Owned by /C2PL/Aftertreatment)"/>
    <m/>
    <m/>
    <m/>
    <m/>
    <m/>
    <m/>
    <m/>
    <m/>
    <m/>
    <m/>
    <m/>
    <m/>
    <m/>
    <d v="2024-09-13T00:00:00"/>
    <x v="25"/>
    <m/>
    <m/>
    <m/>
    <x v="1"/>
    <m/>
    <m/>
    <m/>
    <m/>
    <s v="PFS"/>
    <m/>
    <m/>
    <m/>
    <m/>
    <m/>
    <m/>
    <m/>
    <m/>
    <m/>
    <m/>
    <m/>
    <m/>
    <m/>
    <m/>
  </r>
  <r>
    <s v="jyoti dongre (vu400)"/>
    <s v="Vivek Panigrahi"/>
    <n v="0"/>
    <n v="110"/>
    <n v="58"/>
    <m/>
    <s v="CES CSAR 01.24.12.00 - 12962338"/>
    <m/>
    <x v="26"/>
    <m/>
    <s v="CSAR Sync - Up: OEM1 - Updated PATM Triggering for Soot Based Cleaning"/>
    <x v="0"/>
    <s v="Transparency check complete"/>
    <m/>
    <s v="Effor tracking on DCR#12541182."/>
    <x v="3"/>
    <d v="2024-09-12T00:00:00"/>
    <m/>
    <m/>
    <m/>
    <m/>
    <d v="2024-08-23T00:00:00"/>
    <d v="2024-08-23T00:00:00"/>
    <m/>
    <m/>
    <m/>
    <s v="CES_PFS (Owned by /C2PL/Aftertreatment)"/>
    <m/>
    <m/>
    <m/>
    <m/>
    <m/>
    <m/>
    <m/>
    <m/>
    <m/>
    <m/>
    <m/>
    <m/>
    <m/>
    <d v="2024-09-12T00:00:00"/>
    <x v="18"/>
    <m/>
    <m/>
    <m/>
    <x v="1"/>
    <s v="NA"/>
    <m/>
    <m/>
    <m/>
    <s v="PFS"/>
    <m/>
    <m/>
    <m/>
    <m/>
    <m/>
    <m/>
    <m/>
    <m/>
    <m/>
    <m/>
    <m/>
    <m/>
    <m/>
    <m/>
  </r>
  <r>
    <s v="shrutika shete (ac06r)"/>
    <s v="Vivek Panigrahi"/>
    <n v="0"/>
    <n v="34"/>
    <n v="34"/>
    <m/>
    <m/>
    <m/>
    <x v="48"/>
    <m/>
    <s v="DeltaT harnesses have a Data Type error while Simulating in the Test Manager"/>
    <x v="0"/>
    <s v="Std_Return_Type is an AUTOSAR standard datatype that is provided out from base software layer. Please consult with other taeam using this interface and return and how they have implemented the logic and adapt your logic accordingly.Assign CR back to tr112"/>
    <m/>
    <s v="Yet to start"/>
    <x v="2"/>
    <d v="2024-10-04T00:00:00"/>
    <m/>
    <m/>
    <m/>
    <m/>
    <m/>
    <m/>
    <m/>
    <m/>
    <m/>
    <s v="CES_PFS (Owned by /C2PL/Aftertreatment)"/>
    <m/>
    <m/>
    <m/>
    <m/>
    <m/>
    <m/>
    <m/>
    <m/>
    <m/>
    <m/>
    <m/>
    <m/>
    <m/>
    <d v="2024-10-04T00:00:00"/>
    <x v="38"/>
    <m/>
    <m/>
    <m/>
    <x v="1"/>
    <m/>
    <m/>
    <m/>
    <m/>
    <s v="PFS"/>
    <m/>
    <m/>
    <m/>
    <m/>
    <m/>
    <m/>
    <m/>
    <m/>
    <m/>
    <m/>
    <m/>
    <m/>
    <m/>
    <m/>
  </r>
  <r>
    <s v="sumitkumar patil (wf330)"/>
    <s v="Vivek Panigrahi"/>
    <n v="0"/>
    <n v="114"/>
    <n v="114"/>
    <m/>
    <s v="CES CSAR 01.24.12.00 - 12962338"/>
    <m/>
    <x v="4"/>
    <m/>
    <s v="TD4288: PFS ALT MIL diagnostic pass/fail counter reset over key cycle"/>
    <x v="0"/>
    <m/>
    <m/>
    <s v="Yet to Start"/>
    <x v="2"/>
    <d v="2024-10-03T00:00:00"/>
    <m/>
    <m/>
    <m/>
    <m/>
    <m/>
    <m/>
    <m/>
    <m/>
    <m/>
    <s v="CES_PFS (Owned by /C2PL/Aftertreatment)"/>
    <m/>
    <m/>
    <m/>
    <m/>
    <m/>
    <m/>
    <m/>
    <m/>
    <m/>
    <m/>
    <m/>
    <m/>
    <m/>
    <d v="2024-10-04T00:00:00"/>
    <x v="15"/>
    <m/>
    <m/>
    <m/>
    <x v="1"/>
    <m/>
    <m/>
    <m/>
    <m/>
    <s v="PFS"/>
    <m/>
    <m/>
    <m/>
    <m/>
    <m/>
    <m/>
    <m/>
    <m/>
    <m/>
    <m/>
    <m/>
    <m/>
    <m/>
    <m/>
  </r>
  <r>
    <s v="sumitkumar patil (wf330)"/>
    <s v="Vivek Panigrahi"/>
    <n v="0"/>
    <n v="114"/>
    <n v="114"/>
    <m/>
    <s v="CES CSAR 01.24.12.00 - 12962338"/>
    <m/>
    <x v="15"/>
    <m/>
    <s v="CSAR SYNC-UP: PFS: MY24 OBD OEM Requested General Strategies: Implement Rapid Response in alternative pass/fail counter strategy"/>
    <x v="0"/>
    <s v="Transparency check complete"/>
    <m/>
    <s v="Yet to start"/>
    <x v="2"/>
    <d v="2024-10-03T00:00:00"/>
    <m/>
    <m/>
    <m/>
    <m/>
    <m/>
    <m/>
    <m/>
    <m/>
    <m/>
    <s v="CES_PFS (Owned by /C2PL/Aftertreatment)"/>
    <m/>
    <m/>
    <m/>
    <m/>
    <m/>
    <m/>
    <m/>
    <m/>
    <m/>
    <m/>
    <m/>
    <m/>
    <m/>
    <d v="2024-10-04T00:00:00"/>
    <x v="15"/>
    <m/>
    <m/>
    <m/>
    <x v="1"/>
    <m/>
    <m/>
    <m/>
    <m/>
    <s v="PFS"/>
    <m/>
    <m/>
    <m/>
    <m/>
    <m/>
    <m/>
    <m/>
    <m/>
    <m/>
    <m/>
    <m/>
    <m/>
    <m/>
    <m/>
  </r>
  <r>
    <s v="sumitkumar patil (wf330)"/>
    <s v="Vivek Panigrahi"/>
    <n v="0"/>
    <n v="45"/>
    <n v="45"/>
    <m/>
    <s v="CES CSAR 01.24.12.00 - 12962338"/>
    <m/>
    <x v="54"/>
    <m/>
    <s v="Update the Tuning Guide for CSAR Programs for DeltaP and OutP Diagnostics"/>
    <x v="0"/>
    <m/>
    <m/>
    <s v="Yet to start"/>
    <x v="2"/>
    <d v="2024-10-09T00:00:00"/>
    <m/>
    <m/>
    <m/>
    <m/>
    <m/>
    <m/>
    <m/>
    <m/>
    <m/>
    <s v="CES_PFS (Owned by /C2PL/Aftertreatment)"/>
    <m/>
    <m/>
    <m/>
    <m/>
    <m/>
    <m/>
    <m/>
    <m/>
    <m/>
    <m/>
    <m/>
    <m/>
    <m/>
    <d v="2024-10-20T00:00:00"/>
    <x v="51"/>
    <m/>
    <m/>
    <m/>
    <x v="1"/>
    <m/>
    <m/>
    <m/>
    <m/>
    <s v="PFS"/>
    <m/>
    <m/>
    <m/>
    <m/>
    <m/>
    <m/>
    <m/>
    <m/>
    <m/>
    <m/>
    <m/>
    <m/>
    <m/>
    <m/>
  </r>
  <r>
    <s v="vitthal shinde (xy599)"/>
    <s v="Vivek Panigrahi"/>
    <n v="0"/>
    <n v="121"/>
    <n v="121"/>
    <m/>
    <s v="CES CSAR 01.24.12.00 - 12962338"/>
    <m/>
    <x v="18"/>
    <m/>
    <s v="Need fix for the issues found in AftSwtIntf component"/>
    <x v="0"/>
    <s v="Transparency check complete"/>
    <m/>
    <s v="Yet to start"/>
    <x v="2"/>
    <d v="2024-09-19T00:00:00"/>
    <m/>
    <m/>
    <m/>
    <m/>
    <m/>
    <m/>
    <m/>
    <m/>
    <m/>
    <s v="CES_PFS (Owned by /C2PL/Aftertreatment)"/>
    <m/>
    <m/>
    <m/>
    <m/>
    <m/>
    <m/>
    <m/>
    <m/>
    <m/>
    <m/>
    <m/>
    <m/>
    <m/>
    <d v="2024-09-23T00:00:00"/>
    <x v="52"/>
    <m/>
    <m/>
    <m/>
    <x v="1"/>
    <m/>
    <m/>
    <m/>
    <m/>
    <s v="PFS"/>
    <m/>
    <m/>
    <m/>
    <m/>
    <m/>
    <m/>
    <m/>
    <m/>
    <m/>
    <m/>
    <m/>
    <m/>
    <m/>
    <m/>
  </r>
  <r>
    <s v="vitthal shinde (xy599)"/>
    <s v="Vivek Panigrahi"/>
    <n v="0"/>
    <n v="121"/>
    <n v="121"/>
    <m/>
    <s v="CES CSAR 01.24.12.00 - 12962338"/>
    <m/>
    <x v="22"/>
    <m/>
    <s v="CSAR Sync - Up: New Setting Strategy Non-mission Regen "/>
    <x v="0"/>
    <s v="Transparency check complete"/>
    <m/>
    <s v="Yet to start"/>
    <x v="2"/>
    <d v="2024-09-19T00:00:00"/>
    <m/>
    <m/>
    <m/>
    <m/>
    <m/>
    <m/>
    <m/>
    <m/>
    <m/>
    <s v="CES_PFS (Owned by /C2PL/Aftertreatment)"/>
    <m/>
    <m/>
    <m/>
    <m/>
    <m/>
    <m/>
    <m/>
    <m/>
    <m/>
    <m/>
    <m/>
    <m/>
    <m/>
    <d v="2024-09-23T00:00:00"/>
    <x v="52"/>
    <m/>
    <m/>
    <m/>
    <x v="1"/>
    <m/>
    <m/>
    <m/>
    <m/>
    <s v="PFS"/>
    <m/>
    <m/>
    <m/>
    <m/>
    <m/>
    <m/>
    <m/>
    <m/>
    <m/>
    <m/>
    <m/>
    <m/>
    <m/>
    <m/>
  </r>
  <r>
    <s v="vitthal shinde (xy599)"/>
    <s v="Vivek Panigrahi"/>
    <n v="0"/>
    <n v="121"/>
    <n v="121"/>
    <m/>
    <s v="CES CSAR 01.24.12.00 - 12962338"/>
    <m/>
    <x v="23"/>
    <m/>
    <s v="CSAR Sync - Up: Regen Inhibit Switch Reset After Key-off/on"/>
    <x v="0"/>
    <s v="Transparency check complete"/>
    <m/>
    <s v="Yet to start"/>
    <x v="2"/>
    <d v="2024-09-19T00:00:00"/>
    <m/>
    <m/>
    <m/>
    <m/>
    <m/>
    <m/>
    <m/>
    <m/>
    <m/>
    <s v="CES_PFS (Owned by /C2PL/Aftertreatment)"/>
    <m/>
    <m/>
    <m/>
    <m/>
    <m/>
    <m/>
    <m/>
    <m/>
    <m/>
    <m/>
    <m/>
    <m/>
    <m/>
    <d v="2024-09-23T00:00:00"/>
    <x v="52"/>
    <m/>
    <m/>
    <m/>
    <x v="1"/>
    <m/>
    <m/>
    <m/>
    <m/>
    <s v="PFS"/>
    <m/>
    <m/>
    <m/>
    <m/>
    <m/>
    <m/>
    <m/>
    <m/>
    <m/>
    <m/>
    <m/>
    <m/>
    <m/>
    <m/>
  </r>
  <r>
    <s v="vitthal shinde (xy599)"/>
    <s v="Vivek Panigrahi"/>
    <n v="0"/>
    <n v="121"/>
    <n v="121"/>
    <m/>
    <s v="CES CSAR 01.24.12.00 - 12962338"/>
    <m/>
    <x v="44"/>
    <m/>
    <s v="Need to update aapguide from AftSwtIntf component"/>
    <x v="0"/>
    <m/>
    <m/>
    <s v="Yet to start"/>
    <x v="2"/>
    <d v="2024-09-19T00:00:00"/>
    <m/>
    <m/>
    <m/>
    <m/>
    <m/>
    <m/>
    <m/>
    <m/>
    <m/>
    <s v="CES_PFS (Owned by /C2PL/Aftertreatment)"/>
    <m/>
    <m/>
    <m/>
    <m/>
    <m/>
    <m/>
    <m/>
    <m/>
    <m/>
    <m/>
    <m/>
    <m/>
    <m/>
    <d v="2024-09-23T00:00:00"/>
    <x v="52"/>
    <m/>
    <m/>
    <m/>
    <x v="17"/>
    <d v="2024-09-06T00:00:00"/>
    <d v="2024-09-06T00:00:00"/>
    <m/>
    <m/>
    <s v="PFS"/>
    <m/>
    <m/>
    <m/>
    <m/>
    <m/>
    <m/>
    <m/>
    <m/>
    <m/>
    <m/>
    <m/>
    <m/>
    <m/>
    <m/>
  </r>
  <r>
    <s v="Tejas T Salunkhe (ur770)"/>
    <s v="Nileema Pailwan"/>
    <n v="0"/>
    <m/>
    <n v="0"/>
    <m/>
    <s v="CES CSAR 01.24.12.00 - 12962338"/>
    <s v="CES CSAR 01.24.12.00 - 12962338"/>
    <x v="99"/>
    <m/>
    <s v="Dual eHTR (4 coils) - Functional diagnostics"/>
    <x v="1"/>
    <m/>
    <m/>
    <s v="22-08 : Evalaution completed"/>
    <x v="0"/>
    <m/>
    <m/>
    <m/>
    <m/>
    <m/>
    <m/>
    <m/>
    <m/>
    <m/>
    <m/>
    <m/>
    <s v="2024 Aug - CES PFS : 14503516"/>
    <m/>
    <m/>
    <m/>
    <m/>
    <d v="2024-07-02T00:00:00"/>
    <m/>
    <m/>
    <m/>
    <m/>
    <m/>
    <m/>
    <m/>
    <m/>
    <x v="53"/>
    <m/>
    <m/>
    <m/>
    <x v="18"/>
    <d v="2024-08-16T00:00:00"/>
    <d v="2024-08-21T00:00:00"/>
    <m/>
    <m/>
    <s v="PFS"/>
    <m/>
    <m/>
    <m/>
    <m/>
    <m/>
    <m/>
    <m/>
    <m/>
    <m/>
    <m/>
    <m/>
    <m/>
    <m/>
    <m/>
  </r>
  <r>
    <s v="Swayangdipta sarkar (wa754)"/>
    <s v="Nileema Pailwan"/>
    <n v="73"/>
    <n v="60"/>
    <n v="-13"/>
    <m/>
    <m/>
    <m/>
    <x v="100"/>
    <m/>
    <s v="SCR eHTR virtual inlet temperature"/>
    <x v="1"/>
    <m/>
    <m/>
    <s v="16-09 : Interface sheet update in progress. SRS review in progress_x000a_13-09, 12-09 : SRS review is planned tomorrow._x000a_11-09 : SRS to be completed today. Inetrface sheet update is on hold._x000a_10-09 : DRB concept is completed, SRS and Interface sheet in progress_x000a_09-09 : 0n hold_x000a_09-09, 06-09, 05-09 : Internal review is planned today_x000a_04-09 : Interface analysis analysis is in progress. Plan for Peer+ccb tomorrow_x000a_03-09 : PPT update in progerss. Plan for Peer+ccb review on 5th Sept_x000a_02-09 : working on evalution. plan for Peer+ccb review on 4th Sep. _x000a_29-08 : Discussion is planned with all required stake holder today._x000a_28-08 : Discussion done with Alex. As per discussion with Alex, we will not get inputs. Discussion to be plan with All required stake holder by today and tomorrow_x000a_26-08 : Discussion to be done with Alex and other stake holders_x000a_23-08 : Evaluation is in progerss"/>
    <x v="3"/>
    <m/>
    <m/>
    <m/>
    <m/>
    <m/>
    <m/>
    <m/>
    <m/>
    <m/>
    <m/>
    <m/>
    <s v="2024 Sep - CES PFS : 14702743"/>
    <m/>
    <m/>
    <m/>
    <m/>
    <m/>
    <m/>
    <m/>
    <m/>
    <m/>
    <m/>
    <m/>
    <d v="2024-08-26T00:00:00"/>
    <d v="2024-08-20T00:00:00"/>
    <x v="54"/>
    <m/>
    <m/>
    <m/>
    <x v="1"/>
    <m/>
    <m/>
    <m/>
    <m/>
    <s v="PFS"/>
    <m/>
    <m/>
    <m/>
    <m/>
    <m/>
    <m/>
    <m/>
    <m/>
    <m/>
    <m/>
    <m/>
    <m/>
    <m/>
    <m/>
  </r>
  <r>
    <s v="Prasad Yesardekar (uh542)"/>
    <s v="Nileema Pailwan"/>
    <m/>
    <n v="210"/>
    <n v="210"/>
    <m/>
    <m/>
    <m/>
    <x v="101"/>
    <m/>
    <s v="DOC eHTR virtual inlet temperature"/>
    <x v="0"/>
    <m/>
    <m/>
    <m/>
    <x v="2"/>
    <m/>
    <m/>
    <m/>
    <m/>
    <m/>
    <m/>
    <m/>
    <m/>
    <m/>
    <m/>
    <m/>
    <s v="2024 Sep - CES PFS : 14702743"/>
    <m/>
    <m/>
    <m/>
    <m/>
    <m/>
    <m/>
    <m/>
    <m/>
    <m/>
    <m/>
    <m/>
    <m/>
    <d v="2024-09-09T00:00:00"/>
    <x v="18"/>
    <m/>
    <m/>
    <m/>
    <x v="1"/>
    <m/>
    <m/>
    <m/>
    <m/>
    <s v="PFS"/>
    <m/>
    <m/>
    <m/>
    <m/>
    <m/>
    <m/>
    <m/>
    <m/>
    <m/>
    <m/>
    <m/>
    <m/>
    <m/>
    <m/>
  </r>
  <r>
    <s v="Harshal Tayade (uq969)"/>
    <s v="Nileema Pailwan"/>
    <n v="8"/>
    <n v="8"/>
    <n v="0"/>
    <m/>
    <s v="CES CSAR 01.24.12.00 - 12962338"/>
    <s v="CES CSAR 01.24.12.00 - 12962338"/>
    <x v="102"/>
    <m/>
    <s v="P Diagram Noise factor Add"/>
    <x v="0"/>
    <m/>
    <m/>
    <s v="04-09, 03-09, 28-08 : Checkin completed, DCR to be closed in integrity_x000a_26-08, 22-08 : Awaiting L2 review"/>
    <x v="0"/>
    <m/>
    <m/>
    <m/>
    <m/>
    <m/>
    <m/>
    <m/>
    <m/>
    <m/>
    <m/>
    <m/>
    <s v="2024 Aug - CES PFS : 14503516"/>
    <m/>
    <m/>
    <m/>
    <m/>
    <d v="2024-07-16T00:00:00"/>
    <m/>
    <m/>
    <m/>
    <m/>
    <m/>
    <m/>
    <m/>
    <m/>
    <x v="0"/>
    <m/>
    <m/>
    <m/>
    <x v="8"/>
    <d v="2024-08-15T00:00:00"/>
    <d v="2024-08-21T00:00:00"/>
    <m/>
    <m/>
    <s v="PFS"/>
    <m/>
    <m/>
    <m/>
    <m/>
    <m/>
    <m/>
    <m/>
    <m/>
    <m/>
    <m/>
    <m/>
    <m/>
    <m/>
    <m/>
  </r>
  <r>
    <s v="iram nazneen (wa667)"/>
    <s v="Nileema Pailwan"/>
    <n v="60.5"/>
    <n v="25"/>
    <n v="-35.5"/>
    <m/>
    <s v="CES CSAR 01.24.12.00 - 12962338"/>
    <m/>
    <x v="103"/>
    <m/>
    <s v="eHTR to have separate target temperatures for deSOx events per location"/>
    <x v="1"/>
    <m/>
    <m/>
    <s v="18-09 : DRB concept is planned today_x000a_13-09 : CCB review is completed and sent for L2 review yesterday_x000a_12-09 : CCB is in progress for SRS_x000a_11-09, 10-09 : CCB is planned today_x000a_09-09 : Peer review is completed. Plan for CCB review today_x000a_06-09 : peer review is in progress. _x000a_05-09, 04-09 : Plan for Peer review today_x000a_03-09 : Schedule a call with Chad, Todd and Alex_x000a_28-08 : Received confirmation from chad. We are proceeding with rest of eval artefacts._x000a_23-08 : Evalaution in progress. Plan for Peer on 29th Sep"/>
    <x v="3"/>
    <m/>
    <m/>
    <m/>
    <m/>
    <m/>
    <m/>
    <m/>
    <m/>
    <m/>
    <m/>
    <m/>
    <s v="2024 Sep - CES PFS : 14702743"/>
    <m/>
    <m/>
    <m/>
    <m/>
    <m/>
    <m/>
    <m/>
    <m/>
    <m/>
    <m/>
    <m/>
    <d v="2024-08-12T00:00:00"/>
    <d v="2024-08-12T00:00:00"/>
    <x v="45"/>
    <m/>
    <m/>
    <m/>
    <x v="1"/>
    <d v="2024-09-12T00:00:00"/>
    <m/>
    <m/>
    <m/>
    <s v="PFS"/>
    <m/>
    <m/>
    <m/>
    <m/>
    <m/>
    <m/>
    <m/>
    <m/>
    <m/>
    <m/>
    <m/>
    <m/>
    <m/>
    <m/>
  </r>
  <r>
    <s v="Prerana Ozarkar (vk686)"/>
    <s v="Nileema Pailwan"/>
    <n v="64"/>
    <n v="60"/>
    <n v="-4"/>
    <m/>
    <s v="CES CSAR 01.24.12.00 - 12962338"/>
    <m/>
    <x v="104"/>
    <m/>
    <s v="AutoHCDesorb recognition and targets"/>
    <x v="1"/>
    <m/>
    <m/>
    <s v="11-09 : CCB review in progress_x000a_10-09 : CCB review is planned today_x000a_09-09 : Eval PPT, Interface sheet and SRS internal review is completed. Plan for CCB review today._x000a_05-09, 04-09 : Peer review to be planned today_x000a_30-08 : Requirements to be captrured for all Proc 1 and proc 2 components in SRS and interface sheet_x000a_23-08 : SRS to be migarted in integrity today. To be continued with V&amp;V from 26th aug. folder path to be shared with Prerana and Iram_x000a_22-08 : Working on V&amp;V from Scratch for Proc2 component and planning to complete. SRS &amp; Interface sheet is completed"/>
    <x v="4"/>
    <m/>
    <m/>
    <m/>
    <m/>
    <m/>
    <m/>
    <m/>
    <m/>
    <m/>
    <m/>
    <m/>
    <s v="2024 Sep - CES PFS : 14702743"/>
    <m/>
    <m/>
    <m/>
    <m/>
    <m/>
    <m/>
    <m/>
    <m/>
    <m/>
    <m/>
    <m/>
    <d v="2024-08-05T00:00:00"/>
    <d v="2024-08-05T00:00:00"/>
    <x v="45"/>
    <m/>
    <m/>
    <m/>
    <x v="1"/>
    <d v="2024-09-12T00:00:00"/>
    <m/>
    <m/>
    <m/>
    <s v="PFS"/>
    <m/>
    <m/>
    <m/>
    <m/>
    <m/>
    <m/>
    <m/>
    <m/>
    <m/>
    <m/>
    <m/>
    <m/>
    <m/>
    <m/>
  </r>
  <r>
    <s v="Prerana Ozarkar (vk686)"/>
    <s v="Nileema Pailwan"/>
    <n v="14"/>
    <n v="16"/>
    <n v="2"/>
    <m/>
    <m/>
    <m/>
    <x v="105"/>
    <m/>
    <s v="SRS creation from scratch and its migration on PTC Integrity for Dual eHTR (4 coils) Processing for OEM "/>
    <x v="2"/>
    <m/>
    <m/>
    <s v="28-08 : SRS is completed. Appguide to be started"/>
    <x v="0"/>
    <m/>
    <m/>
    <m/>
    <m/>
    <m/>
    <m/>
    <m/>
    <m/>
    <m/>
    <m/>
    <m/>
    <s v="2024 Sep - CES PFS : 14702743"/>
    <m/>
    <m/>
    <m/>
    <m/>
    <m/>
    <m/>
    <m/>
    <m/>
    <m/>
    <m/>
    <m/>
    <d v="2024-08-05T00:00:00"/>
    <d v="2024-08-05T00:00:00"/>
    <x v="45"/>
    <m/>
    <m/>
    <m/>
    <x v="6"/>
    <d v="2024-09-09T00:00:00"/>
    <d v="2024-09-09T00:00:00"/>
    <m/>
    <m/>
    <s v="PFS"/>
    <m/>
    <m/>
    <m/>
    <m/>
    <m/>
    <m/>
    <m/>
    <m/>
    <m/>
    <m/>
    <m/>
    <m/>
    <m/>
    <m/>
  </r>
  <r>
    <s v="Prerana Ozarkar (vk686)"/>
    <s v="Nileema Pailwan"/>
    <n v="14"/>
    <n v="16"/>
    <n v="2"/>
    <m/>
    <m/>
    <m/>
    <x v="105"/>
    <m/>
    <s v="SRS creation from scratch and its migration on PTC Integrity for Dual eHTR (4 coils) Processing for OEM "/>
    <x v="0"/>
    <m/>
    <m/>
    <s v="28-08 : SRS is completed. Appguide to be started"/>
    <x v="4"/>
    <m/>
    <m/>
    <m/>
    <m/>
    <m/>
    <m/>
    <m/>
    <m/>
    <m/>
    <m/>
    <m/>
    <s v="2024 Sep - CES PFS : 14702743"/>
    <m/>
    <m/>
    <m/>
    <m/>
    <m/>
    <m/>
    <m/>
    <m/>
    <m/>
    <m/>
    <m/>
    <d v="2024-08-05T00:00:00"/>
    <d v="2024-08-05T00:00:00"/>
    <x v="45"/>
    <m/>
    <m/>
    <m/>
    <x v="1"/>
    <m/>
    <m/>
    <m/>
    <m/>
    <s v="PFS"/>
    <m/>
    <m/>
    <m/>
    <m/>
    <m/>
    <m/>
    <m/>
    <m/>
    <m/>
    <m/>
    <m/>
    <m/>
    <m/>
    <m/>
  </r>
  <r>
    <s v="iram nazneen (wa667)"/>
    <s v="Nileema Pailwan"/>
    <n v="25"/>
    <n v="25"/>
    <n v="0"/>
    <m/>
    <s v="CES CSAR 01.24.12.00 - 12962338"/>
    <m/>
    <x v="106"/>
    <m/>
    <s v="Need fix for the issues found in AftElecHtrProc component"/>
    <x v="1"/>
    <m/>
    <m/>
    <s v="_x000a_18-09 : DRB concept is planned today_x000a_13-09 : CCB review is completed and sent for L2 review yesterday_x000a_12-09 : CCB is in progress for SRS_x000a_11-09, 10-09 : CCB is planned today_x000a_10-09 : CCB is planned today_x000a_09-09 : Peer review is completed. Plan for CCB review today_x000a_06-09 : peer review is in progress. _x000a_05-09, 04-09 : Plan for Peer review today_x000a_03-09 : Schedule a call with Chad, Todd and Alex_x000a_28-08 : Received confirmation from chad. We are proceeding with rest of eval artefacts._x000a_26-08 : Requirements are cleard, working on presentation_x000a_23-08 : Evalaution in progress. Plan for Peer on 29th Sep"/>
    <x v="3"/>
    <m/>
    <m/>
    <m/>
    <m/>
    <m/>
    <m/>
    <m/>
    <m/>
    <m/>
    <m/>
    <m/>
    <s v="2024 Sep - CES PFS : 14702743"/>
    <m/>
    <m/>
    <m/>
    <m/>
    <m/>
    <m/>
    <m/>
    <m/>
    <m/>
    <m/>
    <m/>
    <d v="2024-08-12T00:00:00"/>
    <d v="2024-08-12T00:00:00"/>
    <x v="45"/>
    <m/>
    <m/>
    <m/>
    <x v="1"/>
    <d v="2024-09-12T00:00:00"/>
    <m/>
    <m/>
    <m/>
    <s v="PFS"/>
    <m/>
    <m/>
    <m/>
    <m/>
    <m/>
    <m/>
    <m/>
    <m/>
    <m/>
    <m/>
    <m/>
    <m/>
    <m/>
    <m/>
  </r>
  <r>
    <s v="Prasad Yesardekar (uh542)"/>
    <s v="Nileema Pailwan"/>
    <n v="79.5"/>
    <n v="80"/>
    <n v="0.5"/>
    <m/>
    <m/>
    <m/>
    <x v="101"/>
    <m/>
    <s v="DOC eHTR virtual inlet temperature"/>
    <x v="1"/>
    <m/>
    <m/>
    <s v="13-09 : Interface sheet and SRS is completed, Plan to go for Peer + CCB review_x000a_12-09 : 20 calibration is remaining for update in interface sheet_x000a_11-09 : Interface sheet in progress, Apart from calibration all Tabs are updated.Plan to complete the interface sheet update by today._x000a_10-09 : DRB is compleetd working on inetrface sheet creation and SRS. Global I/O are completed. working on calibration_x000a_09-09 : CCB is completed, wotking on interface sheet_x000a_06-09 : Internal review in progerss. _x000a_04-09 : Interface analysis analysis is in progress. Plan for Peer+ccb tomorrow_x000a_Yet to start"/>
    <x v="3"/>
    <m/>
    <m/>
    <m/>
    <m/>
    <m/>
    <m/>
    <m/>
    <m/>
    <m/>
    <m/>
    <m/>
    <s v="2024 Sep - CES PFS : 14702743"/>
    <m/>
    <m/>
    <m/>
    <m/>
    <m/>
    <m/>
    <m/>
    <m/>
    <m/>
    <m/>
    <m/>
    <d v="2024-09-01T00:00:00"/>
    <d v="2024-09-01T00:00:00"/>
    <x v="54"/>
    <m/>
    <m/>
    <m/>
    <x v="1"/>
    <m/>
    <m/>
    <m/>
    <m/>
    <s v="PFS"/>
    <m/>
    <m/>
    <m/>
    <m/>
    <m/>
    <m/>
    <m/>
    <m/>
    <m/>
    <m/>
    <m/>
    <m/>
    <m/>
    <m/>
  </r>
  <r>
    <s v="Harshal Tayade (uq969)"/>
    <s v="Nileema Pailwan"/>
    <n v="55"/>
    <n v="48"/>
    <n v="-7"/>
    <m/>
    <s v="CES CSAR 01.24.12.00 - 12962338"/>
    <m/>
    <x v="107"/>
    <m/>
    <s v="VNV for Dual eHTR (4 coils) - FMI based diagnostic"/>
    <x v="2"/>
    <m/>
    <m/>
    <s v="09-09 : Migration checkin completed_x000a_06-09 : Design branch needs to merge today for migration_x000a_05-09 : Migration is completed, latest artefacts were puhsed in git_x000a_04-09 : ISM datatype issue, is the roadblocks_x000a_02-09 : Awaiitng L2 review for migration_x000a_29-08 : Peer CCB review is in progress_x000a_28-08 : Plan for Peer review today with Shubham._x000a_26-08 : Model migration in progress. Plan to complete the simlulated model. _x000a_23-08 : awaiitng ARXML to proceed for Migration"/>
    <x v="0"/>
    <m/>
    <m/>
    <m/>
    <m/>
    <m/>
    <m/>
    <m/>
    <m/>
    <m/>
    <m/>
    <m/>
    <s v="2024 Aug - CES PFS : 14503516"/>
    <m/>
    <m/>
    <m/>
    <m/>
    <m/>
    <m/>
    <m/>
    <m/>
    <m/>
    <m/>
    <m/>
    <d v="2024-08-25T00:00:00"/>
    <d v="2024-08-21T00:00:00"/>
    <x v="19"/>
    <m/>
    <m/>
    <m/>
    <x v="6"/>
    <d v="2024-09-09T00:00:00"/>
    <d v="2024-09-09T00:00:00"/>
    <m/>
    <m/>
    <s v="PFS"/>
    <m/>
    <m/>
    <m/>
    <m/>
    <m/>
    <m/>
    <m/>
    <m/>
    <m/>
    <m/>
    <m/>
    <m/>
    <m/>
    <m/>
  </r>
  <r>
    <s v="Harshal Tayade (uq969)"/>
    <s v="Nileema Pailwan"/>
    <n v="55"/>
    <n v="48"/>
    <n v="-7"/>
    <m/>
    <s v="CES CSAR 01.24.12.00 - 12962338"/>
    <s v="CES CSAR 01.24.12.00 - 12962338"/>
    <x v="107"/>
    <m/>
    <s v="VNV for Dual eHTR (4 coils) - FMI based diagnostic"/>
    <x v="0"/>
    <m/>
    <m/>
    <s v="09-09 : Migration checkin completed on 6th Sept. _x000a_06-09 : Design branch needs to merge today for migration_x000a_05-09 : Migration is completed, latest artefacts were puhsed in git_x000a_04-09 : ISM datatype issue, is the roadblocks_x000a_02-09 : Awaiitng L2 review for migration_x000a_29-08 : Peer CCB review is in progress_x000a_28-08 : Plan for Peer review today with Shubham._x000a_26-08 : Model migration in progress. Plan to complete the simlulated model. _x000a_23-08 : awaiitng ARXML to proceed for Migration"/>
    <x v="0"/>
    <m/>
    <m/>
    <m/>
    <m/>
    <m/>
    <m/>
    <m/>
    <m/>
    <m/>
    <m/>
    <m/>
    <s v="2024 Aug - CES PFS : 14503516"/>
    <m/>
    <m/>
    <m/>
    <m/>
    <d v="2024-08-23T00:00:00"/>
    <m/>
    <m/>
    <m/>
    <m/>
    <m/>
    <m/>
    <d v="2024-08-25T00:00:00"/>
    <d v="2024-08-21T00:00:00"/>
    <x v="0"/>
    <m/>
    <m/>
    <m/>
    <x v="8"/>
    <d v="2024-08-30T00:00:00"/>
    <d v="2024-09-05T00:00:00"/>
    <m/>
    <m/>
    <s v="PFS"/>
    <m/>
    <m/>
    <m/>
    <m/>
    <m/>
    <m/>
    <m/>
    <m/>
    <m/>
    <m/>
    <m/>
    <m/>
    <m/>
    <m/>
  </r>
  <r>
    <s v="iram nazneen (wa667)"/>
    <s v="Nileema Pailwan"/>
    <n v="25"/>
    <n v="25"/>
    <n v="0"/>
    <m/>
    <s v="CES CSAR 01.24.12.00 - 12962338"/>
    <m/>
    <x v="108"/>
    <m/>
    <s v="Create logic for ShutdownReached and HCUEnableDeter for DOC heater and SCR heater"/>
    <x v="1"/>
    <m/>
    <m/>
    <s v="18-09 : DRB concept is planned today_x000a_13-09 : CCB review is completed and sent for L2 review yesterday_x000a_12-09 : CCB is in progress for SRS_x000a_10-09 : CCB is planned today_x000a_09-09 : Peer review is completed. Plan for CCB review today_x000a_06-09 : peer review is in progress. _x000a_06-09 : As per confirmation, this requirement  will be applicable only for Proc 1 component. _x000a_04-09 : Dont have calrity. Traying to connect with required stake holder_x000a_03-09 : Schedule a call with Chad, Todd and Alex_x000a_28-08 : Received confirmation from chad. We are proceeding with rest of eval artefacts._x000a_26-08 : To be discuss with Snehal for requirement clarification_x000a_23-08 : Evalaution in progress. Plan for Peer on 29th Sep"/>
    <x v="3"/>
    <m/>
    <m/>
    <m/>
    <m/>
    <m/>
    <m/>
    <m/>
    <m/>
    <m/>
    <m/>
    <m/>
    <s v="2024 Sep - CES PFS : 14702743"/>
    <m/>
    <m/>
    <m/>
    <m/>
    <m/>
    <m/>
    <m/>
    <m/>
    <m/>
    <m/>
    <m/>
    <d v="2024-08-12T00:00:00"/>
    <d v="2024-08-12T00:00:00"/>
    <x v="45"/>
    <m/>
    <m/>
    <m/>
    <x v="1"/>
    <d v="2024-09-12T00:00:00"/>
    <m/>
    <m/>
    <m/>
    <s v="PFS"/>
    <m/>
    <m/>
    <m/>
    <m/>
    <m/>
    <m/>
    <m/>
    <m/>
    <m/>
    <m/>
    <m/>
    <m/>
    <m/>
    <m/>
  </r>
  <r>
    <s v="Harshal Tayade (uq969)"/>
    <s v="Nileema Pailwan"/>
    <n v="20"/>
    <n v="20"/>
    <n v="0"/>
    <m/>
    <s v="CES CSAR 01.24.09.00"/>
    <m/>
    <x v="109"/>
    <m/>
    <s v="Error name change for AftElecHtr2Diag"/>
    <x v="2"/>
    <m/>
    <m/>
    <s v="29-08 : DCR closed_x000a_23-08 : Check-in completed. DCR to be close in integrity_x000a_22-08 : Checkin in progress"/>
    <x v="0"/>
    <m/>
    <m/>
    <m/>
    <m/>
    <m/>
    <m/>
    <m/>
    <m/>
    <m/>
    <m/>
    <m/>
    <s v="2024 Aug - CES PFS : 14503516"/>
    <m/>
    <m/>
    <m/>
    <m/>
    <m/>
    <m/>
    <m/>
    <m/>
    <m/>
    <m/>
    <m/>
    <m/>
    <m/>
    <x v="10"/>
    <m/>
    <m/>
    <m/>
    <x v="19"/>
    <m/>
    <m/>
    <m/>
    <m/>
    <s v="PFS"/>
    <m/>
    <m/>
    <m/>
    <m/>
    <m/>
    <m/>
    <m/>
    <m/>
    <m/>
    <m/>
    <m/>
    <m/>
    <m/>
    <m/>
  </r>
  <r>
    <s v="Harshal Tayade (uq969)"/>
    <s v="Nileema Pailwan"/>
    <n v="30"/>
    <n v="30"/>
    <n v="0"/>
    <m/>
    <s v="CES CSAR 01.24.09.00"/>
    <s v="CES CSAR 01.24.09.00"/>
    <x v="109"/>
    <m/>
    <s v="Error name change for AftElecHtr2Diag"/>
    <x v="0"/>
    <m/>
    <m/>
    <s v="29-08 : DCR closed_x000a_23-08 : Check-in completed. DCR to be close in integrity_x000a_22-08 : Checkin in progress"/>
    <x v="0"/>
    <m/>
    <m/>
    <m/>
    <m/>
    <m/>
    <m/>
    <m/>
    <m/>
    <m/>
    <m/>
    <m/>
    <s v="2024 Aug - CES PFS : 14503516"/>
    <m/>
    <m/>
    <m/>
    <m/>
    <d v="2024-07-16T00:00:00"/>
    <m/>
    <m/>
    <m/>
    <m/>
    <m/>
    <m/>
    <m/>
    <m/>
    <x v="10"/>
    <m/>
    <m/>
    <m/>
    <x v="4"/>
    <d v="2024-08-09T00:00:00"/>
    <d v="2024-08-14T00:00:00"/>
    <m/>
    <m/>
    <s v="PFS"/>
    <m/>
    <m/>
    <m/>
    <m/>
    <m/>
    <m/>
    <m/>
    <m/>
    <m/>
    <m/>
    <m/>
    <m/>
    <m/>
    <m/>
  </r>
  <r>
    <s v="sheetal Vishwakarma (wa663)"/>
    <s v="Nileema Pailwan"/>
    <n v="0"/>
    <n v="45"/>
    <n v="45"/>
    <m/>
    <s v="CES CSAR 01.24.12.00 - 12962338"/>
    <m/>
    <x v="110"/>
    <m/>
    <s v="Heater Related Parameters: Create OBD Capability Parameters for Titanium/Legend "/>
    <x v="1"/>
    <m/>
    <m/>
    <m/>
    <x v="2"/>
    <m/>
    <m/>
    <m/>
    <m/>
    <m/>
    <m/>
    <m/>
    <m/>
    <m/>
    <m/>
    <m/>
    <s v="2024 Sep - CES PFS : 14702743"/>
    <m/>
    <m/>
    <m/>
    <m/>
    <m/>
    <m/>
    <m/>
    <m/>
    <m/>
    <m/>
    <m/>
    <m/>
    <d v="2024-09-13T00:00:00"/>
    <x v="5"/>
    <m/>
    <m/>
    <m/>
    <x v="1"/>
    <m/>
    <m/>
    <m/>
    <m/>
    <s v="PFS"/>
    <m/>
    <m/>
    <m/>
    <m/>
    <m/>
    <m/>
    <m/>
    <m/>
    <m/>
    <m/>
    <m/>
    <m/>
    <m/>
    <m/>
  </r>
  <r>
    <s v="Prerana Ozarkar (vk686)"/>
    <s v="Nileema Pailwan"/>
    <n v="100"/>
    <n v="100"/>
    <n v="0"/>
    <m/>
    <s v="CES CSAR 01.24.12.00 - 12962338"/>
    <m/>
    <x v="111"/>
    <m/>
    <s v="AftElecHtrProc2: eHTR to have separate target temperatures for deSOx events per location"/>
    <x v="0"/>
    <m/>
    <m/>
    <s v="10-09 : Working on test case"/>
    <x v="4"/>
    <m/>
    <m/>
    <m/>
    <m/>
    <m/>
    <m/>
    <m/>
    <m/>
    <m/>
    <m/>
    <m/>
    <s v="2024 Sep - CES PFS : 14702743"/>
    <m/>
    <m/>
    <m/>
    <m/>
    <m/>
    <m/>
    <m/>
    <m/>
    <m/>
    <m/>
    <m/>
    <d v="2024-08-19T00:00:00"/>
    <d v="2024-09-16T00:00:00"/>
    <x v="23"/>
    <m/>
    <m/>
    <m/>
    <x v="1"/>
    <m/>
    <m/>
    <m/>
    <m/>
    <s v="PFS"/>
    <m/>
    <m/>
    <m/>
    <m/>
    <m/>
    <m/>
    <m/>
    <m/>
    <m/>
    <m/>
    <m/>
    <m/>
    <m/>
    <m/>
  </r>
  <r>
    <s v="jayant patil (wl795)"/>
    <s v="Nileema Pailwan"/>
    <n v="24.5"/>
    <n v="20"/>
    <n v="-4.5"/>
    <m/>
    <s v="CES CSAR 01.24.12.00 - 12962338"/>
    <m/>
    <x v="112"/>
    <m/>
    <s v="FIM interface update required in AftDiesOxidCatOutTmptrDiag"/>
    <x v="1"/>
    <m/>
    <m/>
    <s v="18-09 : CCB verification is completed. Plan to send it for l2 review today_x000a_16-09 : Working on CCB review comments_x000a_13-09 : Plan for CCB review today_x000a_12-09, 11-09 : Plan for CCB review tomorrow._x000a_10-09 : continuation entry for today_x000a_09-09 : Plan for Peer review today._x000a_05-09 : Working on artefacts. Plan for Peer review tomorrow_x000a_03-09 : Evaluation in progress"/>
    <x v="3"/>
    <m/>
    <m/>
    <m/>
    <m/>
    <m/>
    <m/>
    <m/>
    <m/>
    <m/>
    <m/>
    <m/>
    <s v="2024 Sep - CES PFS : 14702743"/>
    <m/>
    <m/>
    <m/>
    <m/>
    <m/>
    <m/>
    <m/>
    <m/>
    <m/>
    <m/>
    <m/>
    <d v="2024-09-04T00:00:00"/>
    <d v="2024-09-04T00:00:00"/>
    <x v="27"/>
    <m/>
    <m/>
    <m/>
    <x v="1"/>
    <d v="2024-09-18T00:00:00"/>
    <m/>
    <m/>
    <m/>
    <s v="PFS"/>
    <m/>
    <m/>
    <m/>
    <m/>
    <m/>
    <m/>
    <m/>
    <m/>
    <m/>
    <m/>
    <m/>
    <m/>
    <m/>
    <m/>
  </r>
  <r>
    <s v="jayant patil (wl795)"/>
    <s v="Nileema Pailwan"/>
    <n v="0"/>
    <n v="40"/>
    <n v="40"/>
    <m/>
    <s v="CES CSAR 01.24.12.00 - 12962338"/>
    <m/>
    <x v="112"/>
    <m/>
    <s v="FIM interface update required in AftDiesOxidCatOutTmptrDiag"/>
    <x v="0"/>
    <m/>
    <m/>
    <m/>
    <x v="2"/>
    <m/>
    <m/>
    <m/>
    <m/>
    <m/>
    <m/>
    <m/>
    <m/>
    <m/>
    <m/>
    <m/>
    <m/>
    <m/>
    <m/>
    <m/>
    <m/>
    <m/>
    <m/>
    <m/>
    <m/>
    <m/>
    <m/>
    <m/>
    <m/>
    <d v="2024-09-11T00:00:00"/>
    <x v="31"/>
    <m/>
    <m/>
    <m/>
    <x v="1"/>
    <m/>
    <m/>
    <m/>
    <m/>
    <s v="PFS"/>
    <m/>
    <m/>
    <m/>
    <m/>
    <m/>
    <m/>
    <m/>
    <m/>
    <m/>
    <m/>
    <m/>
    <m/>
    <m/>
    <m/>
  </r>
  <r>
    <s v="sheetal Vishwakarma (wa663)"/>
    <s v="Nileema Pailwan"/>
    <n v="48"/>
    <n v="40"/>
    <n v="-8"/>
    <m/>
    <s v="NA"/>
    <m/>
    <x v="113"/>
    <m/>
    <s v="Authoring Task:AftElecHtrDiag:DCR_12363191:Dual eHTR (4 coils) - Functional diagnostics"/>
    <x v="3"/>
    <m/>
    <m/>
    <s v="09-09 : Migration brangh to be merge._x000a_06-09 : L2 migration review in progress_x000a_05-09 : Migartion review is in progress. _x000a_04-09, 03-09 : L2 review planned tomorrow_x000a_30-08 : Migration review is in progress_x000a_28-08 : Plan for Peer+ccb today for Migration activity."/>
    <x v="0"/>
    <m/>
    <m/>
    <m/>
    <m/>
    <m/>
    <m/>
    <m/>
    <m/>
    <m/>
    <m/>
    <m/>
    <s v="2024 Aug - CES PFS : 14503516"/>
    <m/>
    <m/>
    <m/>
    <m/>
    <d v="2024-08-23T00:00:00"/>
    <m/>
    <m/>
    <m/>
    <m/>
    <m/>
    <m/>
    <d v="2024-08-24T00:00:00"/>
    <d v="2024-08-22T00:00:00"/>
    <x v="0"/>
    <m/>
    <m/>
    <m/>
    <x v="3"/>
    <d v="2024-08-30T00:00:00"/>
    <d v="2024-09-06T00:00:00"/>
    <m/>
    <m/>
    <s v="PFS"/>
    <m/>
    <m/>
    <m/>
    <m/>
    <m/>
    <m/>
    <m/>
    <m/>
    <m/>
    <m/>
    <m/>
    <m/>
    <m/>
    <m/>
  </r>
  <r>
    <s v="iram nazneen (wa667)"/>
    <s v="Nileema Pailwan"/>
    <n v="0"/>
    <n v="50"/>
    <n v="50"/>
    <m/>
    <m/>
    <m/>
    <x v="103"/>
    <m/>
    <s v="eHTR to have separate target temperatures for deSOx events per location"/>
    <x v="0"/>
    <m/>
    <m/>
    <s v="06-09 : model Preparation can be started"/>
    <x v="4"/>
    <m/>
    <m/>
    <m/>
    <m/>
    <m/>
    <m/>
    <m/>
    <m/>
    <m/>
    <m/>
    <m/>
    <m/>
    <m/>
    <m/>
    <m/>
    <m/>
    <m/>
    <m/>
    <m/>
    <m/>
    <m/>
    <m/>
    <m/>
    <s v="NA"/>
    <d v="2024-09-12T00:00:00"/>
    <x v="55"/>
    <m/>
    <m/>
    <m/>
    <x v="19"/>
    <m/>
    <m/>
    <m/>
    <m/>
    <s v="PFS"/>
    <m/>
    <m/>
    <m/>
    <m/>
    <m/>
    <m/>
    <m/>
    <m/>
    <m/>
    <m/>
    <m/>
    <m/>
    <m/>
    <m/>
  </r>
  <r>
    <s v="iram nazneen (wa667)"/>
    <s v="Nileema Pailwan"/>
    <n v="0"/>
    <n v="50"/>
    <n v="50"/>
    <m/>
    <m/>
    <m/>
    <x v="106"/>
    <m/>
    <s v="Need fix for the issues found in AftElecHtrProc component"/>
    <x v="0"/>
    <m/>
    <m/>
    <s v="06-09 : model Preparation can be started"/>
    <x v="4"/>
    <m/>
    <m/>
    <m/>
    <m/>
    <m/>
    <m/>
    <m/>
    <m/>
    <m/>
    <m/>
    <m/>
    <m/>
    <m/>
    <m/>
    <m/>
    <m/>
    <m/>
    <m/>
    <m/>
    <m/>
    <m/>
    <m/>
    <m/>
    <s v="NA"/>
    <d v="2024-09-12T00:00:00"/>
    <x v="55"/>
    <m/>
    <m/>
    <m/>
    <x v="19"/>
    <m/>
    <m/>
    <m/>
    <m/>
    <s v="PFS"/>
    <m/>
    <m/>
    <m/>
    <m/>
    <m/>
    <m/>
    <m/>
    <m/>
    <m/>
    <m/>
    <m/>
    <m/>
    <m/>
    <m/>
  </r>
  <r>
    <s v="iram nazneen (wa667)"/>
    <s v="Nileema Pailwan"/>
    <n v="0"/>
    <n v="20"/>
    <n v="20"/>
    <m/>
    <m/>
    <m/>
    <x v="108"/>
    <m/>
    <s v="Create logic for ShutdownReached and HCUEnableDeter for DOC heater and SCR heater"/>
    <x v="0"/>
    <m/>
    <m/>
    <s v="06-09 : model Preparation can be started"/>
    <x v="4"/>
    <m/>
    <m/>
    <m/>
    <m/>
    <m/>
    <m/>
    <m/>
    <m/>
    <m/>
    <m/>
    <m/>
    <m/>
    <m/>
    <m/>
    <m/>
    <m/>
    <m/>
    <m/>
    <m/>
    <m/>
    <m/>
    <m/>
    <m/>
    <s v="NA"/>
    <d v="2024-09-12T00:00:00"/>
    <x v="55"/>
    <m/>
    <m/>
    <m/>
    <x v="19"/>
    <m/>
    <m/>
    <m/>
    <m/>
    <s v="PFS"/>
    <m/>
    <m/>
    <m/>
    <m/>
    <m/>
    <m/>
    <m/>
    <m/>
    <m/>
    <m/>
    <m/>
    <m/>
    <m/>
    <m/>
  </r>
  <r>
    <s v="Prerana Ozarkar (vk686)"/>
    <s v="Nileema Pailwan"/>
    <n v="41"/>
    <n v="200"/>
    <n v="159"/>
    <m/>
    <s v="CES CSAR 01.24.12.00"/>
    <m/>
    <x v="104"/>
    <m/>
    <s v="AutoHCDesorb recognition and targets"/>
    <x v="0"/>
    <m/>
    <m/>
    <s v="16-09 : Test case 7 and 8 completed. working on model preparation_x000a_13-09 : Test case is completed 6, Test case 7 in progress_x000a_12-09 : Working on test case 6. plan to compelte it today._x000a_11-09 : Test execution in progress. working on test case 6._x000a_10-09 : test case 5th is completed. working on test execution._x000a_09-09, 06-09 : Test case 5 is in progress._x000a_05-09 : 4 test cases are completed. will continue with 5th test case today_x000a_04-09 : Total 19 test case are there, out of which 4 will be completed today. Setup is completed_x000a_28-08 : V&amp;V creation is in progress_x000a_22-08 : Working on V&amp;V from Scratch for Proc2 component and planning to complete. SRS &amp; Interface sheet is completed"/>
    <x v="3"/>
    <m/>
    <m/>
    <m/>
    <m/>
    <m/>
    <m/>
    <m/>
    <m/>
    <m/>
    <m/>
    <m/>
    <m/>
    <m/>
    <m/>
    <m/>
    <m/>
    <m/>
    <m/>
    <m/>
    <m/>
    <m/>
    <m/>
    <m/>
    <d v="2024-08-19T00:00:00"/>
    <d v="2024-09-16T00:00:00"/>
    <x v="23"/>
    <m/>
    <m/>
    <m/>
    <x v="1"/>
    <m/>
    <m/>
    <m/>
    <m/>
    <s v="PFS"/>
    <m/>
    <m/>
    <m/>
    <m/>
    <m/>
    <m/>
    <m/>
    <m/>
    <m/>
    <m/>
    <m/>
    <m/>
    <m/>
    <m/>
  </r>
  <r>
    <s v="iram nazneen (wa667)"/>
    <s v="Nileema Pailwan"/>
    <n v="25"/>
    <n v="25"/>
    <n v="0"/>
    <m/>
    <m/>
    <m/>
    <x v="111"/>
    <m/>
    <s v="AftElecHtrProc2: eHTR to have separate target temperatures for deSOx events per location"/>
    <x v="1"/>
    <m/>
    <m/>
    <s v="18-09 : DRB concept is planned today_x000a_13-09 : CCB review is completed and sent for L2 review yesterday_x000a_12-09 : CCB is in progress for SRS_x000a_11-09, 10-09 : CCB is planned today_x000a_09-09 : Peer review is completed. Plan for CCB review today_x000a_03-09 : Schedule a call with Chad, Todd and Alex_x000a_26-08 : SRS and Interface sheet to be updated for this requirment for Proc 1 componet today_x000a_22-08 : Evalaution is in progress"/>
    <x v="3"/>
    <m/>
    <m/>
    <m/>
    <m/>
    <m/>
    <m/>
    <m/>
    <m/>
    <m/>
    <m/>
    <m/>
    <m/>
    <m/>
    <m/>
    <m/>
    <m/>
    <m/>
    <m/>
    <m/>
    <m/>
    <m/>
    <m/>
    <m/>
    <d v="2024-08-12T00:00:00"/>
    <d v="2024-08-12T00:00:00"/>
    <x v="45"/>
    <m/>
    <m/>
    <m/>
    <x v="1"/>
    <d v="2024-09-12T00:00:00"/>
    <m/>
    <m/>
    <m/>
    <s v="PFS"/>
    <m/>
    <m/>
    <m/>
    <m/>
    <m/>
    <m/>
    <m/>
    <m/>
    <m/>
    <m/>
    <m/>
    <m/>
    <m/>
    <m/>
  </r>
  <r>
    <s v="sheetal Vishwakarma (wa663)"/>
    <s v="Nileema Pailwan"/>
    <n v="81"/>
    <n v="88"/>
    <n v="7"/>
    <m/>
    <m/>
    <m/>
    <x v="99"/>
    <m/>
    <s v="Dual eHTR (4 coils) - Functional diagnostics"/>
    <x v="0"/>
    <m/>
    <m/>
    <s v="18-09 : Working on CCB review comments. plan to send for L2 review today_x000a_MIL, SIL, Regression, Accl is completed. working on PPT. Plan to go for Peer + ccb tomorrow_x000a_09-09 : MIL execution is completed on local branch. To be executed with merge branch.  _x000a_06-09 : 5 test case in progress_x000a_05-09 : 4 th test cases are completed, working on 6 test case_x000a_04-09 : working on remaining 2 test case. paln to complete 4 test case today_x000a_03-09 : out of 5, working on 3rd test case and plan to complete it today. _x000a_26-08 : Model migration is in progress. plan to complete the migration and ppt by 27th Aug_x000a_23-08 : model prepatation completed. Working on tracebility review comments. _x000a_22-08 : Awaiting ARXML Peer review planned for tracebility. Model preparation in progress. Plan to complete Model preparation by tomorrow 1st half"/>
    <x v="3"/>
    <m/>
    <m/>
    <m/>
    <m/>
    <m/>
    <m/>
    <m/>
    <m/>
    <m/>
    <m/>
    <m/>
    <m/>
    <m/>
    <m/>
    <m/>
    <m/>
    <m/>
    <m/>
    <m/>
    <m/>
    <m/>
    <m/>
    <m/>
    <d v="2024-08-29T00:00:00"/>
    <d v="2024-08-26T00:00:00"/>
    <x v="56"/>
    <m/>
    <m/>
    <m/>
    <x v="1"/>
    <d v="2024-09-18T00:00:00"/>
    <m/>
    <m/>
    <m/>
    <s v="PFS"/>
    <m/>
    <m/>
    <m/>
    <m/>
    <m/>
    <m/>
    <m/>
    <m/>
    <m/>
    <m/>
    <m/>
    <m/>
    <m/>
    <m/>
  </r>
  <r>
    <s v="Tejas T Salunkhe (ur770)"/>
    <s v="Nileema Pailwan"/>
    <n v="133.5"/>
    <n v="110"/>
    <n v="-23.5"/>
    <m/>
    <m/>
    <m/>
    <x v="114"/>
    <m/>
    <s v=" VNV Task: Dual eHTR (4 coils) - Functional diagnostics VNV for AftElecHtr2Diag"/>
    <x v="3"/>
    <m/>
    <m/>
    <s v="16-09 : Review in progress_x000a_13-09 : Plan for Peer + ccb of 5 diagnostics_x000a_12-09 : Peer review is planned today _x000a_11-09 : Working on Presentation on functional diagnostics_x000a_10-09 : Test cases are failing for complete execution. Seperate DCR to be rasie for regression and SIL setup_x000a_09-09 : Working on teacebility rework. 48 test case creation were completed and individually exxcuting as well._x000a_05-09 : out of 4, 2 test cases are completed. working on 3rd one. _x000a_03-09 : CSERS Test case completed. Working on OECS, out of 7 scnerio, 3 are completed, working on 4th. _x000a_29-08 : Tracebility sent for L2 review. Testing is in progress. Out of 8 test cases, OECS test case working on it."/>
    <x v="3"/>
    <m/>
    <m/>
    <m/>
    <m/>
    <m/>
    <m/>
    <m/>
    <m/>
    <m/>
    <m/>
    <m/>
    <m/>
    <m/>
    <m/>
    <m/>
    <m/>
    <m/>
    <m/>
    <m/>
    <m/>
    <m/>
    <m/>
    <m/>
    <d v="2024-08-23T00:00:00"/>
    <d v="2024-08-26T00:00:00"/>
    <x v="56"/>
    <m/>
    <m/>
    <m/>
    <x v="1"/>
    <d v="2024-09-09T00:00:00"/>
    <m/>
    <m/>
    <m/>
    <m/>
    <m/>
    <m/>
    <m/>
    <m/>
    <m/>
    <m/>
    <m/>
    <m/>
    <m/>
    <m/>
    <m/>
    <m/>
    <m/>
    <m/>
  </r>
  <r>
    <s v="Swayangdipta sarkar (wa754)"/>
    <s v="Nileema Pailwan"/>
    <n v="0"/>
    <n v="230"/>
    <n v="230"/>
    <m/>
    <m/>
    <m/>
    <x v="100"/>
    <m/>
    <s v="SCR eHTR virtual inlet temperature"/>
    <x v="0"/>
    <m/>
    <m/>
    <s v="06-09 : Interface analysis is completed. To be work on interface sheet."/>
    <x v="2"/>
    <m/>
    <m/>
    <m/>
    <m/>
    <m/>
    <m/>
    <m/>
    <m/>
    <m/>
    <m/>
    <m/>
    <m/>
    <m/>
    <m/>
    <m/>
    <m/>
    <m/>
    <m/>
    <m/>
    <m/>
    <m/>
    <m/>
    <m/>
    <m/>
    <d v="2024-09-09T00:00:00"/>
    <x v="18"/>
    <m/>
    <m/>
    <m/>
    <x v="1"/>
    <m/>
    <m/>
    <m/>
    <m/>
    <s v="PFS"/>
    <m/>
    <m/>
    <m/>
    <m/>
    <m/>
    <m/>
    <m/>
    <m/>
    <m/>
    <m/>
    <m/>
    <m/>
    <m/>
    <m/>
  </r>
  <r>
    <s v="Harshal Tayade (uq969)"/>
    <s v="Nileema Pailwan"/>
    <n v="80"/>
    <n v="70"/>
    <n v="-10"/>
    <m/>
    <m/>
    <m/>
    <x v="115"/>
    <m/>
    <s v="Dual eHTR (4 coils) - Functional diagnostics migration &amp; VNV for AftElecHtr2Diag"/>
    <x v="4"/>
    <m/>
    <m/>
    <s v="18-09 : Total 26 diagnostics complted with presentation. working on remainging diagnostics_x000a_16-09 : total 20 diagnostics were completed. Working on next set of Diagnostics_x000a_13-09 : Peer review in progress for 30 diagnostics. Presentatio  of 17 diagnostcis is completed._x000a_12-09 : Peer review in progerss._x000a_11-09 : Plan for Peer review for 12 diagnostics._x000a_10-09 : Working on failed test cases for complete MIL setup_x000a_09-09  : Working on remapping of all 48 test cases with latest model._x000a_06-09 : 2nd test case to be completed in 1st half. And plan to work on 3rd and 4th test case_x000a_05-09, 04-09 : Out of 4 test case, plan to complete 1 test case today_x000a_03-09 : Out of 4 Test cases, 1 test case, 1 scnerio is passing. "/>
    <x v="3"/>
    <m/>
    <m/>
    <m/>
    <m/>
    <m/>
    <m/>
    <m/>
    <m/>
    <m/>
    <m/>
    <m/>
    <m/>
    <m/>
    <m/>
    <m/>
    <m/>
    <m/>
    <m/>
    <m/>
    <m/>
    <m/>
    <m/>
    <m/>
    <d v="2024-09-02T00:00:00"/>
    <s v="NA"/>
    <x v="56"/>
    <m/>
    <m/>
    <m/>
    <x v="1"/>
    <m/>
    <m/>
    <m/>
    <m/>
    <m/>
    <m/>
    <m/>
    <m/>
    <m/>
    <m/>
    <m/>
    <m/>
    <m/>
    <m/>
    <m/>
    <m/>
    <m/>
    <m/>
    <m/>
  </r>
  <r>
    <s v="sheetal Vishwakarma (wa663)"/>
    <s v="Nileema Pailwan"/>
    <n v="0"/>
    <n v="90"/>
    <n v="90"/>
    <m/>
    <s v="CES CSAR 01.24.12.00 - 12962338"/>
    <m/>
    <x v="110"/>
    <m/>
    <s v="Heater Related Parameters: Create OBD Capability Parameters for Titanium/Legend "/>
    <x v="0"/>
    <m/>
    <m/>
    <m/>
    <x v="2"/>
    <m/>
    <m/>
    <m/>
    <m/>
    <m/>
    <m/>
    <m/>
    <m/>
    <m/>
    <m/>
    <m/>
    <s v="2024 Sep - CES PFS : 14702743"/>
    <m/>
    <m/>
    <m/>
    <m/>
    <m/>
    <m/>
    <m/>
    <m/>
    <m/>
    <m/>
    <m/>
    <m/>
    <d v="2024-09-30T00:00:00"/>
    <x v="32"/>
    <m/>
    <m/>
    <m/>
    <x v="1"/>
    <m/>
    <m/>
    <m/>
    <m/>
    <s v="PFS"/>
    <m/>
    <m/>
    <m/>
    <m/>
    <m/>
    <m/>
    <m/>
    <m/>
    <m/>
    <m/>
    <m/>
    <m/>
    <m/>
    <m/>
  </r>
  <r>
    <s v="Tejas T Salunkhe (ur770)"/>
    <s v="Nileema Pailwan"/>
    <n v="0"/>
    <n v="300"/>
    <n v="300"/>
    <m/>
    <s v="CES CSAR 01.24.12.00"/>
    <m/>
    <x v="116"/>
    <m/>
    <s v="Re-architect HCM OBD component - Barracuda"/>
    <x v="0"/>
    <m/>
    <m/>
    <s v="Dhanraj is working on its evalution. Reviewed model will received on 18th Sep"/>
    <x v="2"/>
    <m/>
    <m/>
    <m/>
    <m/>
    <m/>
    <m/>
    <m/>
    <m/>
    <m/>
    <m/>
    <m/>
    <m/>
    <m/>
    <m/>
    <m/>
    <m/>
    <m/>
    <m/>
    <m/>
    <m/>
    <m/>
    <m/>
    <m/>
    <m/>
    <d v="2024-09-16T00:00:00"/>
    <x v="13"/>
    <m/>
    <m/>
    <m/>
    <x v="1"/>
    <m/>
    <m/>
    <m/>
    <m/>
    <s v="PFS"/>
    <m/>
    <m/>
    <m/>
    <m/>
    <m/>
    <m/>
    <m/>
    <m/>
    <m/>
    <m/>
    <m/>
    <m/>
    <m/>
    <m/>
  </r>
  <r>
    <s v="aishwarya Jahagirdar (ac14v)"/>
    <m/>
    <n v="0"/>
    <n v="220"/>
    <n v="220"/>
    <m/>
    <m/>
    <m/>
    <x v="16"/>
    <m/>
    <s v="CSAR Migration: Migrate PFS Delegated Assembly"/>
    <x v="0"/>
    <m/>
    <m/>
    <s v="26 Aug : Understanding requirement                        30 Aug : Interface in progress 03 Sep : Nileema to review the scope of this requirement"/>
    <x v="4"/>
    <m/>
    <m/>
    <m/>
    <m/>
    <m/>
    <m/>
    <m/>
    <m/>
    <m/>
    <m/>
    <m/>
    <s v="2024 Sep - CES PFS : 14702743"/>
    <m/>
    <m/>
    <s v="Medium"/>
    <m/>
    <d v="2024-08-22T00:00:00"/>
    <m/>
    <s v="Assess"/>
    <s v="Change Request"/>
    <d v="2024-08-30T00:00:00"/>
    <s v="/CSARPL/Aftertreatment/Br001"/>
    <d v="2024-02-06T20:33:44"/>
    <m/>
    <m/>
    <x v="13"/>
    <m/>
    <m/>
    <m/>
    <x v="1"/>
    <m/>
    <m/>
    <m/>
    <m/>
    <s v="PFS"/>
    <s v="CES_PFS (Owned by /C2PL/Aftertreatment)"/>
    <m/>
    <m/>
    <m/>
    <m/>
    <m/>
    <m/>
    <m/>
    <m/>
    <m/>
    <m/>
    <m/>
    <m/>
    <m/>
  </r>
  <r>
    <s v="Lavanya Nayak (ri652)"/>
    <s v="Rachna Pawale"/>
    <n v="0"/>
    <m/>
    <n v="0"/>
    <m/>
    <s v="CES CSAR 01.24.12.00 - 12962338"/>
    <m/>
    <x v="39"/>
    <m/>
    <s v="Inhibit non-mission regenerations from being triggered when soot load is less than the start of regen"/>
    <x v="0"/>
    <s v="7/31/2024 Check in Required."/>
    <m/>
    <s v="09-09 : Evaluation in progress_x000a_29-Aug,28- Aug: Working on DDP wotk. Kept on hold._x000a_27-Aug: To be started intial analysis._x000a_26-Aug: Yet to start."/>
    <x v="1"/>
    <m/>
    <m/>
    <m/>
    <m/>
    <m/>
    <m/>
    <m/>
    <m/>
    <m/>
    <m/>
    <m/>
    <s v="2024 Sep - CES PFS : 14702743"/>
    <m/>
    <s v="7/31/2024 Check in Required."/>
    <s v="Very High"/>
    <m/>
    <m/>
    <m/>
    <s v="Assess"/>
    <s v="Change Request"/>
    <d v="2024-05-15T09:30:00"/>
    <s v="/CSARPL/Aftertreatment/Br001"/>
    <d v="2024-05-01T16:55:23"/>
    <m/>
    <m/>
    <x v="9"/>
    <m/>
    <m/>
    <m/>
    <x v="1"/>
    <m/>
    <m/>
    <m/>
    <m/>
    <s v="PFS"/>
    <s v="CES_PFS (Owned by /C2PL/Aftertreatment)"/>
    <m/>
    <m/>
    <m/>
    <m/>
    <m/>
    <m/>
    <m/>
    <m/>
    <m/>
    <m/>
    <m/>
    <m/>
    <m/>
  </r>
  <r>
    <s v="Ashitosh Nilkanth (uh953)"/>
    <s v="Vivek Panigrahi"/>
    <n v="0"/>
    <n v="0"/>
    <n v="0"/>
    <m/>
    <s v="CES CSAR 01.24.12.00 - 12962338"/>
    <m/>
    <x v="91"/>
    <m/>
    <s v="Stay Warm logic missing in AftOpModePrmt and wrong logic in AftRegenCtrl"/>
    <x v="0"/>
    <m/>
    <m/>
    <s v="Effort tracking on DCR#14433414"/>
    <x v="2"/>
    <m/>
    <m/>
    <m/>
    <m/>
    <m/>
    <m/>
    <m/>
    <m/>
    <m/>
    <m/>
    <m/>
    <s v="2024 Sep - CES PFS : 14702743"/>
    <m/>
    <m/>
    <s v="Very High"/>
    <m/>
    <m/>
    <d v="2024-08-29T23:03:37"/>
    <s v="In Progress"/>
    <s v="Defect"/>
    <d v="2024-08-05T09:30:00"/>
    <s v="/CSARPL/Aftertreatment/Br001"/>
    <d v="2024-07-22T22:35:34"/>
    <d v="2024-08-08T00:00:00"/>
    <d v="2024-10-03T00:00:00"/>
    <x v="48"/>
    <m/>
    <m/>
    <m/>
    <x v="1"/>
    <m/>
    <m/>
    <m/>
    <m/>
    <s v="PFS"/>
    <s v="CES_PFS (Owned by /C2PL/Aftertreatment)"/>
    <m/>
    <m/>
    <m/>
    <m/>
    <m/>
    <m/>
    <m/>
    <m/>
    <m/>
    <m/>
    <m/>
    <m/>
    <m/>
  </r>
  <r>
    <s v="Ashitosh Nilkanth (uh953)"/>
    <s v="Vivek Panigrahi"/>
    <n v="0"/>
    <n v="0"/>
    <n v="0"/>
    <m/>
    <s v="CES CSAR 01.24.12.00 - 12962338"/>
    <m/>
    <x v="5"/>
    <m/>
    <s v="AftRegenCtrl: Fix Datatype issue for constant by using updated Csar_CES_Data_Dictionary submodule"/>
    <x v="0"/>
    <m/>
    <m/>
    <s v="Effort tracking on DCR#14433414"/>
    <x v="2"/>
    <m/>
    <m/>
    <m/>
    <m/>
    <m/>
    <m/>
    <m/>
    <m/>
    <m/>
    <m/>
    <m/>
    <s v="2024 Sep - CES PFS : 14702743"/>
    <m/>
    <m/>
    <s v="Medium"/>
    <m/>
    <m/>
    <m/>
    <s v="Assess"/>
    <s v="Change Request"/>
    <d v="2023-10-31T00:00:00"/>
    <s v="/CSARPL/Aftertreatment/Br001"/>
    <d v="2023-10-13T14:37:54"/>
    <d v="2024-08-08T00:00:00"/>
    <d v="2024-10-03T00:00:00"/>
    <x v="48"/>
    <m/>
    <m/>
    <m/>
    <x v="1"/>
    <m/>
    <m/>
    <m/>
    <m/>
    <s v="PFS"/>
    <s v="CES_PFS (Owned by /C2PL/Aftertreatment)"/>
    <m/>
    <m/>
    <m/>
    <m/>
    <m/>
    <m/>
    <m/>
    <m/>
    <m/>
    <m/>
    <m/>
    <m/>
    <m/>
  </r>
  <r>
    <s v="Srinadh Vadlamudi (wf326)"/>
    <s v="Nileema Pailwan"/>
    <n v="0"/>
    <m/>
    <n v="0"/>
    <m/>
    <m/>
    <m/>
    <x v="10"/>
    <m/>
    <s v="Test vectors update is needed for AftDiesPartFiltCSLEProc component to improve coverage"/>
    <x v="0"/>
    <m/>
    <m/>
    <s v="16-09 : Deferred for priorirty DCR_13047716_x000a_30-08- : On hold for other priority work DCR_13047716"/>
    <x v="5"/>
    <m/>
    <m/>
    <m/>
    <m/>
    <m/>
    <m/>
    <m/>
    <m/>
    <m/>
    <m/>
    <m/>
    <m/>
    <m/>
    <m/>
    <s v="Medium"/>
    <m/>
    <m/>
    <m/>
    <s v="Assess"/>
    <s v="Defect"/>
    <d v="2024-01-31T00:00:00"/>
    <s v="/CSARPL/Aftertreatment/Br001"/>
    <d v="2023-12-05T17:12:37"/>
    <m/>
    <m/>
    <x v="10"/>
    <m/>
    <m/>
    <m/>
    <x v="1"/>
    <m/>
    <m/>
    <m/>
    <m/>
    <s v="PFS"/>
    <s v="CES_PFS (Owned by /C2PL/Aftertreatment)"/>
    <m/>
    <m/>
    <m/>
    <m/>
    <m/>
    <m/>
    <m/>
    <m/>
    <m/>
    <m/>
    <m/>
    <m/>
    <m/>
  </r>
  <r>
    <s v="Ashitosh Nilkanth (uh953)"/>
    <s v="Vivek Panigrahi"/>
    <n v="0"/>
    <n v="0"/>
    <n v="0"/>
    <m/>
    <s v="CES CSAR 01.24.12.00 - 12962338"/>
    <m/>
    <x v="11"/>
    <m/>
    <s v="Change required in AftRegenCtrl component to resolve issue of global output signal going out of range in Regression Testing"/>
    <x v="0"/>
    <m/>
    <m/>
    <s v="05-Sep: Effort  tracking on DCR14433414"/>
    <x v="2"/>
    <m/>
    <m/>
    <m/>
    <m/>
    <m/>
    <m/>
    <m/>
    <m/>
    <m/>
    <m/>
    <m/>
    <s v="2024 Sep - CES PFS : 14702743"/>
    <m/>
    <m/>
    <s v="High"/>
    <m/>
    <m/>
    <m/>
    <s v="Assess"/>
    <s v="Change Request"/>
    <d v="2024-02-29T00:00:00"/>
    <s v="/CSARPL/Aftertreatment/Br001"/>
    <d v="2023-12-22T13:05:43"/>
    <d v="2024-08-08T00:00:00"/>
    <d v="2024-10-03T00:00:00"/>
    <x v="48"/>
    <m/>
    <m/>
    <m/>
    <x v="1"/>
    <m/>
    <m/>
    <m/>
    <m/>
    <s v="PFS"/>
    <s v="CES_PFS (Owned by /C2PL/Aftertreatment)"/>
    <m/>
    <m/>
    <m/>
    <m/>
    <m/>
    <m/>
    <m/>
    <m/>
    <m/>
    <m/>
    <m/>
    <m/>
    <m/>
  </r>
  <r>
    <s v="Harshada Borude (ur897)"/>
    <s v="Vivek Panigrahi"/>
    <n v="0"/>
    <n v="30"/>
    <n v="30"/>
    <m/>
    <m/>
    <m/>
    <x v="19"/>
    <m/>
    <s v="CSAR SyncUp: Enable condition Improvement for DPSLE low flow trust logic "/>
    <x v="0"/>
    <s v="Transparency check complete"/>
    <m/>
    <m/>
    <x v="2"/>
    <m/>
    <m/>
    <m/>
    <m/>
    <m/>
    <m/>
    <m/>
    <m/>
    <m/>
    <m/>
    <m/>
    <m/>
    <m/>
    <s v="Transparency check complete"/>
    <s v="High"/>
    <m/>
    <m/>
    <m/>
    <s v="Assess"/>
    <s v="Change Request"/>
    <d v="2024-04-30T00:00:00"/>
    <s v="/CSARPL/Aftertreatment/Br001"/>
    <d v="2024-02-13T18:47:50"/>
    <m/>
    <m/>
    <x v="10"/>
    <m/>
    <m/>
    <m/>
    <x v="1"/>
    <m/>
    <m/>
    <m/>
    <m/>
    <s v="PFS"/>
    <s v="CES_PFS (Owned by /C2PL/Aftertreatment)"/>
    <m/>
    <m/>
    <m/>
    <m/>
    <m/>
    <m/>
    <m/>
    <m/>
    <m/>
    <m/>
    <m/>
    <m/>
    <m/>
  </r>
  <r>
    <s v="amit matale (xy524)"/>
    <s v="Rachna Pawale"/>
    <n v="0"/>
    <n v="50"/>
    <n v="50"/>
    <m/>
    <m/>
    <m/>
    <x v="40"/>
    <m/>
    <s v="MCDC Coverage improvements for AftDiesOxidCatRvrsDiag component"/>
    <x v="0"/>
    <m/>
    <m/>
    <m/>
    <x v="2"/>
    <m/>
    <m/>
    <m/>
    <m/>
    <m/>
    <m/>
    <m/>
    <m/>
    <m/>
    <m/>
    <m/>
    <m/>
    <m/>
    <m/>
    <s v="Medium"/>
    <m/>
    <m/>
    <m/>
    <s v="Assess"/>
    <s v="Change Request"/>
    <d v="2024-06-01T00:00:00"/>
    <s v="/CSARPL/Aftertreatment/Br001"/>
    <d v="2024-05-02T15:34:01"/>
    <m/>
    <m/>
    <x v="18"/>
    <m/>
    <m/>
    <m/>
    <x v="1"/>
    <m/>
    <m/>
    <m/>
    <m/>
    <s v="PFS"/>
    <s v="CES_PFS (Owned by /C2PL/Aftertreatment)"/>
    <m/>
    <m/>
    <m/>
    <m/>
    <m/>
    <m/>
    <m/>
    <m/>
    <m/>
    <m/>
    <m/>
    <m/>
    <m/>
  </r>
  <r>
    <s v="shrutika shete (ac06r)"/>
    <s v="Vivek Panigrahi"/>
    <n v="0"/>
    <n v="16"/>
    <n v="16"/>
    <m/>
    <m/>
    <m/>
    <x v="45"/>
    <m/>
    <s v="DOC_IN_DeltaT: The CSAR translated System Errors still has some Core2 parameters "/>
    <x v="0"/>
    <m/>
    <m/>
    <s v="Taken care underDCR_14329073"/>
    <x v="3"/>
    <m/>
    <m/>
    <m/>
    <m/>
    <m/>
    <m/>
    <m/>
    <m/>
    <m/>
    <m/>
    <m/>
    <m/>
    <m/>
    <m/>
    <s v="Very High"/>
    <m/>
    <m/>
    <m/>
    <s v="Assess"/>
    <s v="Change Request"/>
    <d v="2024-06-30T09:30:00"/>
    <s v="/CSARPL/Aftertreatment/Br001"/>
    <d v="2024-05-22T03:17:49"/>
    <m/>
    <m/>
    <x v="25"/>
    <m/>
    <m/>
    <m/>
    <x v="1"/>
    <m/>
    <m/>
    <m/>
    <m/>
    <s v="PFS"/>
    <s v="CES_PFS (Owned by /C2PL/Aftertreatment)"/>
    <m/>
    <m/>
    <m/>
    <m/>
    <m/>
    <m/>
    <m/>
    <m/>
    <m/>
    <m/>
    <m/>
    <m/>
    <m/>
  </r>
  <r>
    <s v="Haridas Raut (vy322)"/>
    <s v="Vivek Panigrahi"/>
    <n v="0"/>
    <n v="63"/>
    <n v="63"/>
    <m/>
    <m/>
    <m/>
    <x v="53"/>
    <m/>
    <s v="Implement Capability Parameters - dmInhSwtTimeRegenErr diagnostics"/>
    <x v="0"/>
    <m/>
    <m/>
    <m/>
    <x v="6"/>
    <m/>
    <m/>
    <m/>
    <m/>
    <m/>
    <m/>
    <m/>
    <m/>
    <m/>
    <m/>
    <m/>
    <s v="2024 Sep - CES PFS : 14702743"/>
    <m/>
    <m/>
    <s v="Very High"/>
    <m/>
    <m/>
    <m/>
    <s v="Assess"/>
    <s v="Change Request"/>
    <d v="2024-07-15T09:30:00"/>
    <s v="/CSARPL/Aftertreatment/Br001"/>
    <d v="2024-06-05T15:35:40"/>
    <d v="2024-08-02T00:00:00"/>
    <m/>
    <x v="8"/>
    <m/>
    <m/>
    <m/>
    <x v="1"/>
    <m/>
    <m/>
    <m/>
    <m/>
    <s v="PFS"/>
    <s v="CES_PFS (Owned by /C2PL/Aftertreatment)"/>
    <m/>
    <m/>
    <m/>
    <m/>
    <m/>
    <m/>
    <m/>
    <m/>
    <m/>
    <m/>
    <m/>
    <m/>
    <m/>
  </r>
  <r>
    <s v="Ashitosh Nilkanth (uh953)"/>
    <s v="Vivek Panigrahi"/>
    <n v="0"/>
    <n v="0"/>
    <n v="0"/>
    <m/>
    <m/>
    <m/>
    <x v="55"/>
    <m/>
    <s v="Need to Implement 'DEFRegenHistory' Feature in CSAR."/>
    <x v="0"/>
    <m/>
    <m/>
    <s v="05-Sep: Effort  tracking on DCR14433414"/>
    <x v="2"/>
    <m/>
    <m/>
    <m/>
    <m/>
    <m/>
    <m/>
    <m/>
    <m/>
    <m/>
    <m/>
    <m/>
    <m/>
    <m/>
    <m/>
    <s v="Medium"/>
    <m/>
    <m/>
    <m/>
    <s v="Assess"/>
    <s v="Change Request"/>
    <d v="2024-06-15T04:30:00"/>
    <s v="/CSARPL/Aftertreatment/Br001"/>
    <d v="2024-06-17T17:52:55"/>
    <d v="2024-08-08T00:00:00"/>
    <d v="2024-10-03T00:00:00"/>
    <x v="48"/>
    <m/>
    <m/>
    <m/>
    <x v="1"/>
    <m/>
    <m/>
    <m/>
    <m/>
    <s v="PFS"/>
    <s v="CES_PFS (Owned by /C2PL/Aftertreatment)"/>
    <m/>
    <m/>
    <m/>
    <m/>
    <m/>
    <m/>
    <m/>
    <m/>
    <m/>
    <m/>
    <m/>
    <m/>
    <m/>
  </r>
  <r>
    <s v="Balraj S Malage (wf327)"/>
    <s v="Vivek Panigrahi"/>
    <n v="6"/>
    <n v="44"/>
    <n v="38"/>
    <m/>
    <s v="CES CSAR 01.24.12.00 - 12962338"/>
    <m/>
    <x v="78"/>
    <m/>
    <s v="FIM interface update required in AftDiesPartFiltDltPrRatDiag"/>
    <x v="0"/>
    <m/>
    <m/>
    <m/>
    <x v="2"/>
    <m/>
    <m/>
    <m/>
    <m/>
    <m/>
    <m/>
    <m/>
    <m/>
    <m/>
    <m/>
    <m/>
    <s v="2024 Sep - CES PFS : 14702743"/>
    <m/>
    <m/>
    <s v="High"/>
    <m/>
    <m/>
    <m/>
    <s v="Assess"/>
    <s v="Change Request"/>
    <d v="2024-10-31T09:30:00"/>
    <s v="/CSARPL/Aftertreatment/Br001"/>
    <d v="2024-07-25T00:14:25"/>
    <d v="2024-09-02T00:00:00"/>
    <m/>
    <x v="8"/>
    <m/>
    <m/>
    <m/>
    <x v="1"/>
    <m/>
    <m/>
    <m/>
    <m/>
    <s v="PFS"/>
    <s v="CES_PFS (Owned by /C2PL/Aftertreatment)"/>
    <m/>
    <m/>
    <m/>
    <m/>
    <m/>
    <m/>
    <m/>
    <m/>
    <m/>
    <m/>
    <m/>
    <m/>
    <m/>
  </r>
  <r>
    <s v="Indumathi M (wf309)"/>
    <s v="Rachna Pawale"/>
    <n v="50"/>
    <n v="51"/>
    <n v="1"/>
    <m/>
    <m/>
    <m/>
    <x v="117"/>
    <m/>
    <s v="Implement EDL blocks - AftDiesPartFiltOutTmptrDiag diagnostics"/>
    <x v="2"/>
    <m/>
    <m/>
    <m/>
    <x v="0"/>
    <m/>
    <m/>
    <m/>
    <m/>
    <m/>
    <m/>
    <m/>
    <m/>
    <m/>
    <m/>
    <m/>
    <m/>
    <m/>
    <m/>
    <m/>
    <m/>
    <m/>
    <m/>
    <m/>
    <m/>
    <m/>
    <m/>
    <m/>
    <d v="2024-08-14T00:00:00"/>
    <m/>
    <x v="27"/>
    <m/>
    <m/>
    <m/>
    <x v="6"/>
    <d v="2024-09-03T00:00:00"/>
    <d v="2024-09-09T00:00:00"/>
    <m/>
    <m/>
    <s v="PFS"/>
    <m/>
    <m/>
    <m/>
    <m/>
    <m/>
    <m/>
    <m/>
    <m/>
    <m/>
    <m/>
    <m/>
    <m/>
    <m/>
    <m/>
  </r>
  <r>
    <s v="Indumathi M (wf309)"/>
    <s v="Rachna Pawale"/>
    <m/>
    <m/>
    <n v="0"/>
    <m/>
    <m/>
    <m/>
    <x v="117"/>
    <m/>
    <s v="Implement EDL blocks - AftDiesPartFiltOutTmptrDiag diagnostics"/>
    <x v="0"/>
    <m/>
    <m/>
    <s v="checkin in progress"/>
    <x v="0"/>
    <m/>
    <m/>
    <m/>
    <m/>
    <m/>
    <m/>
    <m/>
    <m/>
    <m/>
    <m/>
    <m/>
    <m/>
    <m/>
    <m/>
    <m/>
    <m/>
    <m/>
    <m/>
    <m/>
    <m/>
    <m/>
    <m/>
    <m/>
    <d v="2024-08-14T00:00:00"/>
    <m/>
    <x v="27"/>
    <m/>
    <m/>
    <m/>
    <x v="6"/>
    <d v="2024-09-03T00:00:00"/>
    <m/>
    <m/>
    <m/>
    <s v="PFS"/>
    <m/>
    <m/>
    <m/>
    <m/>
    <m/>
    <m/>
    <m/>
    <m/>
    <m/>
    <m/>
    <m/>
    <m/>
    <m/>
    <m/>
  </r>
  <r>
    <s v="Lavanya Nayak (ri652)"/>
    <s v="Rachna Pawale"/>
    <n v="0"/>
    <n v="0"/>
    <n v="0"/>
    <m/>
    <m/>
    <m/>
    <x v="3"/>
    <m/>
    <s v="CSAR - create SRS and application guide for AftEngIdleHiSLShtdwn component"/>
    <x v="0"/>
    <m/>
    <m/>
    <m/>
    <x v="2"/>
    <m/>
    <m/>
    <m/>
    <m/>
    <m/>
    <m/>
    <m/>
    <m/>
    <m/>
    <m/>
    <m/>
    <s v="2024 Mar - CES PFS : 13241426"/>
    <d v="2024-02-29T00:00:00"/>
    <m/>
    <s v="Medium"/>
    <m/>
    <m/>
    <d v="2023-03-06T21:27:54"/>
    <s v="In Progress"/>
    <s v="Change Request"/>
    <d v="2023-03-31T10:30:00"/>
    <s v="/CSARPL/Aftertreatment/Br001"/>
    <d v="2023-02-24T10:19:14"/>
    <m/>
    <m/>
    <x v="3"/>
    <m/>
    <m/>
    <m/>
    <x v="1"/>
    <m/>
    <m/>
    <m/>
    <m/>
    <s v="PFS"/>
    <s v="CES_PFS (Owned by /C2PL/Aftertreatment)"/>
    <m/>
    <m/>
    <m/>
    <m/>
    <m/>
    <m/>
    <m/>
    <m/>
    <m/>
    <m/>
    <m/>
    <m/>
    <m/>
  </r>
  <r>
    <s v="Harshada Borude (ur897)"/>
    <s v="Vivek Panigrahi"/>
    <n v="0"/>
    <m/>
    <n v="0"/>
    <m/>
    <s v="CES CSAR 01.24.12.00 - 12962338"/>
    <m/>
    <x v="32"/>
    <m/>
    <s v="ISMs need to be implement for AftDiesOxidCatInlTmptrDiag component"/>
    <x v="0"/>
    <m/>
    <m/>
    <s v="02-09 : To be rejected"/>
    <x v="6"/>
    <m/>
    <m/>
    <m/>
    <m/>
    <m/>
    <m/>
    <m/>
    <m/>
    <m/>
    <m/>
    <m/>
    <s v="2024 Sep - CES PFS : 14702743"/>
    <m/>
    <m/>
    <s v="Very High"/>
    <m/>
    <m/>
    <m/>
    <s v="Assess"/>
    <s v="Change Request"/>
    <d v="2024-04-15T00:00:00"/>
    <s v="/CSARPL/Aftertreatment/Br001"/>
    <d v="2024-03-27T18:04:29"/>
    <m/>
    <m/>
    <x v="10"/>
    <m/>
    <m/>
    <m/>
    <x v="1"/>
    <m/>
    <m/>
    <m/>
    <m/>
    <s v="PFS"/>
    <s v="CES_PFS (Owned by /C2PL/Aftertreatment)"/>
    <m/>
    <m/>
    <m/>
    <m/>
    <m/>
    <m/>
    <m/>
    <m/>
    <m/>
    <m/>
    <m/>
    <m/>
    <m/>
  </r>
  <r>
    <s v="jayant patil (wl795)"/>
    <s v="Rachna Pawale"/>
    <n v="4"/>
    <n v="45"/>
    <n v="41"/>
    <m/>
    <m/>
    <m/>
    <x v="41"/>
    <m/>
    <s v="Implement EDL and Implement DTR blocks - AftDiesOxidCatOutTmptrDiag diagnostics"/>
    <x v="0"/>
    <m/>
    <m/>
    <s v="03 Sep : Requrement analysis"/>
    <x v="0"/>
    <m/>
    <m/>
    <m/>
    <m/>
    <m/>
    <m/>
    <m/>
    <m/>
    <m/>
    <m/>
    <m/>
    <m/>
    <m/>
    <m/>
    <m/>
    <m/>
    <m/>
    <m/>
    <m/>
    <m/>
    <m/>
    <m/>
    <m/>
    <m/>
    <m/>
    <x v="10"/>
    <m/>
    <m/>
    <m/>
    <x v="6"/>
    <d v="2024-09-09T00:00:00"/>
    <d v="2024-09-09T00:00:00"/>
    <m/>
    <m/>
    <s v="PFS"/>
    <m/>
    <m/>
    <m/>
    <m/>
    <m/>
    <m/>
    <m/>
    <m/>
    <m/>
    <m/>
    <m/>
    <m/>
    <m/>
    <m/>
  </r>
  <r>
    <s v="Atul Gade (vm775)"/>
    <s v="Rachna Pawale"/>
    <m/>
    <n v="21"/>
    <n v="-21"/>
    <m/>
    <m/>
    <m/>
    <x v="51"/>
    <m/>
    <s v="Service test for eHeater replacement."/>
    <x v="0"/>
    <m/>
    <m/>
    <s v="10 Sep 05 Sep : dummy model in progress_x000a_03 Sep : Eval in progress (New componenet)_x000a_28 Aug : Eval in progress"/>
    <x v="1"/>
    <m/>
    <m/>
    <m/>
    <m/>
    <m/>
    <m/>
    <m/>
    <m/>
    <m/>
    <m/>
    <m/>
    <s v="2024 Sep - CES PFS : 14702743"/>
    <m/>
    <m/>
    <s v="High"/>
    <m/>
    <m/>
    <m/>
    <s v="Assess"/>
    <s v="Change Request"/>
    <d v="2024-08-31T09:30:00"/>
    <s v="/CSARPL/Aftertreatment/Br001"/>
    <d v="2024-05-30T14:59:20"/>
    <d v="2024-08-28T00:00:00"/>
    <m/>
    <x v="2"/>
    <m/>
    <m/>
    <m/>
    <x v="1"/>
    <m/>
    <m/>
    <m/>
    <m/>
    <s v="PFS"/>
    <s v="CES_PFS (Owned by /C2PL/Aftertreatment)"/>
    <m/>
    <m/>
    <m/>
    <m/>
    <m/>
    <m/>
    <m/>
    <m/>
    <m/>
    <m/>
    <m/>
    <m/>
    <m/>
  </r>
  <r>
    <s v="Balraj S Malage (wf327)"/>
    <s v="Vivek Panigrahi"/>
    <n v="0"/>
    <n v="0"/>
    <n v="0"/>
    <m/>
    <m/>
    <m/>
    <x v="56"/>
    <m/>
    <s v="The capability data is present in R connect (IsmAftDiesPartFiltDltPrRatDiagHiLog)  but no data is not coming up in the GUI."/>
    <x v="0"/>
    <m/>
    <m/>
    <s v="02-Sep:Rejected the DCR_x000a_30-Aug: As discussed with Encodia to be rejected 14114528 "/>
    <x v="6"/>
    <m/>
    <m/>
    <m/>
    <m/>
    <m/>
    <m/>
    <m/>
    <m/>
    <m/>
    <m/>
    <m/>
    <m/>
    <m/>
    <m/>
    <s v="Very High"/>
    <m/>
    <m/>
    <m/>
    <s v="Assess"/>
    <s v="Defect"/>
    <d v="2024-06-27T09:30:00"/>
    <s v="/CSARPL/Aftertreatment/Br001"/>
    <d v="2024-06-20T19:03:23"/>
    <m/>
    <m/>
    <x v="10"/>
    <m/>
    <m/>
    <m/>
    <x v="1"/>
    <m/>
    <m/>
    <m/>
    <m/>
    <s v="PFS"/>
    <s v="CES_PFS (Owned by /C2PL/Aftertreatment)"/>
    <m/>
    <m/>
    <m/>
    <m/>
    <m/>
    <m/>
    <m/>
    <m/>
    <m/>
    <m/>
    <m/>
    <m/>
    <m/>
  </r>
  <r>
    <s v="Balraj S Malage (wf327)"/>
    <s v="Vivek Panigrahi"/>
    <n v="4"/>
    <n v="44"/>
    <n v="40"/>
    <m/>
    <s v="CES CSAR 01.24.12.00 - 12962338"/>
    <m/>
    <x v="58"/>
    <m/>
    <s v="The capability data is present in R connectIsmAftDiesPartFiltDltPrRatDiagHiLog  but no data is coming up"/>
    <x v="0"/>
    <m/>
    <m/>
    <m/>
    <x v="5"/>
    <m/>
    <m/>
    <m/>
    <m/>
    <m/>
    <m/>
    <m/>
    <m/>
    <m/>
    <m/>
    <m/>
    <s v="2024 Sep - CES PFS : 14702743"/>
    <m/>
    <m/>
    <s v="Very High"/>
    <m/>
    <m/>
    <m/>
    <s v="Assess"/>
    <s v="Change Request"/>
    <d v="2024-06-27T09:30:00"/>
    <s v="/CSARPL/Aftertreatment/Br001"/>
    <d v="2024-06-20T19:43:12"/>
    <d v="2024-09-02T00:00:00"/>
    <m/>
    <x v="8"/>
    <m/>
    <m/>
    <m/>
    <x v="1"/>
    <m/>
    <m/>
    <m/>
    <m/>
    <s v="PFS"/>
    <s v="CES_PFS (Owned by /C2PL/Aftertreatment)"/>
    <m/>
    <m/>
    <m/>
    <m/>
    <m/>
    <m/>
    <m/>
    <m/>
    <m/>
    <m/>
    <m/>
    <m/>
    <m/>
  </r>
  <r>
    <s v="Indumathi M (wf309)"/>
    <s v="Rachna Pawale"/>
    <n v="0"/>
    <n v="40"/>
    <n v="40"/>
    <m/>
    <m/>
    <m/>
    <x v="62"/>
    <m/>
    <s v="VCOND creation for AftRegenCtrl component"/>
    <x v="0"/>
    <m/>
    <m/>
    <m/>
    <x v="2"/>
    <m/>
    <m/>
    <m/>
    <m/>
    <m/>
    <m/>
    <m/>
    <m/>
    <m/>
    <m/>
    <m/>
    <m/>
    <m/>
    <m/>
    <s v="High"/>
    <m/>
    <m/>
    <m/>
    <s v="Assess"/>
    <s v="Change Request"/>
    <d v="2024-07-31T00:00:00"/>
    <s v="/CSARPL/Aftertreatment/Br001"/>
    <d v="2024-06-28T17:19:05"/>
    <m/>
    <m/>
    <x v="18"/>
    <m/>
    <m/>
    <m/>
    <x v="1"/>
    <m/>
    <m/>
    <m/>
    <m/>
    <s v="PFS"/>
    <s v="CES_PFS (Owned by /C2PL/Aftertreatment)"/>
    <m/>
    <m/>
    <m/>
    <m/>
    <m/>
    <m/>
    <m/>
    <m/>
    <m/>
    <m/>
    <m/>
    <m/>
    <m/>
  </r>
  <r>
    <s v="iram nazneen (wa667)"/>
    <s v="Nileema Pailwan"/>
    <n v="0"/>
    <n v="85"/>
    <n v="85"/>
    <m/>
    <m/>
    <m/>
    <x v="70"/>
    <m/>
    <s v="HC diagnostics - Critical Parameters/ troubleshooting Parameters CSAR"/>
    <x v="0"/>
    <m/>
    <m/>
    <s v="09-09 : Evaluation in progress_x000a_29-Aug,28- Aug: Working on DDP wotk. Kept on hold._x000a_27-Aug: Initial analysis is in progress. To be discussed with Dhanrja to get the clarification._x000a_26-Aug: Yet to start."/>
    <x v="2"/>
    <m/>
    <m/>
    <m/>
    <m/>
    <m/>
    <m/>
    <m/>
    <m/>
    <m/>
    <m/>
    <m/>
    <m/>
    <m/>
    <m/>
    <s v="Very High"/>
    <m/>
    <m/>
    <m/>
    <s v="Assess"/>
    <s v="Change Request"/>
    <d v="2024-07-29T09:30:00"/>
    <s v="/CSARPL/Aftertreatment/Br001"/>
    <d v="2024-07-16T00:49:35"/>
    <m/>
    <m/>
    <x v="3"/>
    <m/>
    <m/>
    <m/>
    <x v="1"/>
    <m/>
    <m/>
    <m/>
    <m/>
    <s v="PFS"/>
    <s v="CES_PFS (Owned by /C2PL/Aftertreatment)"/>
    <m/>
    <m/>
    <m/>
    <m/>
    <m/>
    <m/>
    <m/>
    <m/>
    <m/>
    <m/>
    <m/>
    <m/>
    <m/>
  </r>
  <r>
    <s v="iram nazneen (wa667)"/>
    <s v="Nileema Pailwan"/>
    <n v="0"/>
    <n v="40"/>
    <n v="40"/>
    <m/>
    <m/>
    <m/>
    <x v="71"/>
    <m/>
    <s v="LOT DSFOV Diag improvement"/>
    <x v="0"/>
    <m/>
    <m/>
    <s v="23-08 : To be started"/>
    <x v="1"/>
    <m/>
    <m/>
    <m/>
    <m/>
    <m/>
    <m/>
    <m/>
    <m/>
    <m/>
    <m/>
    <m/>
    <s v="2024 Sep - CES PFS : 14702743"/>
    <m/>
    <m/>
    <s v="High"/>
    <m/>
    <m/>
    <m/>
    <s v="Assess"/>
    <s v="Change Request"/>
    <d v="2024-10-31T09:30:00"/>
    <s v="/CSARPL/Aftertreatment/Br001"/>
    <d v="2024-07-20T00:56:41"/>
    <m/>
    <m/>
    <x v="3"/>
    <m/>
    <m/>
    <m/>
    <x v="1"/>
    <m/>
    <m/>
    <m/>
    <m/>
    <s v="PFS"/>
    <s v="CES_PFS (Owned by /C2PL/Aftertreatment)"/>
    <m/>
    <m/>
    <m/>
    <m/>
    <m/>
    <m/>
    <m/>
    <m/>
    <m/>
    <m/>
    <m/>
    <m/>
    <m/>
  </r>
  <r>
    <s v="Balraj S Malage (wf327)"/>
    <s v="Vivek Panigrahi"/>
    <n v="30"/>
    <n v="38"/>
    <n v="8"/>
    <m/>
    <s v="CES CSAR 01.24.12.00 - 12962338"/>
    <s v="CES CSAR 01.24.12.00 - 12962338"/>
    <x v="95"/>
    <m/>
    <s v="CSAR SyncUp :- DTR replacement for AftDiesPartFiltDltPrRatDiag"/>
    <x v="1"/>
    <m/>
    <m/>
    <s v="27-Aug: DCR is submitted in Integrity."/>
    <x v="0"/>
    <m/>
    <m/>
    <m/>
    <m/>
    <m/>
    <m/>
    <m/>
    <m/>
    <m/>
    <m/>
    <m/>
    <s v="2024 Aug - CES PFS : 14503516"/>
    <m/>
    <m/>
    <s v="High"/>
    <m/>
    <d v="2024-08-08T00:00:00"/>
    <s v="27-08-2024 02:02:22"/>
    <s v="In Progress"/>
    <m/>
    <d v="2024-08-31T10:30:00"/>
    <m/>
    <m/>
    <d v="2024-08-27T00:00:00"/>
    <m/>
    <x v="41"/>
    <m/>
    <m/>
    <m/>
    <x v="9"/>
    <d v="2024-08-20T00:00:00"/>
    <d v="2024-08-23T00:00:00"/>
    <m/>
    <m/>
    <s v="PFS"/>
    <s v="CES_PFS (Owned by /C2PL/Aftertreatment)"/>
    <m/>
    <m/>
    <m/>
    <m/>
    <m/>
    <m/>
    <m/>
    <m/>
    <m/>
    <m/>
    <m/>
    <m/>
    <m/>
  </r>
  <r>
    <s v="Harshal Tayade (uq969)"/>
    <s v="Nileema Pailwan"/>
    <n v="8"/>
    <n v="8"/>
    <n v="0"/>
    <m/>
    <s v="CES CSAR 01.24.12.00 - 12962338"/>
    <m/>
    <x v="102"/>
    <m/>
    <s v="P Diagram Noise factor Add"/>
    <x v="2"/>
    <m/>
    <m/>
    <s v="04-09, 03-09, 28-08 : Checkin completed, DCR to be closed in integrity_x000a_26-08, 22-08 : Awaiting L2 review"/>
    <x v="0"/>
    <m/>
    <m/>
    <m/>
    <m/>
    <m/>
    <m/>
    <m/>
    <m/>
    <m/>
    <m/>
    <m/>
    <s v="2024 Aug - CES PFS : 14503516"/>
    <m/>
    <m/>
    <m/>
    <m/>
    <m/>
    <m/>
    <m/>
    <m/>
    <m/>
    <m/>
    <m/>
    <m/>
    <m/>
    <x v="0"/>
    <m/>
    <m/>
    <m/>
    <x v="11"/>
    <m/>
    <m/>
    <m/>
    <m/>
    <s v="PFS"/>
    <m/>
    <m/>
    <m/>
    <m/>
    <m/>
    <m/>
    <m/>
    <m/>
    <m/>
    <m/>
    <m/>
    <m/>
    <m/>
    <m/>
  </r>
  <r>
    <s v="vitthal shinde (xy599)"/>
    <s v="Vivek Panigrahi"/>
    <n v="0"/>
    <n v="69"/>
    <n v="69"/>
    <m/>
    <m/>
    <m/>
    <x v="118"/>
    <m/>
    <s v="ISMs need to be implement for AftSwtIntf component"/>
    <x v="1"/>
    <m/>
    <m/>
    <s v="23-08 : Analysis to be started"/>
    <x v="6"/>
    <m/>
    <m/>
    <m/>
    <m/>
    <m/>
    <m/>
    <m/>
    <m/>
    <m/>
    <m/>
    <m/>
    <s v="2024 Apr - CES PFS : 13371112"/>
    <m/>
    <m/>
    <s v="Very High"/>
    <m/>
    <m/>
    <m/>
    <s v="Assess"/>
    <s v="Change Request"/>
    <d v="2024-04-19T00:00:00"/>
    <s v="/CSARPL/Aftertreatment/Br001"/>
    <d v="2024-03-18T12:28:28"/>
    <m/>
    <m/>
    <x v="10"/>
    <m/>
    <m/>
    <m/>
    <x v="1"/>
    <s v="DRB/L2 : _x000a_SW_x000a_DOC_x000a_OBDM"/>
    <s v="DRB/L2 : _x000a_SW_x000a_DOC_x000a_OBDM"/>
    <m/>
    <m/>
    <s v="PFS"/>
    <s v="CES_PFS (Owned by /C2PL/Aftertreatment)"/>
    <m/>
    <m/>
    <m/>
    <m/>
    <m/>
    <m/>
    <m/>
    <m/>
    <m/>
    <m/>
    <m/>
    <m/>
    <m/>
  </r>
  <r>
    <s v="vitthal shinde (xy599)"/>
    <s v="Vivek Panigrahi"/>
    <n v="0"/>
    <n v="121"/>
    <n v="121"/>
    <m/>
    <m/>
    <m/>
    <x v="118"/>
    <m/>
    <s v="ISMs need to be implement for AftSwtIntf component"/>
    <x v="0"/>
    <m/>
    <m/>
    <m/>
    <x v="6"/>
    <m/>
    <m/>
    <m/>
    <m/>
    <m/>
    <m/>
    <m/>
    <m/>
    <m/>
    <m/>
    <m/>
    <m/>
    <m/>
    <m/>
    <m/>
    <m/>
    <m/>
    <m/>
    <m/>
    <m/>
    <m/>
    <m/>
    <m/>
    <m/>
    <m/>
    <x v="10"/>
    <m/>
    <m/>
    <m/>
    <x v="1"/>
    <m/>
    <m/>
    <m/>
    <m/>
    <s v="PFS"/>
    <m/>
    <m/>
    <m/>
    <m/>
    <m/>
    <m/>
    <m/>
    <m/>
    <m/>
    <m/>
    <m/>
    <m/>
    <m/>
    <m/>
  </r>
  <r>
    <s v="Tejas T Salunkhe (ur770)"/>
    <s v="Nileema Pailwan"/>
    <n v="0"/>
    <n v="0"/>
    <n v="0"/>
    <m/>
    <m/>
    <m/>
    <x v="119"/>
    <m/>
    <s v="_x0009__x000a_Task to analyze if SW change is needed for IPD diagnostic component"/>
    <x v="3"/>
    <m/>
    <m/>
    <s v="Dhanraj is working on its evalution. Reviewed model will received on 18th Sep"/>
    <x v="2"/>
    <m/>
    <m/>
    <m/>
    <m/>
    <m/>
    <m/>
    <m/>
    <m/>
    <m/>
    <m/>
    <m/>
    <m/>
    <m/>
    <m/>
    <m/>
    <m/>
    <m/>
    <m/>
    <m/>
    <m/>
    <m/>
    <m/>
    <m/>
    <s v="NA"/>
    <s v="NA"/>
    <x v="16"/>
    <m/>
    <m/>
    <m/>
    <x v="19"/>
    <m/>
    <m/>
    <m/>
    <m/>
    <m/>
    <m/>
    <m/>
    <m/>
    <m/>
    <m/>
    <m/>
    <m/>
    <m/>
    <m/>
    <m/>
    <m/>
    <m/>
    <m/>
    <m/>
  </r>
  <r>
    <s v="Prasad Yesardekar (uh542)"/>
    <s v="Nileema Pailwan"/>
    <n v="25"/>
    <n v="25"/>
    <n v="0"/>
    <m/>
    <m/>
    <m/>
    <x v="120"/>
    <m/>
    <s v="Change AftOpModePrmt to prevent engine braking from not permitting regens (AftOpModePrmt)"/>
    <x v="5"/>
    <m/>
    <m/>
    <s v="Closed"/>
    <x v="0"/>
    <m/>
    <m/>
    <m/>
    <m/>
    <m/>
    <m/>
    <m/>
    <m/>
    <m/>
    <m/>
    <m/>
    <m/>
    <m/>
    <m/>
    <m/>
    <m/>
    <m/>
    <m/>
    <m/>
    <m/>
    <m/>
    <m/>
    <m/>
    <m/>
    <m/>
    <x v="10"/>
    <m/>
    <m/>
    <m/>
    <x v="6"/>
    <d v="2024-09-09T00:00:00"/>
    <d v="2024-09-09T00:00:00"/>
    <m/>
    <m/>
    <m/>
    <m/>
    <m/>
    <m/>
    <m/>
    <m/>
    <m/>
    <m/>
    <m/>
    <m/>
    <m/>
    <m/>
    <m/>
    <m/>
    <m/>
  </r>
  <r>
    <s v="iram nazneen (wa667)"/>
    <s v="Nileema Pailwan"/>
    <m/>
    <m/>
    <n v="0"/>
    <m/>
    <m/>
    <m/>
    <x v="121"/>
    <m/>
    <s v="dmDOCNonMthnHydroCarbnConvEffLoErr - Improvement"/>
    <x v="5"/>
    <m/>
    <m/>
    <s v="Closed"/>
    <x v="0"/>
    <m/>
    <m/>
    <m/>
    <m/>
    <m/>
    <m/>
    <m/>
    <m/>
    <m/>
    <m/>
    <m/>
    <m/>
    <m/>
    <m/>
    <m/>
    <m/>
    <m/>
    <m/>
    <m/>
    <m/>
    <m/>
    <m/>
    <m/>
    <m/>
    <m/>
    <x v="10"/>
    <m/>
    <m/>
    <m/>
    <x v="6"/>
    <d v="2024-09-09T00:00:00"/>
    <d v="2024-09-09T00:00:00"/>
    <m/>
    <m/>
    <m/>
    <m/>
    <m/>
    <m/>
    <m/>
    <m/>
    <m/>
    <m/>
    <m/>
    <m/>
    <m/>
    <m/>
    <m/>
    <m/>
    <m/>
  </r>
  <r>
    <s v="Yogesh Yenorkar (vz001)"/>
    <s v="Rachna Pawale"/>
    <m/>
    <m/>
    <m/>
    <m/>
    <m/>
    <m/>
    <x v="122"/>
    <m/>
    <s v="Abort dmDiesOxidCatNotPresErr when heater is non-functional"/>
    <x v="5"/>
    <m/>
    <m/>
    <s v="Closed"/>
    <x v="0"/>
    <m/>
    <m/>
    <m/>
    <m/>
    <m/>
    <m/>
    <m/>
    <m/>
    <m/>
    <m/>
    <m/>
    <m/>
    <m/>
    <m/>
    <m/>
    <m/>
    <m/>
    <m/>
    <m/>
    <m/>
    <m/>
    <m/>
    <m/>
    <m/>
    <m/>
    <x v="10"/>
    <m/>
    <m/>
    <m/>
    <x v="19"/>
    <m/>
    <m/>
    <m/>
    <m/>
    <m/>
    <m/>
    <m/>
    <m/>
    <m/>
    <m/>
    <m/>
    <m/>
    <m/>
    <m/>
    <m/>
    <m/>
    <m/>
    <m/>
    <m/>
  </r>
  <r>
    <s v="Prasad Yesardekar (uh542)"/>
    <s v="Nileema Pailwan"/>
    <m/>
    <m/>
    <n v="0"/>
    <m/>
    <m/>
    <m/>
    <x v="123"/>
    <m/>
    <s v="Change AftOpModePrmt to prevent engine braking from not permitting regens (AftDiesOxidCatPIDFdbkCtrl)"/>
    <x v="5"/>
    <m/>
    <m/>
    <s v="Closed"/>
    <x v="0"/>
    <m/>
    <m/>
    <m/>
    <m/>
    <m/>
    <m/>
    <m/>
    <m/>
    <m/>
    <m/>
    <m/>
    <m/>
    <m/>
    <m/>
    <m/>
    <m/>
    <m/>
    <m/>
    <m/>
    <m/>
    <m/>
    <m/>
    <m/>
    <m/>
    <m/>
    <x v="10"/>
    <m/>
    <m/>
    <m/>
    <x v="6"/>
    <d v="2024-09-09T00:00:00"/>
    <d v="2024-09-09T00:00:00"/>
    <m/>
    <m/>
    <m/>
    <m/>
    <m/>
    <m/>
    <m/>
    <m/>
    <m/>
    <m/>
    <m/>
    <m/>
    <m/>
    <m/>
    <m/>
    <m/>
    <m/>
  </r>
  <r>
    <s v="Shubham U Pansare (so150)"/>
    <s v="Vivek Panigrahi"/>
    <m/>
    <m/>
    <m/>
    <m/>
    <m/>
    <m/>
    <x v="124"/>
    <m/>
    <s v="CSAR - Documentation for AftDiesOxidCatDtrDiag component"/>
    <x v="1"/>
    <m/>
    <m/>
    <s v="Closed"/>
    <x v="6"/>
    <m/>
    <m/>
    <m/>
    <m/>
    <m/>
    <m/>
    <m/>
    <m/>
    <m/>
    <m/>
    <m/>
    <m/>
    <m/>
    <m/>
    <m/>
    <m/>
    <m/>
    <m/>
    <m/>
    <m/>
    <m/>
    <m/>
    <m/>
    <m/>
    <m/>
    <x v="10"/>
    <m/>
    <m/>
    <m/>
    <x v="6"/>
    <d v="2024-09-09T00:00:00"/>
    <d v="2024-09-09T00:00:00"/>
    <m/>
    <m/>
    <m/>
    <m/>
    <m/>
    <m/>
    <m/>
    <m/>
    <m/>
    <m/>
    <m/>
    <m/>
    <m/>
    <m/>
    <m/>
    <m/>
    <m/>
  </r>
  <r>
    <s v="Anjali Akuskar"/>
    <s v="Nileema Pailwan"/>
    <m/>
    <m/>
    <n v="0"/>
    <m/>
    <s v="CES CSAR 01.24.12.00 - 12962338"/>
    <s v="CES CSAR 01.24.12.00 - 12962338"/>
    <x v="125"/>
    <m/>
    <s v="CSAR - Documentation for AftDiesOxidCatFacePlg component"/>
    <x v="0"/>
    <m/>
    <m/>
    <s v="Closed"/>
    <x v="0"/>
    <m/>
    <m/>
    <m/>
    <m/>
    <m/>
    <m/>
    <m/>
    <m/>
    <m/>
    <m/>
    <m/>
    <s v="2024 Aug - CES PFS : 14503516"/>
    <m/>
    <m/>
    <m/>
    <m/>
    <d v="2024-04-05T00:00:00"/>
    <m/>
    <m/>
    <m/>
    <m/>
    <m/>
    <m/>
    <m/>
    <m/>
    <x v="10"/>
    <m/>
    <m/>
    <m/>
    <x v="18"/>
    <d v="2024-08-01T00:00:00"/>
    <d v="2024-08-05T00:00:00"/>
    <m/>
    <m/>
    <s v="PFS"/>
    <m/>
    <m/>
    <m/>
    <m/>
    <m/>
    <m/>
    <m/>
    <m/>
    <m/>
    <m/>
    <m/>
    <m/>
    <m/>
    <m/>
  </r>
  <r>
    <s v="Nileema Pailwan (mt618)"/>
    <s v="Nileema Pailwan"/>
    <m/>
    <m/>
    <n v="0"/>
    <m/>
    <m/>
    <m/>
    <x v="126"/>
    <m/>
    <s v="FIM interface update required in AftPartMatSenCProtTubeMonDiag"/>
    <x v="1"/>
    <m/>
    <m/>
    <s v="Closed"/>
    <x v="7"/>
    <m/>
    <m/>
    <m/>
    <m/>
    <m/>
    <m/>
    <m/>
    <m/>
    <m/>
    <m/>
    <m/>
    <m/>
    <m/>
    <m/>
    <m/>
    <m/>
    <m/>
    <m/>
    <m/>
    <m/>
    <m/>
    <m/>
    <m/>
    <m/>
    <m/>
    <x v="10"/>
    <m/>
    <m/>
    <m/>
    <x v="6"/>
    <m/>
    <d v="2024-09-09T00:00:00"/>
    <m/>
    <m/>
    <m/>
    <m/>
    <m/>
    <m/>
    <m/>
    <m/>
    <m/>
    <m/>
    <m/>
    <m/>
    <m/>
    <m/>
    <m/>
    <m/>
    <m/>
  </r>
  <r>
    <s v="Nileema Pailwan (mt618)"/>
    <s v="Nileema Pailwan"/>
    <m/>
    <m/>
    <n v="0"/>
    <m/>
    <m/>
    <m/>
    <x v="127"/>
    <m/>
    <s v="_x0009__x000a_Implement DTR blocks - FMI Based diagnostics"/>
    <x v="0"/>
    <m/>
    <m/>
    <s v="Closed"/>
    <x v="7"/>
    <m/>
    <m/>
    <m/>
    <m/>
    <m/>
    <m/>
    <m/>
    <m/>
    <m/>
    <m/>
    <m/>
    <m/>
    <m/>
    <m/>
    <m/>
    <m/>
    <m/>
    <m/>
    <m/>
    <m/>
    <m/>
    <m/>
    <m/>
    <m/>
    <m/>
    <x v="10"/>
    <m/>
    <m/>
    <m/>
    <x v="6"/>
    <d v="2024-09-09T00:00:00"/>
    <d v="2024-09-09T00:00:00"/>
    <m/>
    <m/>
    <m/>
    <m/>
    <m/>
    <m/>
    <m/>
    <m/>
    <m/>
    <m/>
    <m/>
    <m/>
    <m/>
    <m/>
    <m/>
    <m/>
    <m/>
  </r>
  <r>
    <s v="Anushka P Gaikwad (wf298)"/>
    <s v="Rachna Pawale"/>
    <n v="2"/>
    <m/>
    <n v="-2"/>
    <m/>
    <m/>
    <m/>
    <x v="128"/>
    <m/>
    <s v="DCR for Min-Max for CSAR version capability parameters for SCR severe temp errors"/>
    <x v="1"/>
    <m/>
    <m/>
    <s v="18 Sep : Eval in progress_x000a_13 Sep : Eval in progress_x000a_11 Sep : To start on priority"/>
    <x v="3"/>
    <m/>
    <m/>
    <m/>
    <m/>
    <m/>
    <m/>
    <m/>
    <m/>
    <m/>
    <m/>
    <m/>
    <m/>
    <m/>
    <m/>
    <m/>
    <m/>
    <m/>
    <m/>
    <m/>
    <m/>
    <m/>
    <m/>
    <m/>
    <m/>
    <m/>
    <x v="15"/>
    <m/>
    <m/>
    <m/>
    <x v="1"/>
    <m/>
    <m/>
    <m/>
    <m/>
    <m/>
    <m/>
    <m/>
    <m/>
    <m/>
    <m/>
    <m/>
    <m/>
    <m/>
    <m/>
    <m/>
    <m/>
    <m/>
    <m/>
    <m/>
  </r>
  <r>
    <s v="Nileema Pailwan (mt618)"/>
    <s v="Nileema Pailwan"/>
    <m/>
    <m/>
    <n v="0"/>
    <m/>
    <m/>
    <m/>
    <x v="129"/>
    <m/>
    <s v="FIM interface update required in AftDiesOxidCatNonMthnHCEffDiag"/>
    <x v="0"/>
    <m/>
    <m/>
    <m/>
    <x v="7"/>
    <m/>
    <m/>
    <m/>
    <m/>
    <m/>
    <m/>
    <m/>
    <m/>
    <m/>
    <m/>
    <m/>
    <m/>
    <m/>
    <m/>
    <m/>
    <m/>
    <m/>
    <m/>
    <m/>
    <m/>
    <m/>
    <m/>
    <m/>
    <m/>
    <m/>
    <x v="10"/>
    <m/>
    <m/>
    <m/>
    <x v="1"/>
    <m/>
    <m/>
    <m/>
    <m/>
    <m/>
    <m/>
    <m/>
    <m/>
    <m/>
    <m/>
    <m/>
    <m/>
    <m/>
    <m/>
    <m/>
    <m/>
    <m/>
    <m/>
    <m/>
  </r>
  <r>
    <s v="Nileema Pailwan (mt618)"/>
    <s v="Nileema Pailwan"/>
    <m/>
    <m/>
    <n v="0"/>
    <m/>
    <m/>
    <m/>
    <x v="130"/>
    <m/>
    <s v="Need to create open port for ppAftProcExhDataFromHtr and ppAftProcExhDataFromBankASFM"/>
    <x v="1"/>
    <m/>
    <m/>
    <s v="Moved to Q1"/>
    <x v="5"/>
    <m/>
    <m/>
    <m/>
    <m/>
    <m/>
    <m/>
    <m/>
    <m/>
    <m/>
    <m/>
    <m/>
    <m/>
    <m/>
    <m/>
    <m/>
    <m/>
    <m/>
    <m/>
    <m/>
    <m/>
    <m/>
    <m/>
    <m/>
    <m/>
    <m/>
    <x v="10"/>
    <m/>
    <m/>
    <m/>
    <x v="1"/>
    <m/>
    <m/>
    <m/>
    <m/>
    <m/>
    <m/>
    <m/>
    <m/>
    <m/>
    <m/>
    <m/>
    <m/>
    <m/>
    <m/>
    <m/>
    <m/>
    <m/>
    <m/>
    <m/>
  </r>
  <r>
    <s v="iram nazneen (wa667)"/>
    <s v="Nileema Pailwan"/>
    <m/>
    <m/>
    <n v="0"/>
    <m/>
    <s v="CES CSAR 01.24.12.00 - 12962338"/>
    <s v="CES CSAR 01.24.12.00 - 12962338"/>
    <x v="131"/>
    <m/>
    <s v="Need modification in limits for IsmAftDiesPartFiltInComplRegenDiagAccumDMBRate to allow lowering of Soot estimation in DPF Incomplete Regen Diagnsotic"/>
    <x v="1"/>
    <m/>
    <m/>
    <s v="Evaluation closed"/>
    <x v="0"/>
    <m/>
    <m/>
    <m/>
    <m/>
    <m/>
    <m/>
    <m/>
    <m/>
    <m/>
    <m/>
    <m/>
    <s v="2024 Aug - CES PFS : 14503516"/>
    <m/>
    <m/>
    <m/>
    <m/>
    <d v="2024-07-26T00:00:00"/>
    <m/>
    <m/>
    <m/>
    <m/>
    <m/>
    <m/>
    <m/>
    <m/>
    <x v="10"/>
    <m/>
    <m/>
    <m/>
    <x v="20"/>
    <d v="2024-07-29T00:00:00"/>
    <d v="2024-07-29T00:00:00"/>
    <m/>
    <m/>
    <s v="PFS"/>
    <m/>
    <m/>
    <m/>
    <m/>
    <m/>
    <m/>
    <m/>
    <m/>
    <m/>
    <m/>
    <m/>
    <m/>
    <m/>
    <m/>
  </r>
  <r>
    <s v="iram nazneen (wa667)"/>
    <s v="Nileema Pailwan"/>
    <m/>
    <m/>
    <n v="0"/>
    <m/>
    <m/>
    <m/>
    <x v="132"/>
    <m/>
    <s v="Copy logic for signals ppAftElecHtrSt_deVal , ppAftElecHtrInlTmptr_deStatus, ppAftElecHtrInlTmptr_deVal from AftElechtrProc to AftDualHtrCtrlIPwrD as AftElechtrProc component is getting removed for IPD composition"/>
    <x v="1"/>
    <m/>
    <m/>
    <s v="Rejected"/>
    <x v="6"/>
    <m/>
    <m/>
    <m/>
    <m/>
    <m/>
    <m/>
    <m/>
    <m/>
    <m/>
    <m/>
    <m/>
    <m/>
    <m/>
    <m/>
    <m/>
    <m/>
    <m/>
    <m/>
    <m/>
    <m/>
    <m/>
    <m/>
    <m/>
    <m/>
    <m/>
    <x v="10"/>
    <m/>
    <m/>
    <m/>
    <x v="1"/>
    <m/>
    <m/>
    <m/>
    <m/>
    <m/>
    <m/>
    <m/>
    <m/>
    <m/>
    <m/>
    <m/>
    <m/>
    <m/>
    <m/>
    <m/>
    <m/>
    <m/>
    <m/>
    <m/>
  </r>
  <r>
    <s v="Tejas T Salunkhe (ur770)"/>
    <s v="Nileema Pailwan"/>
    <n v="0"/>
    <n v="0"/>
    <n v="0"/>
    <m/>
    <m/>
    <m/>
    <x v="119"/>
    <m/>
    <s v="_x0009__x000a_Task to analyze if SW change is needed for IPD diagnostic component"/>
    <x v="4"/>
    <m/>
    <m/>
    <s v="Dhanraj is working on its evalution. Reviewed model will received on 18th Sep"/>
    <x v="2"/>
    <m/>
    <m/>
    <m/>
    <m/>
    <m/>
    <m/>
    <m/>
    <m/>
    <m/>
    <m/>
    <m/>
    <m/>
    <m/>
    <m/>
    <m/>
    <m/>
    <m/>
    <m/>
    <m/>
    <m/>
    <m/>
    <m/>
    <m/>
    <s v="NA"/>
    <s v="NA"/>
    <x v="16"/>
    <m/>
    <m/>
    <m/>
    <x v="19"/>
    <m/>
    <m/>
    <m/>
    <m/>
    <m/>
    <m/>
    <m/>
    <m/>
    <m/>
    <m/>
    <m/>
    <m/>
    <m/>
    <m/>
    <m/>
    <m/>
    <m/>
    <m/>
    <m/>
  </r>
  <r>
    <s v="Prasad Yesardekar (uh542)"/>
    <s v="Nileema Pailwan"/>
    <n v="40"/>
    <n v="40"/>
    <n v="0"/>
    <m/>
    <m/>
    <m/>
    <x v="120"/>
    <m/>
    <s v="Change AftOpModePrmt to prevent engine braking from not permitting regens (AftOpModePrmt)"/>
    <x v="2"/>
    <m/>
    <m/>
    <s v="Closed"/>
    <x v="0"/>
    <m/>
    <m/>
    <m/>
    <m/>
    <m/>
    <m/>
    <m/>
    <m/>
    <m/>
    <m/>
    <m/>
    <m/>
    <m/>
    <m/>
    <m/>
    <m/>
    <m/>
    <m/>
    <m/>
    <m/>
    <m/>
    <m/>
    <m/>
    <m/>
    <m/>
    <x v="10"/>
    <m/>
    <m/>
    <m/>
    <x v="6"/>
    <d v="2024-09-09T00:00:00"/>
    <d v="2024-09-09T00:00:00"/>
    <m/>
    <m/>
    <m/>
    <m/>
    <m/>
    <m/>
    <m/>
    <m/>
    <m/>
    <m/>
    <m/>
    <m/>
    <m/>
    <m/>
    <m/>
    <m/>
    <m/>
  </r>
  <r>
    <s v="iram nazneen (wa667)"/>
    <s v="Nileema Pailwan"/>
    <m/>
    <m/>
    <n v="0"/>
    <m/>
    <m/>
    <m/>
    <x v="121"/>
    <m/>
    <s v="dmDOCNonMthnHydroCarbnConvEffLoErr - Improvement"/>
    <x v="2"/>
    <m/>
    <m/>
    <s v="Closed"/>
    <x v="0"/>
    <m/>
    <m/>
    <m/>
    <m/>
    <m/>
    <m/>
    <m/>
    <m/>
    <m/>
    <m/>
    <m/>
    <m/>
    <m/>
    <m/>
    <m/>
    <m/>
    <m/>
    <m/>
    <m/>
    <m/>
    <m/>
    <m/>
    <m/>
    <m/>
    <m/>
    <x v="10"/>
    <m/>
    <m/>
    <m/>
    <x v="6"/>
    <d v="2024-09-09T00:00:00"/>
    <d v="2024-09-09T00:00:00"/>
    <m/>
    <m/>
    <m/>
    <m/>
    <m/>
    <m/>
    <m/>
    <m/>
    <m/>
    <m/>
    <m/>
    <m/>
    <m/>
    <m/>
    <m/>
    <m/>
    <m/>
  </r>
  <r>
    <s v="Yogesh Yenorkar (vz001)"/>
    <s v="Rachna Pawale"/>
    <m/>
    <m/>
    <m/>
    <m/>
    <m/>
    <m/>
    <x v="122"/>
    <m/>
    <s v="Abort dmDiesOxidCatNotPresErr when heater is non-functional"/>
    <x v="2"/>
    <m/>
    <m/>
    <s v="Closed"/>
    <x v="0"/>
    <m/>
    <m/>
    <m/>
    <m/>
    <m/>
    <m/>
    <m/>
    <m/>
    <m/>
    <m/>
    <m/>
    <m/>
    <m/>
    <m/>
    <m/>
    <m/>
    <m/>
    <m/>
    <m/>
    <m/>
    <m/>
    <m/>
    <m/>
    <m/>
    <m/>
    <x v="10"/>
    <m/>
    <m/>
    <m/>
    <x v="19"/>
    <m/>
    <m/>
    <m/>
    <m/>
    <m/>
    <m/>
    <m/>
    <m/>
    <m/>
    <m/>
    <m/>
    <m/>
    <m/>
    <m/>
    <m/>
    <m/>
    <m/>
    <m/>
    <m/>
  </r>
  <r>
    <s v="Prasad Yesardekar (uh542)"/>
    <s v="Nileema Pailwan"/>
    <m/>
    <m/>
    <n v="0"/>
    <m/>
    <m/>
    <m/>
    <x v="123"/>
    <m/>
    <s v="Change AftOpModePrmt to prevent engine braking from not permitting regens (AftDiesOxidCatPIDFdbkCtrl)"/>
    <x v="2"/>
    <m/>
    <m/>
    <s v="Closed"/>
    <x v="0"/>
    <m/>
    <m/>
    <m/>
    <m/>
    <m/>
    <m/>
    <m/>
    <m/>
    <m/>
    <m/>
    <m/>
    <m/>
    <m/>
    <m/>
    <m/>
    <m/>
    <m/>
    <m/>
    <m/>
    <m/>
    <m/>
    <m/>
    <m/>
    <m/>
    <m/>
    <x v="10"/>
    <m/>
    <m/>
    <m/>
    <x v="6"/>
    <d v="2024-09-09T00:00:00"/>
    <d v="2024-09-09T00:00:00"/>
    <m/>
    <m/>
    <m/>
    <m/>
    <m/>
    <m/>
    <m/>
    <m/>
    <m/>
    <m/>
    <m/>
    <m/>
    <m/>
    <m/>
    <m/>
    <m/>
    <m/>
  </r>
  <r>
    <s v="Shubham U Pansare (so150)"/>
    <s v="Vivek Panigrahi"/>
    <m/>
    <m/>
    <m/>
    <m/>
    <m/>
    <m/>
    <x v="124"/>
    <m/>
    <s v="CSAR - Documentation for AftDiesOxidCatDtrDiag component"/>
    <x v="0"/>
    <m/>
    <m/>
    <s v="Closed"/>
    <x v="6"/>
    <m/>
    <m/>
    <m/>
    <m/>
    <m/>
    <m/>
    <m/>
    <m/>
    <m/>
    <m/>
    <m/>
    <m/>
    <m/>
    <m/>
    <m/>
    <m/>
    <m/>
    <m/>
    <m/>
    <m/>
    <m/>
    <m/>
    <m/>
    <m/>
    <m/>
    <x v="10"/>
    <m/>
    <m/>
    <m/>
    <x v="6"/>
    <d v="2024-09-09T00:00:00"/>
    <d v="2024-09-09T00:00:00"/>
    <m/>
    <m/>
    <m/>
    <m/>
    <m/>
    <m/>
    <m/>
    <m/>
    <m/>
    <m/>
    <m/>
    <m/>
    <m/>
    <m/>
    <m/>
    <m/>
    <m/>
  </r>
  <r>
    <s v="Anjali Akuskar"/>
    <s v="Nileema Pailwan"/>
    <m/>
    <m/>
    <n v="0"/>
    <m/>
    <m/>
    <m/>
    <x v="125"/>
    <m/>
    <s v="CSAR - Documentation for AftDiesOxidCatFacePlg component"/>
    <x v="2"/>
    <m/>
    <m/>
    <s v="Closed"/>
    <x v="0"/>
    <m/>
    <m/>
    <m/>
    <m/>
    <m/>
    <m/>
    <m/>
    <m/>
    <m/>
    <m/>
    <m/>
    <m/>
    <m/>
    <m/>
    <m/>
    <m/>
    <m/>
    <m/>
    <m/>
    <m/>
    <m/>
    <m/>
    <m/>
    <m/>
    <m/>
    <x v="10"/>
    <m/>
    <m/>
    <m/>
    <x v="6"/>
    <d v="2024-09-09T00:00:00"/>
    <d v="2024-09-09T00:00:00"/>
    <m/>
    <m/>
    <m/>
    <m/>
    <m/>
    <m/>
    <m/>
    <m/>
    <m/>
    <m/>
    <m/>
    <m/>
    <m/>
    <m/>
    <m/>
    <m/>
    <m/>
  </r>
  <r>
    <s v="Nileema Pailwan (mt618)"/>
    <s v="Nileema Pailwan"/>
    <m/>
    <m/>
    <n v="0"/>
    <m/>
    <m/>
    <m/>
    <x v="126"/>
    <m/>
    <s v="FIM interface update required in AftPartMatSenCProtTubeMonDiag"/>
    <x v="0"/>
    <m/>
    <m/>
    <s v="Closed"/>
    <x v="7"/>
    <m/>
    <m/>
    <m/>
    <m/>
    <m/>
    <m/>
    <m/>
    <m/>
    <m/>
    <m/>
    <m/>
    <m/>
    <m/>
    <m/>
    <m/>
    <m/>
    <m/>
    <m/>
    <m/>
    <m/>
    <m/>
    <m/>
    <m/>
    <m/>
    <m/>
    <x v="10"/>
    <m/>
    <m/>
    <m/>
    <x v="6"/>
    <m/>
    <d v="2024-09-09T00:00:00"/>
    <m/>
    <m/>
    <m/>
    <m/>
    <m/>
    <m/>
    <m/>
    <m/>
    <m/>
    <m/>
    <m/>
    <m/>
    <m/>
    <m/>
    <m/>
    <m/>
    <m/>
  </r>
  <r>
    <s v="Nileema Pailwan (mt618)"/>
    <s v="Nileema Pailwan"/>
    <m/>
    <m/>
    <n v="0"/>
    <m/>
    <m/>
    <m/>
    <x v="127"/>
    <m/>
    <s v="_x0009__x000a_Implement DTR blocks - FMI Based diagnostics"/>
    <x v="1"/>
    <m/>
    <m/>
    <s v="Closed"/>
    <x v="7"/>
    <m/>
    <m/>
    <m/>
    <m/>
    <m/>
    <m/>
    <m/>
    <m/>
    <m/>
    <m/>
    <m/>
    <m/>
    <m/>
    <m/>
    <m/>
    <m/>
    <m/>
    <m/>
    <m/>
    <m/>
    <m/>
    <m/>
    <m/>
    <m/>
    <m/>
    <x v="10"/>
    <m/>
    <m/>
    <m/>
    <x v="6"/>
    <d v="2024-09-09T00:00:00"/>
    <d v="2024-09-09T00:00:00"/>
    <m/>
    <m/>
    <m/>
    <m/>
    <m/>
    <m/>
    <m/>
    <m/>
    <m/>
    <m/>
    <m/>
    <m/>
    <m/>
    <m/>
    <m/>
    <m/>
    <m/>
  </r>
  <r>
    <s v="Anushka P Gaikwad (wf298)"/>
    <s v="Rachna Pawale"/>
    <m/>
    <m/>
    <n v="0"/>
    <m/>
    <m/>
    <m/>
    <x v="128"/>
    <m/>
    <s v="DCR for Min-Max for CSAR version capability parameters for SCR severe temp errors"/>
    <x v="0"/>
    <m/>
    <m/>
    <m/>
    <x v="2"/>
    <m/>
    <m/>
    <m/>
    <m/>
    <m/>
    <m/>
    <m/>
    <m/>
    <m/>
    <m/>
    <m/>
    <m/>
    <m/>
    <m/>
    <m/>
    <m/>
    <m/>
    <m/>
    <m/>
    <m/>
    <m/>
    <m/>
    <m/>
    <m/>
    <m/>
    <x v="32"/>
    <m/>
    <m/>
    <m/>
    <x v="1"/>
    <m/>
    <m/>
    <m/>
    <m/>
    <m/>
    <m/>
    <m/>
    <m/>
    <m/>
    <m/>
    <m/>
    <m/>
    <m/>
    <m/>
    <m/>
    <m/>
    <m/>
    <m/>
    <m/>
  </r>
  <r>
    <s v="Nileema Pailwan (mt618)"/>
    <s v="Nileema Pailwan"/>
    <m/>
    <m/>
    <n v="0"/>
    <m/>
    <m/>
    <m/>
    <x v="129"/>
    <m/>
    <s v="FIM interface update required in AftDiesOxidCatNonMthnHCEffDiag"/>
    <x v="1"/>
    <m/>
    <m/>
    <m/>
    <x v="7"/>
    <m/>
    <m/>
    <m/>
    <m/>
    <m/>
    <m/>
    <m/>
    <m/>
    <m/>
    <m/>
    <m/>
    <m/>
    <m/>
    <m/>
    <m/>
    <m/>
    <m/>
    <m/>
    <m/>
    <m/>
    <m/>
    <m/>
    <m/>
    <m/>
    <m/>
    <x v="10"/>
    <m/>
    <m/>
    <m/>
    <x v="1"/>
    <m/>
    <m/>
    <m/>
    <m/>
    <m/>
    <m/>
    <m/>
    <m/>
    <m/>
    <m/>
    <m/>
    <m/>
    <m/>
    <m/>
    <m/>
    <m/>
    <m/>
    <m/>
    <m/>
  </r>
  <r>
    <s v="Nileema Pailwan (mt618)"/>
    <s v="Nileema Pailwan"/>
    <m/>
    <m/>
    <n v="0"/>
    <m/>
    <m/>
    <m/>
    <x v="130"/>
    <m/>
    <s v="Need to create open port for ppAftProcExhDataFromHtr and ppAftProcExhDataFromBankASFM"/>
    <x v="0"/>
    <m/>
    <m/>
    <s v="Moved to Q1"/>
    <x v="5"/>
    <m/>
    <m/>
    <m/>
    <m/>
    <m/>
    <m/>
    <m/>
    <m/>
    <m/>
    <m/>
    <m/>
    <m/>
    <m/>
    <m/>
    <m/>
    <m/>
    <m/>
    <m/>
    <m/>
    <m/>
    <m/>
    <m/>
    <m/>
    <m/>
    <m/>
    <x v="10"/>
    <m/>
    <m/>
    <m/>
    <x v="1"/>
    <m/>
    <m/>
    <m/>
    <m/>
    <m/>
    <m/>
    <m/>
    <m/>
    <m/>
    <m/>
    <m/>
    <m/>
    <m/>
    <m/>
    <m/>
    <m/>
    <m/>
    <m/>
    <m/>
  </r>
  <r>
    <s v="iram nazneen (wa667)"/>
    <s v="Nileema Pailwan"/>
    <m/>
    <m/>
    <n v="0"/>
    <m/>
    <s v="CES CSAR 01.24.12.00 - 12962338"/>
    <s v="CES CSAR 01.24.12.00 - 12962338"/>
    <x v="131"/>
    <m/>
    <s v="Need modification in limits for IsmAftDiesPartFiltInComplRegenDiagAccumDMBRate to allow lowering of Soot estimation in DPF Incomplete Regen Diagnsotic"/>
    <x v="0"/>
    <m/>
    <m/>
    <s v="Evaluation closed"/>
    <x v="0"/>
    <m/>
    <m/>
    <m/>
    <m/>
    <m/>
    <m/>
    <m/>
    <m/>
    <m/>
    <m/>
    <m/>
    <s v="2024 Aug - CES PFS : 14503516"/>
    <m/>
    <m/>
    <m/>
    <m/>
    <d v="2024-07-26T00:00:00"/>
    <m/>
    <m/>
    <m/>
    <m/>
    <m/>
    <m/>
    <m/>
    <m/>
    <x v="10"/>
    <m/>
    <m/>
    <m/>
    <x v="21"/>
    <d v="2024-08-02T00:00:00"/>
    <d v="2024-08-06T00:00:00"/>
    <m/>
    <m/>
    <s v="PFS"/>
    <m/>
    <m/>
    <m/>
    <m/>
    <m/>
    <m/>
    <m/>
    <m/>
    <m/>
    <m/>
    <m/>
    <m/>
    <m/>
    <m/>
  </r>
  <r>
    <s v="iram nazneen (wa667)"/>
    <s v="Nileema Pailwan"/>
    <m/>
    <m/>
    <n v="0"/>
    <m/>
    <m/>
    <m/>
    <x v="132"/>
    <m/>
    <s v="Copy logic for signals ppAftElecHtrSt_deVal , ppAftElecHtrInlTmptr_deStatus, ppAftElecHtrInlTmptr_deVal from AftElechtrProc to AftDualHtrCtrlIPwrD as AftElechtrProc component is getting removed for IPD composition"/>
    <x v="0"/>
    <m/>
    <m/>
    <s v="Rejected"/>
    <x v="6"/>
    <m/>
    <m/>
    <m/>
    <m/>
    <m/>
    <m/>
    <m/>
    <m/>
    <m/>
    <m/>
    <m/>
    <m/>
    <m/>
    <m/>
    <m/>
    <m/>
    <m/>
    <m/>
    <m/>
    <m/>
    <m/>
    <m/>
    <m/>
    <m/>
    <m/>
    <x v="10"/>
    <m/>
    <m/>
    <m/>
    <x v="1"/>
    <m/>
    <m/>
    <m/>
    <m/>
    <m/>
    <m/>
    <m/>
    <m/>
    <m/>
    <m/>
    <m/>
    <m/>
    <m/>
    <m/>
    <m/>
    <m/>
    <m/>
    <m/>
    <m/>
  </r>
  <r>
    <s v="Swayangdipta sarkar (wa754)"/>
    <s v="Nileema Pailwan"/>
    <n v="32"/>
    <n v="30"/>
    <n v="-2"/>
    <m/>
    <m/>
    <m/>
    <x v="133"/>
    <m/>
    <s v="CSAR - Cert Doc Update for AftElecHtrDiag Component"/>
    <x v="0"/>
    <m/>
    <m/>
    <s v="16-09 : received action items during forum review, working on action items_x000a_13-09 : CDS and L2 review both are passed, Plan to go for OBD forum actino item closure today_x000a_12-09 : Certdoc CDS review and application guide L2 review is passed"/>
    <x v="3"/>
    <m/>
    <m/>
    <m/>
    <m/>
    <m/>
    <m/>
    <m/>
    <m/>
    <m/>
    <m/>
    <m/>
    <m/>
    <m/>
    <m/>
    <m/>
    <m/>
    <m/>
    <m/>
    <m/>
    <m/>
    <m/>
    <m/>
    <m/>
    <m/>
    <m/>
    <x v="9"/>
    <m/>
    <m/>
    <m/>
    <x v="1"/>
    <d v="2024-09-13T00:00:00"/>
    <m/>
    <m/>
    <m/>
    <m/>
    <m/>
    <m/>
    <m/>
    <m/>
    <m/>
    <m/>
    <m/>
    <m/>
    <m/>
    <m/>
    <m/>
    <m/>
    <m/>
    <m/>
  </r>
  <r>
    <s v="sheetal Vishwakarma (wa663)"/>
    <s v="Nileema Pailwan"/>
    <m/>
    <n v="30"/>
    <m/>
    <m/>
    <m/>
    <m/>
    <x v="134"/>
    <m/>
    <s v="SCR heater not responding diagnostic change for temperature sensor 5-8"/>
    <x v="1"/>
    <m/>
    <m/>
    <m/>
    <x v="2"/>
    <m/>
    <m/>
    <m/>
    <m/>
    <m/>
    <m/>
    <m/>
    <m/>
    <m/>
    <m/>
    <m/>
    <m/>
    <m/>
    <m/>
    <m/>
    <m/>
    <m/>
    <m/>
    <m/>
    <m/>
    <m/>
    <m/>
    <m/>
    <m/>
    <m/>
    <x v="20"/>
    <m/>
    <m/>
    <m/>
    <x v="1"/>
    <m/>
    <m/>
    <m/>
    <m/>
    <m/>
    <m/>
    <m/>
    <m/>
    <m/>
    <m/>
    <m/>
    <m/>
    <m/>
    <m/>
    <m/>
    <m/>
    <m/>
    <m/>
    <m/>
  </r>
  <r>
    <s v="sheetal Vishwakarma (wa663)"/>
    <s v="Nileema Pailwan"/>
    <m/>
    <n v="100"/>
    <m/>
    <m/>
    <m/>
    <m/>
    <x v="134"/>
    <m/>
    <s v="SCR heater not responding diagnostic change for temperature sensor 5-8"/>
    <x v="0"/>
    <m/>
    <m/>
    <m/>
    <x v="2"/>
    <m/>
    <m/>
    <m/>
    <m/>
    <m/>
    <m/>
    <m/>
    <m/>
    <m/>
    <m/>
    <m/>
    <m/>
    <m/>
    <m/>
    <m/>
    <m/>
    <m/>
    <m/>
    <m/>
    <m/>
    <m/>
    <m/>
    <m/>
    <m/>
    <m/>
    <x v="20"/>
    <m/>
    <m/>
    <m/>
    <x v="1"/>
    <m/>
    <m/>
    <m/>
    <m/>
    <m/>
    <m/>
    <m/>
    <m/>
    <m/>
    <m/>
    <m/>
    <m/>
    <m/>
    <m/>
    <m/>
    <m/>
    <m/>
    <m/>
    <m/>
  </r>
  <r>
    <s v="Harshada Borude (ur897)"/>
    <s v="Vivek Panigrahi"/>
    <n v="0"/>
    <n v="4"/>
    <n v="4"/>
    <m/>
    <m/>
    <m/>
    <x v="50"/>
    <m/>
    <s v="DCR to Implement DeltaP and OutP Parameters in CSAR to collect capability and IUPR data"/>
    <x v="1"/>
    <m/>
    <m/>
    <s v="Yet to start"/>
    <x v="2"/>
    <m/>
    <m/>
    <m/>
    <m/>
    <m/>
    <m/>
    <m/>
    <m/>
    <m/>
    <m/>
    <m/>
    <m/>
    <m/>
    <m/>
    <m/>
    <m/>
    <m/>
    <m/>
    <m/>
    <m/>
    <m/>
    <m/>
    <m/>
    <m/>
    <m/>
    <x v="10"/>
    <m/>
    <m/>
    <m/>
    <x v="1"/>
    <m/>
    <m/>
    <m/>
    <m/>
    <m/>
    <m/>
    <m/>
    <m/>
    <m/>
    <m/>
    <m/>
    <m/>
    <m/>
    <m/>
    <m/>
    <m/>
    <m/>
    <m/>
    <m/>
  </r>
  <r>
    <s v="Harshada Borude (ur897)"/>
    <s v="Vivek Panigrahi"/>
    <n v="0"/>
    <n v="6"/>
    <n v="6"/>
    <m/>
    <m/>
    <m/>
    <x v="54"/>
    <m/>
    <s v="Update the Tuning Guide for CSAR Programs for DeltaP and OutP Diagnostics"/>
    <x v="0"/>
    <m/>
    <m/>
    <s v="Yet to start"/>
    <x v="2"/>
    <m/>
    <m/>
    <m/>
    <m/>
    <m/>
    <m/>
    <m/>
    <m/>
    <m/>
    <m/>
    <m/>
    <m/>
    <m/>
    <m/>
    <m/>
    <m/>
    <m/>
    <m/>
    <m/>
    <m/>
    <m/>
    <m/>
    <m/>
    <m/>
    <m/>
    <x v="10"/>
    <m/>
    <m/>
    <m/>
    <x v="1"/>
    <m/>
    <m/>
    <m/>
    <m/>
    <m/>
    <m/>
    <m/>
    <m/>
    <m/>
    <m/>
    <m/>
    <m/>
    <m/>
    <m/>
    <m/>
    <m/>
    <m/>
    <m/>
    <m/>
  </r>
  <r>
    <s v="Harshada Borude (ur897)"/>
    <s v="Vivek Panigrahi"/>
    <n v="0"/>
    <n v="6"/>
    <n v="6"/>
    <m/>
    <m/>
    <m/>
    <x v="50"/>
    <m/>
    <s v="DCR to Implement DeltaP and OutP Parameters in CSAR to collect capability and IUPR data"/>
    <x v="0"/>
    <m/>
    <m/>
    <s v="Yet to start"/>
    <x v="2"/>
    <m/>
    <m/>
    <m/>
    <m/>
    <m/>
    <m/>
    <m/>
    <m/>
    <m/>
    <m/>
    <m/>
    <m/>
    <m/>
    <m/>
    <m/>
    <m/>
    <m/>
    <m/>
    <m/>
    <m/>
    <m/>
    <m/>
    <m/>
    <m/>
    <m/>
    <x v="10"/>
    <m/>
    <m/>
    <m/>
    <x v="1"/>
    <m/>
    <m/>
    <m/>
    <m/>
    <m/>
    <m/>
    <m/>
    <m/>
    <m/>
    <m/>
    <m/>
    <m/>
    <m/>
    <m/>
    <m/>
    <m/>
    <m/>
    <m/>
    <m/>
  </r>
  <r>
    <s v="sumitkumar patil (wf330)"/>
    <s v="Vivek Panigrahi"/>
    <n v="6"/>
    <n v="40"/>
    <n v="34"/>
    <m/>
    <m/>
    <m/>
    <x v="135"/>
    <m/>
    <m/>
    <x v="0"/>
    <m/>
    <m/>
    <s v="18-Sep: Received ARXML. Polyspace is in progress._x000a_16-Sep: Initial analysis to be started. To be sent for ARXMl generation."/>
    <x v="3"/>
    <m/>
    <m/>
    <m/>
    <m/>
    <m/>
    <m/>
    <m/>
    <m/>
    <m/>
    <m/>
    <m/>
    <m/>
    <m/>
    <m/>
    <m/>
    <m/>
    <m/>
    <m/>
    <m/>
    <m/>
    <m/>
    <m/>
    <m/>
    <m/>
    <m/>
    <x v="10"/>
    <m/>
    <m/>
    <m/>
    <x v="1"/>
    <m/>
    <m/>
    <m/>
    <m/>
    <m/>
    <m/>
    <m/>
    <m/>
    <m/>
    <m/>
    <m/>
    <m/>
    <m/>
    <m/>
    <m/>
    <m/>
    <m/>
    <m/>
    <m/>
  </r>
  <r>
    <s v="aishwarya Jahagirdar (ac14v)"/>
    <m/>
    <n v="20"/>
    <m/>
    <m/>
    <m/>
    <m/>
    <m/>
    <x v="136"/>
    <m/>
    <m/>
    <x v="0"/>
    <m/>
    <m/>
    <s v="16-09 : SRS is completed, plan for Peer + CCB today"/>
    <x v="3"/>
    <m/>
    <m/>
    <m/>
    <m/>
    <m/>
    <m/>
    <m/>
    <m/>
    <m/>
    <m/>
    <m/>
    <m/>
    <m/>
    <m/>
    <m/>
    <m/>
    <m/>
    <m/>
    <m/>
    <m/>
    <m/>
    <m/>
    <m/>
    <m/>
    <m/>
    <x v="57"/>
    <m/>
    <m/>
    <m/>
    <x v="1"/>
    <m/>
    <m/>
    <m/>
    <m/>
    <m/>
    <m/>
    <m/>
    <m/>
    <m/>
    <m/>
    <m/>
    <m/>
    <m/>
    <m/>
    <m/>
    <m/>
    <m/>
    <m/>
    <m/>
  </r>
  <r>
    <s v="aishwarya Jahagirdar (ac14v)"/>
    <m/>
    <n v="20"/>
    <m/>
    <m/>
    <m/>
    <m/>
    <m/>
    <x v="137"/>
    <m/>
    <m/>
    <x v="0"/>
    <m/>
    <m/>
    <s v="16-09 : SRS is completed, plan for Peer + CCB today"/>
    <x v="3"/>
    <m/>
    <m/>
    <m/>
    <m/>
    <m/>
    <m/>
    <m/>
    <m/>
    <m/>
    <m/>
    <m/>
    <m/>
    <m/>
    <m/>
    <m/>
    <m/>
    <m/>
    <m/>
    <m/>
    <m/>
    <m/>
    <m/>
    <m/>
    <m/>
    <m/>
    <x v="57"/>
    <m/>
    <m/>
    <m/>
    <x v="1"/>
    <m/>
    <m/>
    <m/>
    <m/>
    <m/>
    <m/>
    <m/>
    <m/>
    <m/>
    <m/>
    <m/>
    <m/>
    <m/>
    <m/>
    <m/>
    <m/>
    <m/>
    <m/>
    <m/>
  </r>
  <r>
    <s v="Ashitosh Nilkanth (uh953)"/>
    <s v="Vivek Panigrahi"/>
    <n v="0"/>
    <n v="0"/>
    <n v="0"/>
    <m/>
    <m/>
    <m/>
    <x v="138"/>
    <m/>
    <s v="Separate regen tables for stationary and mobile regen to mitigate NH3 slip"/>
    <x v="0"/>
    <m/>
    <m/>
    <s v="Effort tracking on DCR#14433414"/>
    <x v="2"/>
    <m/>
    <m/>
    <m/>
    <m/>
    <m/>
    <m/>
    <m/>
    <m/>
    <m/>
    <m/>
    <m/>
    <m/>
    <m/>
    <m/>
    <m/>
    <m/>
    <m/>
    <m/>
    <m/>
    <m/>
    <m/>
    <m/>
    <m/>
    <m/>
    <d v="2024-10-03T00:00:00"/>
    <x v="48"/>
    <m/>
    <m/>
    <m/>
    <x v="1"/>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7">
  <r>
    <s v="Atul Gade (vm775)"/>
    <s v="Rachna Pawale"/>
    <n v="131"/>
    <n v="170"/>
    <n v="39"/>
    <m/>
    <s v="CES CSAR 01.24.12.00 - 12962338"/>
    <m/>
    <x v="0"/>
    <m/>
    <s v="CSAR Titanium/Legend: Service Test for AT Heater system"/>
    <s v="Evaluate"/>
    <m/>
    <m/>
    <s v="18-09 : Model review discussion with stakeholders. IDA team would be creating the id 30 Sep_x000a_16-09 : Plan to complete the dummy model creation today. Concept disucssion to be plan on 18th Sep_x000a_13 Sep : dummy Model will be completed by 16 Sep_x000a_12 Sep : Discussion with Snehal is planned today_x000a_11 Sep : Comp owner Snehal unavailable till 13 Sep_x000a_09 Sep - dummy model completed 70% &amp; shared with Dhanraj, will be reviewed today _x000a_05-09 : Plan to complete the dummy model by 06-sept_x000a_05 Sep : dummy model in progress_x000a_03 Sep : Eval in progress (New componenet)_x000a_28 Aug : Eval in progress"/>
    <x v="0"/>
    <s v="2024 Sep - CES PFS : 14702743"/>
    <m/>
    <m/>
    <d v="2024-09-17T00:00:00"/>
    <m/>
  </r>
  <r>
    <s v="Lavanya Nayak (ri652)"/>
    <s v="Rachna Pawale"/>
    <n v="0"/>
    <n v="40"/>
    <n v="40"/>
    <m/>
    <m/>
    <m/>
    <x v="1"/>
    <m/>
    <s v="CSAR - create SRS and application guide for AftEngIdleHiSLShtdwn component"/>
    <s v="Evaluate"/>
    <m/>
    <m/>
    <m/>
    <x v="1"/>
    <s v="2024 Mar - CES PFS : 13241426"/>
    <m/>
    <m/>
    <d v="2024-10-28T00:00:00"/>
    <m/>
  </r>
  <r>
    <s v="sumitkumar patil (wf330)"/>
    <s v="Vivek Panigrahi"/>
    <n v="37"/>
    <n v="76"/>
    <n v="39"/>
    <m/>
    <s v="CES CSAR 01.24.12.00 - 12962338"/>
    <m/>
    <x v="2"/>
    <m/>
    <s v="TD4288: PFS ALT MIL diagnostic pass/fail counter reset over key cycle"/>
    <s v="Evaluate"/>
    <m/>
    <m/>
    <s v="18-Sep: CCB is not planned today as well due to CSAR CCB reviewr not available._x000a_16-Sep: CCB review is completed for functional end, fixed comments to be verified. CCb is planned CSAR prospective._x000a_13-Sep: Peer review is completed. CCB is planned today._x000a_12-Sep: Peer is in continiue, working on review comments._x000a_11-Sep: Peer review is planned for Eval and Interface sheet._x000a_10-Sep: Interface sheet updation is completed. PPT updation and SRS updation is in progres. Peer to be planned tomorrow._x000a_09-Sep: Evalaution is completed. Interface sheet and PPT updation is in progress._x000a_06-Sep: Evalaution is in progress._x000a_27-Aug: Kpet on hold due to other prirority task._x000a_26-Aug,22-Aug,21-Aug,20-Aug: Evalaution is in progress._x000a_16-Aug: Initial analysis to be started today."/>
    <x v="2"/>
    <s v="2024 Sep - CES PFS : 14702743"/>
    <m/>
    <m/>
    <d v="2024-10-03T00:00:00"/>
    <m/>
  </r>
  <r>
    <s v="Ashitosh Nilkanth (uh953)"/>
    <s v="Vivek Panigrahi"/>
    <n v="3"/>
    <n v="10"/>
    <n v="7"/>
    <m/>
    <s v="CES CSAR 01.24.12.00 - 12962338"/>
    <m/>
    <x v="3"/>
    <m/>
    <s v="AftRegenCtrl: Fix Datatype issue for constant by using updated Csar_CES_Data_Dictionary submodule"/>
    <s v="Evaluate"/>
    <m/>
    <m/>
    <s v="18-Sep,16-Sep,13-Sep: As confirmed with Swapnil DCR to be rejected as requirement is already implimented."/>
    <x v="2"/>
    <s v="2024 Sep - CES PFS : 14702743"/>
    <m/>
    <m/>
    <d v="2024-09-27T00:00:00"/>
    <m/>
  </r>
  <r>
    <s v="jyoti dongre (vu400)"/>
    <s v="Vivek Panigrahi"/>
    <n v="20"/>
    <n v="58"/>
    <n v="38"/>
    <m/>
    <s v="CES CSAR 01.24.12.00 - 12962338"/>
    <m/>
    <x v="4"/>
    <m/>
    <s v="Short Regen Strategy Missing Separate Target Temperature"/>
    <s v="Evaluate"/>
    <m/>
    <m/>
    <s v="18-Sep: Interface sheet L2 review is completed. DCR is submitted in Integrity._x000a_16-Sep: Awaiting L2 confirmation for Interface sheet from Yue._x000a_10-Sep: CCB review is completed for Interface sheet. To be send for L2 review for Interface sheet with DCR#13208634._x000a_09-Sep: CCB reviewer not availbale hence reschedule to today._x000a_06-Sep: Interfacesheet peer review is completed, working on review comments. CCB is planned today._x000a_05-Sep: Received L2 confirmation ther is no review comments. To be sent AECD and RRB tag request. Peer review is in progress for Interface sheet._x000a_04-Sep, 03-Sep: Awaiting L2 feedback from Yue for 12541182. Interface sheet was not preapared earlier DCR owner as a result specd 4 hrs to updated the Interface sheet and planned peer review today._x000a_26-08 : Requirements to be confirm from Shubhangi_x000a_23-08 : Analysis to be started, Shubhangi handovered by sending L2 review."/>
    <x v="3"/>
    <s v="2024 Sep - CES PFS : 14702743"/>
    <m/>
    <m/>
    <d v="2024-09-12T00:00:00"/>
    <d v="2024-09-18T00:00:00"/>
  </r>
  <r>
    <s v="Balraj S Malage (wf327)"/>
    <s v="Vivek Panigrahi"/>
    <n v="3"/>
    <n v="24"/>
    <n v="21"/>
    <m/>
    <s v="CES CSAR 01.24.12.00 - 12962338"/>
    <m/>
    <x v="5"/>
    <m/>
    <s v="MY27 ALT MIL Strategy: NMHC"/>
    <s v="Evaluate"/>
    <m/>
    <m/>
    <s v="26-Aug: Initial analysis is in progress. Kept on hold due to other prirority work(FIM DCR)._x000a_23-Aug: Analysis to be started."/>
    <x v="4"/>
    <s v="2024 Sep - CES PFS : 14702743"/>
    <m/>
    <m/>
    <d v="2024-09-26T00:00:00"/>
    <m/>
  </r>
  <r>
    <s v="Balraj S Malage (wf327)"/>
    <s v="Vivek Panigrahi"/>
    <n v="4"/>
    <n v="44"/>
    <n v="40"/>
    <m/>
    <s v="CES CSAR 01.24.12.00 - 12962338"/>
    <m/>
    <x v="6"/>
    <m/>
    <s v="MCDC Coverage improvements for AftDiesPartFiltDltPrRatDiag component"/>
    <s v="Evaluate"/>
    <m/>
    <m/>
    <s v="02-Sep: Initial analysis is in progress. Kept on hold due to FIM prirority DCR."/>
    <x v="4"/>
    <s v="2024 Sep - CES PFS : 14702743"/>
    <m/>
    <m/>
    <d v="2024-09-25T00:00:00"/>
    <m/>
  </r>
  <r>
    <s v="Ashitosh Nilkanth (uh953)"/>
    <s v="Vivek Panigrahi"/>
    <n v="8"/>
    <n v="10"/>
    <n v="2"/>
    <m/>
    <s v="CES CSAR 01.24.12.00 - 12962338"/>
    <m/>
    <x v="7"/>
    <m/>
    <s v="Change required in AftDiesPartFiltOpModeDet component to overcome invalid shift warning"/>
    <s v="Evaluate"/>
    <m/>
    <m/>
    <s v="18-Sep: Discussed with Swapnil with the testing analysis received few input working on this as an prirority._x000a_16-Sep,13-Sep: Scope analysis with Swapnil is in progress as 10 component are impacting for this DCR. Trail testing is is progress as advised by Swapnil._x000a_Assigned to Ashitosh to be analysed and update estimation."/>
    <x v="2"/>
    <s v="2024 Sep - CES PFS : 14702743"/>
    <m/>
    <m/>
    <d v="2024-09-30T00:00:00"/>
    <m/>
  </r>
  <r>
    <s v="Srinadh Vadlamudi (wf326)"/>
    <s v="Nileema Pailwan"/>
    <n v="0"/>
    <m/>
    <n v="0"/>
    <m/>
    <m/>
    <m/>
    <x v="8"/>
    <m/>
    <s v="Test vectors update is needed for AftDiesPartFiltCSLEProc component to improve coverage"/>
    <s v="Evaluate"/>
    <m/>
    <m/>
    <s v="16-09 : Deferred for priorirty DCR_13047716_x000a_30-08- : On hold for other priority work DCR_13047716"/>
    <x v="5"/>
    <m/>
    <m/>
    <m/>
    <m/>
    <m/>
  </r>
  <r>
    <s v="Ashitosh Nilkanth (uh953)"/>
    <s v="Vivek Panigrahi"/>
    <n v="0"/>
    <n v="0"/>
    <n v="0"/>
    <m/>
    <s v="CES CSAR 01.24.12.00 - 12962338"/>
    <m/>
    <x v="9"/>
    <m/>
    <s v="Change required in AftRegenCtrl component to resolve issue of global output signal going out of range in Regression Testing"/>
    <s v="Evaluate"/>
    <m/>
    <m/>
    <s v="05-Sep: Effort  tracking on DCR14433414"/>
    <x v="4"/>
    <s v="2024 Sep - CES PFS : 14702743"/>
    <m/>
    <m/>
    <d v="2024-09-27T00:00:00"/>
    <m/>
  </r>
  <r>
    <s v="Srinadh Vadlamudi (wf326)"/>
    <s v="Nileema Pailwan"/>
    <n v="0"/>
    <m/>
    <n v="0"/>
    <m/>
    <m/>
    <m/>
    <x v="10"/>
    <m/>
    <s v="CSAR Sync-Up: low o2 HC dosing pause filter constant"/>
    <s v="Evaluate"/>
    <s v="Transparency check complete"/>
    <m/>
    <s v="16-09 : Deferred for priorirty DCR_13047716_x000a_30-08- : On hold for other priority work DCR_13047716_x000a_26 Aug - Peer review - In progress"/>
    <x v="5"/>
    <m/>
    <m/>
    <m/>
    <m/>
    <d v="2024-09-10T00:00:00"/>
  </r>
  <r>
    <s v="Srinadh Vadlamudi (wf326)"/>
    <s v="Nileema Pailwan"/>
    <n v="0"/>
    <m/>
    <n v="0"/>
    <m/>
    <m/>
    <m/>
    <x v="11"/>
    <m/>
    <s v="CSAR Sync-Up: A more precise O2 correction during regen at high altitude__On behalf of ATI team to request this DCR, any question, please contact Aijing-PU423"/>
    <s v="Evaluate"/>
    <s v="Transparency check complete"/>
    <m/>
    <s v="16-09 : Deferred for priorirty DCR_13047716_x000a_30-08- : On hold for other priority work DCR_13047716_x000a_26 Aug - Peer review - In progress"/>
    <x v="5"/>
    <m/>
    <m/>
    <m/>
    <m/>
    <m/>
  </r>
  <r>
    <s v="Indumathi M (wf309)"/>
    <s v="Rachna Pawale"/>
    <n v="14"/>
    <n v="15"/>
    <n v="1"/>
    <m/>
    <s v="CES CSAR 01.24.12.00 - 12962338"/>
    <m/>
    <x v="12"/>
    <m/>
    <s v="CSAR : Document creation/update required for AftDiesPartFiltOutDltTmptrDiag"/>
    <s v="Evaluate"/>
    <s v="Transparency check complete"/>
    <m/>
    <s v="10 Sep : Peer +CCB Review is still in progress_x000a_27 Aug : SRS document update, eval peer review"/>
    <x v="2"/>
    <s v="2024 Sep - CES PFS : 14702743"/>
    <m/>
    <m/>
    <s v="04-09-2024_x000a_12-09-2024"/>
    <m/>
  </r>
  <r>
    <s v="sumitkumar patil (wf330)"/>
    <s v="Vivek Panigrahi"/>
    <n v="0"/>
    <n v="76"/>
    <n v="76"/>
    <m/>
    <s v="CES CSAR 01.24.12.00 - 12962338"/>
    <m/>
    <x v="13"/>
    <m/>
    <s v="CSAR SYNC-UP: PFS: MY24 OBD OEM Requested General Strategies: Implement Rapid Response in alternative pass/fail counter strategy"/>
    <s v="Evaluate"/>
    <s v="Transparency check complete"/>
    <m/>
    <s v="Effort tracking on DCR12295210"/>
    <x v="2"/>
    <s v="2024 Sep - CES PFS : 14702743"/>
    <m/>
    <m/>
    <d v="2024-10-03T00:00:00"/>
    <m/>
  </r>
  <r>
    <s v="aishwarya Jahagirdar (ac14v)"/>
    <s v="Rachna Pawale"/>
    <n v="0"/>
    <n v="250"/>
    <n v="250"/>
    <m/>
    <m/>
    <m/>
    <x v="14"/>
    <m/>
    <s v="CSAR Migration: Migrate PFS Delegated Assembly"/>
    <s v="Evaluate"/>
    <m/>
    <m/>
    <s v="26 Aug : Understanding requirement                        30 Aug : Interface in progress 03 Sep : Nileema to review the scope of this requirement"/>
    <x v="4"/>
    <s v="2024 Sep - CES PFS : 14702743"/>
    <d v="2024-08-22T00:00:00"/>
    <m/>
    <s v="TBD"/>
    <m/>
  </r>
  <r>
    <s v="umesh borde (ad33c)"/>
    <s v="Rachna Pawale"/>
    <n v="0"/>
    <m/>
    <n v="0"/>
    <m/>
    <m/>
    <m/>
    <x v="15"/>
    <m/>
    <s v="Need fix for the issues found in AftDPFExhThrotFailProt component"/>
    <s v="Evaluate"/>
    <s v="Transparency check complete"/>
    <m/>
    <s v="16-09 : Deferred for priorirty DCR_13590634"/>
    <x v="5"/>
    <m/>
    <m/>
    <m/>
    <m/>
    <m/>
  </r>
  <r>
    <s v="vitthal shinde (xy599)"/>
    <s v="Vivek Panigrahi"/>
    <n v="33"/>
    <n v="69"/>
    <n v="36"/>
    <m/>
    <s v="CES CSAR 01.24.12.00 - 12962338"/>
    <m/>
    <x v="16"/>
    <m/>
    <s v="Need fix for the issues found in AftSwtIntf component"/>
    <s v="Evaluate"/>
    <s v="Transparency check complete"/>
    <m/>
    <s v="12-Sep: To be analyzed on Core 2 model for golbal inputs. To be planned for peer review tomorrow._x000a_11-Sep: As advised by Ashitosh updated Interfac sheet and SRS, to be verified with Ashitosh. To be planned peer review tomorrow._x000a_10-Sep: Interface sheet updation is completed. SRS updation is in progress. To be discussed with Lavnaya as a DCR creator._x000a_09-Sep: Awaiting input from Lavanya. Interface sheet and SRS updation to be satrted._x000a_30-Aug: Awaiting input form Nileema and Lavanya kept on hold._x000a_29-Aug,28-Aug: 3 DCRs Analysis is completed, to be discussed with Ashitosh._x000a_27-Aug,26-Aug: Evaluation is in progress for 13153843._x000a_22-Aug,21-Aug: Analysis is in progress._x000a_20-Aug: Analysis is completed to be discussed with Ashitosh and priceed further with Evalaution._x000a_16-Aug: As discussed with Ashistosh to be analyse the DCR details involved in CORE2._x000a_09-Aug: Received confirmation from Dhnaraj on logic is not available in CSAR whereas it is available in CORE2. Awaiting confirmation from Nileema to raise new DCR to cover this logic. Kpet this DCR on hold due to DTR prirority work. _x000a_08-Aug: To be discussed with Lavanya for query clarification._x000a_07-Aug: Need clarification on requirement from Ashitosh or Lavanaya._x000a_06-Aug:Evalaution is in progress._x000a_05-Aug,02-Aug,01-Aug: Evalaution analysis is in progress. To be discussed with Ashitosh for query clarification._x000a_31-July: Working on initial analysis for Evalaution."/>
    <x v="2"/>
    <s v="2024 Sep - CES PFS : 14702743"/>
    <m/>
    <m/>
    <d v="2024-09-19T00:00:00"/>
    <m/>
  </r>
  <r>
    <s v="Harshada Borude (ur897)"/>
    <s v="Vivek Panigrahi"/>
    <n v="0"/>
    <n v="20"/>
    <n v="20"/>
    <m/>
    <m/>
    <m/>
    <x v="17"/>
    <m/>
    <s v="CSAR SyncUp: Enable condition Improvement for DPSLE low flow trust logic "/>
    <s v="Evaluate"/>
    <s v="Transparency check complete"/>
    <m/>
    <s v="21-Aug: Kept on hold due to prirotiy DCR 14118970(DTR implementtaion)._x000a_05-Aug: Evalaution is in progress._x000a_02-Aug: Initial analysis to be started."/>
    <x v="4"/>
    <m/>
    <m/>
    <m/>
    <m/>
    <m/>
  </r>
  <r>
    <s v="Haridas Raut (vy322)"/>
    <s v="Vivek Panigrahi"/>
    <n v="0"/>
    <n v="0"/>
    <n v="0"/>
    <m/>
    <s v="CES CSAR 01.24.12.00 - 12962338"/>
    <s v="CES CSAR 01.24.12.00 - 12962338"/>
    <x v="18"/>
    <m/>
    <s v="Need fix for the issues found in AftLampDrvOutIntf component"/>
    <s v="Evaluate"/>
    <s v="Transparency check complete"/>
    <m/>
    <s v="30-Aug: Dcr is submitted in Integrity._x000a_29-Aug: L2 review is completed for Evalaution and interface sheet. Awaiting confirmation from John for AECD and RRB passed tag from Yogesh._x000a_28-Aug: Receieved L2 feedback and working on it to be sent for verification today. To be discussed with Dhanraj, Lavanya on rejection for DCR#13868570._x000a_27-Aug,26-Aug: To be sent reminder mail to Dhanraj for L2 feedback. To be discussed with Lavanya and Anushka for the rejection part for DCR#13868570._x000a_23-Aug: Awaiting L2 feedback from Dhanraj._x000a_22-Aug,19-Aug: Awaiting L2 feedback from Dhanraj for Evalaution and Interface sheet._x000a_16-Aug: CCB review is completed. Verification is in progress. To be sent for L2 review today._x000a_14-Aug: Peer review is completed. CCB review is also completed and working on review comments.To be planned for L2 review tomorrow._x000a_13-Aug: Peer review comments are fixed to be verified with Ankit. CCB is scheduled today._x000a_12-Aug: Peer review is completed and working on review comments. To be planned for CCB tomorrow._x000a_09-Aug: Peer review is in progress. Working on review comments._x000a_08-Aug: Evalaution is completed. PPT updation is in progress. Peer review to be planned._x000a_07-Aug,06-Aug,05-Aug: Evalaution is in progress._x000a_02-Aug: Initial analysis is in progress."/>
    <x v="3"/>
    <s v="2024 Aug - CES PFS : 14503516"/>
    <d v="2024-08-08T00:00:00"/>
    <m/>
    <m/>
    <d v="2024-08-29T00:00:00"/>
  </r>
  <r>
    <s v="Anushka P Gaikwad (wf298)"/>
    <s v="Rachna Pawale"/>
    <n v="0"/>
    <n v="60"/>
    <n v="60"/>
    <m/>
    <m/>
    <m/>
    <x v="19"/>
    <m/>
    <s v="Need fix for the issues found in AftDiesOxidCatDtrDiag component"/>
    <s v="Evaluate"/>
    <s v="Transparency check complete"/>
    <m/>
    <s v="_x000a_16-09 : Deferred for priorirty DCR_13358711_x000a_05 Sep : Evalutaion to be started today_x000a_02 Sep : planned to start on 14 Oct"/>
    <x v="5"/>
    <m/>
    <m/>
    <m/>
    <d v="2024-09-27T00:00:00"/>
    <m/>
  </r>
  <r>
    <s v="vitthal shinde (xy599)"/>
    <s v="Vivek Panigrahi"/>
    <n v="0"/>
    <n v="69"/>
    <n v="69"/>
    <m/>
    <s v="CES CSAR 01.24.12.00 - 12962338"/>
    <m/>
    <x v="20"/>
    <m/>
    <s v="CSAR Sync - Up: New Setting Strategy Non-mission Regen "/>
    <s v="Evaluate"/>
    <s v="Transparency check complete"/>
    <m/>
    <s v="Effort tracking on DCR13148021"/>
    <x v="4"/>
    <s v="2024 Sep - CES PFS : 14702743"/>
    <m/>
    <m/>
    <d v="2024-09-19T00:00:00"/>
    <m/>
  </r>
  <r>
    <s v="vitthal shinde (xy599)"/>
    <s v="Vivek Panigrahi"/>
    <n v="0"/>
    <n v="69"/>
    <n v="69"/>
    <m/>
    <s v="CES CSAR 01.24.12.00 - 12962338"/>
    <m/>
    <x v="21"/>
    <m/>
    <s v="CSAR Sync - Up: Regen Inhibit Switch Reset After Key-off/on"/>
    <s v="Evaluate"/>
    <s v="Transparency check complete"/>
    <m/>
    <s v="Effort tracking on DCR13148021"/>
    <x v="4"/>
    <s v="2024 Sep - CES PFS : 14702743"/>
    <m/>
    <m/>
    <d v="2024-09-19T00:00:00"/>
    <m/>
  </r>
  <r>
    <s v="Haridas Raut (vy322)"/>
    <s v="Vivek Panigrahi"/>
    <n v="0"/>
    <n v="0"/>
    <n v="0"/>
    <m/>
    <s v="CES CSAR 01.24.12.00 - 12962338"/>
    <s v="CES CSAR 01.24.12.00 - 12962338"/>
    <x v="22"/>
    <m/>
    <s v="CSAR Sync - Up: Add De-bounce timer before setting INHIBIT_SWITCH_TIMED_REGEN_ERR"/>
    <s v="Evaluate"/>
    <s v="Transparency check complete"/>
    <m/>
    <s v="30-Aug: Dcr is submitted in Integrity._x000a_29-Aug: L2 review is completed for Evalaution and interface sheet. Awaiting confirmation from John for AECD and RRB passed tag from Yogesh._x000a_28-Aug: Receieved L2 feedback and working on it to be sent for verification today. To be discussed with Dhanraj, Lavanya on rejection for DCR#13868570._x000a_27-Aug,26-Aug: To be sent reminder mail to Dhanraj for L2 feedback. To be discussed with Lavanya and Anushka for the rejection part for DCR#13868570._x000a_23-Aug: Awaiting L2 feedback from Dhanraj._x000a_22-Aug,19-Aug: Awaiting L2 feedback from Dhanraj for Evalaution and Interface sheet._x000a_16-Aug: CCB review is completed. Verification is in progress. To be sent for L2 review today._x000a_14-Aug: Peer review is completed. CCB review is also completed and working on review comments.To be planned for L2 review tomorrow._x000a_13-Aug: Peer review comments are fixed to be verified with Ankit. CCB is scheduled today._x000a_12-Aug: Peer review is completed and working on review comments. To be planned for CCB tomorrow._x000a_09-Aug: Peer review is in progress. Working on review comments._x000a_08-Aug: Evalaution is completed. PPT updation is in progress. Peer review to be planned._x000a_07-Aug,06-Aug,05-Aug: Evalaution is in progress._x000a_02-Aug: Initial analysis is in progress."/>
    <x v="3"/>
    <s v="2024 Aug - CES PFS : 14503516"/>
    <d v="2024-08-08T00:00:00"/>
    <m/>
    <s v="NA"/>
    <d v="2024-08-29T00:00:00"/>
  </r>
  <r>
    <s v="Haridas Raut (vy322)"/>
    <s v="Vivek Panigrahi"/>
    <n v="0"/>
    <n v="0"/>
    <n v="0"/>
    <m/>
    <s v="CES CSAR 01.24.12.00 - 12962338"/>
    <s v="CES CSAR 01.24.12.00 - 12962338"/>
    <x v="23"/>
    <m/>
    <s v="CSAR Sync - Up: Add the switch to enable the setting  INHIBIT_SWITCH_TIMED_REGEN_ERR can choose the previous logic"/>
    <s v="Evaluate"/>
    <s v="Transparency check complete"/>
    <m/>
    <s v="30-Aug: Dcr is submitted in Integrity._x000a_29-Aug: L2 review is completed for Evalaution and interface sheet. Awaiting confirmation from John for AECD and RRB passed tag from Yogesh._x000a_28-Aug: Receieved L2 feedback and working on it to be sent for verification today. To be discussed with Dhanraj, Lavanya on rejection for DCR#13868570._x000a_27-Aug,26-Aug: To be sent reminder mail to Dhanraj for L2 feedback. To be discussed with Lavanya and Anushka for the rejection part for DCR#13868570._x000a_23-Aug: Awaiting L2 feedback from Dhanraj._x000a_22-Aug,19-Aug: Awaiting L2 feedback from Dhanraj for Evalaution and Interface sheet._x000a_16-Aug: CCB review is completed. Verification is in progress. To be sent for L2 review today._x000a_14-Aug: Peer review is completed. CCB review is also completed and working on review comments.To be planned for L2 review tomorrow._x000a_13-Aug: Peer review comments are fixed to be verified with Ankit. CCB is scheduled today._x000a_12-Aug: Peer review is completed and working on review comments. To be planned for CCB tomorrow._x000a_09-Aug: Peer review is in progress. Working on review comments._x000a_08-Aug: Evalaution is completed. PPT updation is in progress. Peer review to be planned._x000a_07-Aug,06-Aug,05-Aug: Evalaution is in progress._x000a_02-Aug: Initial analysis is in progress."/>
    <x v="3"/>
    <s v="2024 Aug - CES PFS : 14503516"/>
    <d v="2024-08-08T00:00:00"/>
    <m/>
    <s v="NA"/>
    <d v="2024-08-29T00:00:00"/>
  </r>
  <r>
    <s v="jyoti dongre (vu400)"/>
    <s v="Vivek Panigrahi"/>
    <n v="0"/>
    <n v="0"/>
    <n v="0"/>
    <m/>
    <s v="CES CSAR 01.24.12.00 - 12962338"/>
    <m/>
    <x v="24"/>
    <m/>
    <s v="CSAR Sync - Up: OEM1 - Updated PATM Triggering for Soot Based Cleaning"/>
    <s v="Evaluate"/>
    <s v="Transparency check complete"/>
    <m/>
    <s v="18-Sep: DCR is submitted in Integrity._x000a_04-Sep: Tracking effort on DCR12541182._x000a_ 03-Sep: Awaiting L2 feedback from Yue ._x000a_26-08 : Requirements are cleard, workign on Interface sheet_x000a_23-08 : Analysis to be started"/>
    <x v="3"/>
    <s v="2024 Sep - CES PFS : 14702743"/>
    <m/>
    <m/>
    <d v="2024-09-12T00:00:00"/>
    <d v="2024-09-18T00:00:00"/>
  </r>
  <r>
    <s v="jyoti dongre (vu400)"/>
    <s v="Vivek Panigrahi"/>
    <n v="24"/>
    <n v="58"/>
    <n v="34"/>
    <m/>
    <s v="CES CSAR 01.24.12.00 - 12962338"/>
    <m/>
    <x v="25"/>
    <m/>
    <s v="Evaluate Protection based regen logic in AftSootBasedRegenTrigProc component"/>
    <s v="Evaluate"/>
    <s v="Transparency check complete"/>
    <m/>
    <s v="18-Sep: DCR is submitted in Integrity._x000a_16-Sep: Awaiting L2 feedback from Yue._x000a_13-Sep,12-Sep: CCB review is compleetd. Sent for L2 review to Yue._x000a_11-Sep: CCB is in continiouson for Interface sheet and Evalaution._x000a_10-Sep: Received CCB review comments, connect with Swapnil and to be discussed with Ashitosh on this._x000a_09-Sep: CCB reviewer not availbale hence reschedule to today._x000a_06-Sep: Peer review is completed, working on review comments. CCB is planned today._x000a_05-Sep: Peer review is in progress._x000a_04-Sep: Received confirmation from Swapnil and peer review planned today._x000a_03-Sep: As advised by Swapnil working on updated logic on 13208634_x000a_26-08 : To be discuss with Dhanraj_x000a_23-08 : Analysis to be started"/>
    <x v="3"/>
    <s v="2024 Sep - CES PFS : 14702743"/>
    <m/>
    <m/>
    <d v="2024-09-12T00:00:00"/>
    <d v="2024-09-18T00:00:00"/>
  </r>
  <r>
    <s v="Yogesh Yenorkar (vz001)"/>
    <s v="Rachna Pawale"/>
    <n v="0"/>
    <n v="30"/>
    <n v="30"/>
    <m/>
    <m/>
    <m/>
    <x v="26"/>
    <m/>
    <s v="ISMs need to be implement for AftDiesPartFiltEffDiag component"/>
    <s v="Evaluate"/>
    <m/>
    <m/>
    <s v="23-08 : Analysis to be started"/>
    <x v="4"/>
    <s v="2024 Apr - CES PFS : 13371112"/>
    <m/>
    <m/>
    <m/>
    <m/>
  </r>
  <r>
    <s v="Yogesh Yenorkar (vz001)"/>
    <s v="Rachna Pawale"/>
    <n v="31.5"/>
    <n v="100"/>
    <m/>
    <m/>
    <m/>
    <m/>
    <x v="27"/>
    <m/>
    <s v="AftDiesOxidCatPresDiag: CSAR SYNC-UP: PFS: MY24 OBD OEM Requested General Strategies: Implement Rapid Response in alternative pass/fail counter strategy"/>
    <s v="Evaluate"/>
    <m/>
    <m/>
    <s v="18 Sep : Peer review is done, comment verfication to be done_x000a_16-09 : Peer review is planned today_x000a_13 Sep : peer review tomplanned on 16 Sep"/>
    <x v="2"/>
    <m/>
    <m/>
    <m/>
    <d v="2024-09-24T00:00:00"/>
    <m/>
  </r>
  <r>
    <s v="Anushka P Gaikwad (wf298)"/>
    <s v="Rachna Pawale"/>
    <n v="0"/>
    <m/>
    <n v="0"/>
    <m/>
    <m/>
    <m/>
    <x v="28"/>
    <m/>
    <s v="CSAR - Documentation for AftDiesPartFiltOutPrRatDiag component"/>
    <s v="Evaluate"/>
    <m/>
    <m/>
    <m/>
    <x v="4"/>
    <m/>
    <m/>
    <m/>
    <d v="2024-10-25T00:00:00"/>
    <m/>
  </r>
  <r>
    <s v="Harshada Borude (ur897)"/>
    <s v="Vivek Panigrahi"/>
    <n v="0"/>
    <n v="0"/>
    <n v="0"/>
    <m/>
    <s v="CES CSAR 01.24.12.00 - 12962338"/>
    <m/>
    <x v="29"/>
    <m/>
    <s v="ISMs need to be implement for AftDiesOxidCatInlTmptrDiag component"/>
    <s v="Evaluate"/>
    <m/>
    <m/>
    <s v="02-09 : To be rejected"/>
    <x v="6"/>
    <s v="2024 Sep - CES PFS : 14702743"/>
    <m/>
    <m/>
    <m/>
    <m/>
  </r>
  <r>
    <s v="Haridas Raut (vy322)"/>
    <s v="Vivek Panigrahi"/>
    <n v="0"/>
    <n v="0"/>
    <m/>
    <m/>
    <s v="CES CSAR 01.24.12.00 - 12962338"/>
    <s v="CES CSAR 01.24.12.00 - 12962338"/>
    <x v="30"/>
    <m/>
    <s v="ISMs need to be implement for  AftLampDrvOutIntf component"/>
    <s v="Evaluate"/>
    <m/>
    <m/>
    <s v="30-Aug: Dcr is submitted in Integrity._x000a_29-Aug: L2 review is completed for Evalaution and interface sheet. Awaiting confirmation from John for AECD and RRB passed tag from Yogesh._x000a_28-Aug: Receieved L2 feedback and working on it to be sent for verification today. To be discussed with Dhanraj, Lavanya on rejection for DCR#13868570._x000a_27-Aug,26-Aug: To be sent reminder mail to Dhanraj for L2 feedback. To be discussed with Lavanya and Anushka for the rejection part for DCR#13868570._x000a_23-Aug: Awaiting L2 feedback from Dhanraj._x000a_22-Aug,19-Aug: Awaiting L2 feedback from Dhanraj for Evalaution and Interface sheet._x000a_16-Aug: CCB review is completed. Verification is in progress. To be sent for L2 review today._x000a_14-Aug: Peer review is completed. CCB review is also completed and working on review comments.To be planned for L2 review tomorrow._x000a_13-Aug: Peer review comments are fixed to be verified with Ankit. CCB is scheduled today._x000a_12-Aug: Peer review is completed and working on review comments. To be planned for CCB tomorrow._x000a_09-Aug: Peer review is in progress. Working on review comments._x000a_08-Aug: Evalaution is completed. PPT updation is in progress. Peer review to be planned._x000a_07-Aug,06-Aug,05-Aug: Evalaution is in progress._x000a_02-Aug: Initial analysis is in progress."/>
    <x v="3"/>
    <s v="2024 Aug - CES PFS : 14503516"/>
    <d v="2024-08-08T00:00:00"/>
    <m/>
    <s v="NA"/>
    <d v="2024-08-29T00:00:00"/>
  </r>
  <r>
    <s v="Shraddha Arde (ul528)"/>
    <s v="Rachna Pawale"/>
    <n v="30"/>
    <n v="30"/>
    <n v="0"/>
    <m/>
    <s v="CES CSAR 01.24.12.00 - 12962338"/>
    <m/>
    <x v="31"/>
    <m/>
    <s v="eHTR Power usage during regeneration - power splitting between locations"/>
    <s v="Evaluate"/>
    <s v="SRS will be updated during implementation by Nileema's team "/>
    <m/>
    <s v="18-09 : L2 feedback has been received, will be sent for authoring today_x000a_16-09 : Awaiitng L2 review since 29th Aug_x000a_23-Aug :Peer review - Done_x000a_26-Aug : CCB in progress                                               03 Sep : Eval is done , Intefacr &amp; SRS sent for L2 review"/>
    <x v="2"/>
    <s v="2024 Sep - CES PFS : 14702743"/>
    <m/>
    <m/>
    <d v="2024-08-31T00:00:00"/>
    <m/>
  </r>
  <r>
    <s v="Shraddha Arde (ul528)"/>
    <s v="Rachna Pawale"/>
    <n v="37"/>
    <n v="40"/>
    <n v="3"/>
    <m/>
    <s v="CES CSAR 01.24.12.00 - 12962338"/>
    <s v="CES CSAR 01.24.12.00 - 12962338"/>
    <x v="32"/>
    <m/>
    <s v="CSAR SyncUp :- DTR replacement for AftDOCPIDFdbkUsedUpDiag"/>
    <s v="Evaluate"/>
    <m/>
    <m/>
    <s v="03 Sep : Working on code complilation error, Peer review planned on 04 Sep"/>
    <x v="3"/>
    <s v="2024 Aug - CES PFS : 14503516"/>
    <d v="2024-08-08T00:00:00"/>
    <m/>
    <d v="2024-08-29T00:00:00"/>
    <d v="2024-08-21T00:00:00"/>
  </r>
  <r>
    <s v="jyoti dongre (vu400)"/>
    <s v="Vivek Panigrahi"/>
    <n v="38"/>
    <n v="140"/>
    <n v="102"/>
    <m/>
    <s v="CES CSAR 01.24.12.00 - 12962338"/>
    <m/>
    <x v="33"/>
    <m/>
    <s v="VnV and Documentation for CSAR migrated component - ATS - ATM Extension - PFS CES AECD (AftPFSAecdIntfProc)"/>
    <s v="Evaluate"/>
    <m/>
    <m/>
    <s v="09-Sep: SRS query resolved by Ashitosh and Tracebility creation to be started._x000a_06-Sep: To be discussed with Dhanraj for SRS query resolution._x000a_05-Sep: To be worked on SRS._x000a_02-Sep: App Guide updation is in progress. Kept on hold due to prirority work._x000a_30-Aug: App Guide creation to be started."/>
    <x v="3"/>
    <s v="2024 Sep - CES PFS : 14702743"/>
    <m/>
    <m/>
    <d v="2024-10-31T00:00:00"/>
    <d v="2024-09-09T00:00:00"/>
  </r>
  <r>
    <s v="Yogesh Yenorkar (vz001)"/>
    <s v="Rachna Pawale"/>
    <n v="0"/>
    <m/>
    <n v="0"/>
    <m/>
    <s v="CES CSAR 01.24.12.00 - 12962338"/>
    <s v="CES CSAR 01.24.12.00 - 12962338"/>
    <x v="34"/>
    <m/>
    <s v="Need fix for the issues found in AftDiesOxidCatPresDiag component"/>
    <s v="Evaluate"/>
    <m/>
    <m/>
    <m/>
    <x v="3"/>
    <s v="2024 Aug - CES PFS : 14503516"/>
    <d v="2024-08-12T00:00:00"/>
    <m/>
    <m/>
    <d v="2024-08-05T00:00:00"/>
  </r>
  <r>
    <s v="Haridas Raut (vy322)"/>
    <s v="Vivek Panigrahi"/>
    <n v="99"/>
    <n v="36"/>
    <n v="-63"/>
    <m/>
    <s v="CES CSAR 01.24.12.00 - 12962338"/>
    <m/>
    <x v="35"/>
    <m/>
    <s v="Legend Gold VECU/PACCAR: SPN 523386 interface (CES)"/>
    <s v="Evaluate"/>
    <s v="7/15/2024 Check in Required."/>
    <m/>
    <s v="18-Sep: As advised by Duygu to be discussed with Dhanraj for IDFMEA logic confirmation today._x000a_16-Sep:  To be scheduled a meeting with Duyju to get the clarification on IDFME, new additional logic. CCB review is on hold. IDFMEA scope increased to be revised estimation._x000a_13-Sep: CCB is planned today for Eval,Interface sheet and SRS._x000a_12-Sep: CCB review is on hold due to ISM changes(DCR raised -14744133). To be planned for CCB tomorrow._x000a_11-Sep: Peer review is completed, working review comments. CCB is planned today._x000a_10-Sep:Interface sheet updation is completed. Peer review is planned for today._x000a_09-Sep: Evalaution is completed. Interface sheet updation is in progress._x000a_06-Sep: Evalaution is in progress._x000a_05-Sep: Received input from Dhanraj and Evalaution to be started._x000a_04-Sep: As advised by Dhanraj to be discussed with Chaitanya on component logic(CSAR Implementation)._x000a_03-Sep: Discussed with Devna and Chaitanya and got the clarification for requirements. Awaiting confirmation from Todd and Dhanraj for implimentation component details._x000a_02-Sep: Meeting to be rescheduled with all due to US holiday._x000a_30-Aug: As advised by Chaitanya to be scheduled a call with Devna, Chaitanya and Dhanraj, Ashitosh for scope clarification._x000a_29-Aug: As advised by Todd Analysis is completed. Meeting is scheduled today to explaing the out put._x000a_28-Aug: PPT updation is completed based on the input to be verified with Ashitosh and Prasad. To be discussed with Todd for the analysis output._x000a_27-Aug: Discussed with Ashitosh and working on the input to update PPT._x000a_26-AUg: To be discussed with Ashitosh and to be updated PPT and share with Todd._x000a_23-Aug: As advised by Chaitanya and Dhanraj to  be prepared PPT and to be reviewed with Todd._x000a_22-Aug: Call to be scheduled with Chaitanya and Dhnaraj._x000a_19-Aug,16-Aug: To be analyzed on mode arbitration sub system check in offhighway and to be dicussed with Rohit F._x000a_05-Aug: Kept on hold due to other prirority._x000a_02-Aug,01-Aug,31-July: To be discussed with Todd and Dhanraj for new logic clairifcation. _x000a_30-July,29-July: Awaiting input from Dhanraj to impiment new logc in component. Time lilne to be confirmed by Haridas._x000a_26-July: Evalaution analysis is in progress._x000a_25-July,23-July:  Initial analysis is in progress."/>
    <x v="0"/>
    <s v="2024 Sep - CES PFS : 14702743"/>
    <m/>
    <m/>
    <d v="2024-09-27T00:00:00"/>
    <m/>
  </r>
  <r>
    <s v="Lavanya Nayak (ri652)"/>
    <s v="Rachna Pawale"/>
    <n v="0"/>
    <n v="40"/>
    <n v="40"/>
    <m/>
    <s v="CES CSAR 01.24.12.00 - 12962338"/>
    <m/>
    <x v="36"/>
    <m/>
    <s v="Inhibit non-mission regenerations from being triggered when soot load is less than the start of regen"/>
    <s v="Evaluate"/>
    <s v="7/31/2024 Check in Required."/>
    <m/>
    <s v="18-09 : Eval in progress16-09 : On hold for DDP priority DCRs_x000a_09-09 : Evaluation in progress_x000a_29-Aug,28- Aug: Working on DDP wotk. Kept on hold._x000a_27-Aug: To be started intial analysis._x000a_26-Aug: Yet to start."/>
    <x v="0"/>
    <s v="2024 Sep - CES PFS : 14702743"/>
    <m/>
    <m/>
    <d v="2024-09-30T00:00:00"/>
    <m/>
  </r>
  <r>
    <s v="amit matale (xy524)"/>
    <s v="Rachna Pawale"/>
    <n v="0"/>
    <n v="50"/>
    <n v="50"/>
    <m/>
    <m/>
    <m/>
    <x v="37"/>
    <m/>
    <s v="MCDC Coverage improvements for AftDiesOxidCatRvrsDiag component"/>
    <s v="Evaluate"/>
    <m/>
    <m/>
    <m/>
    <x v="1"/>
    <m/>
    <m/>
    <m/>
    <d v="2024-10-25T00:00:00"/>
    <m/>
  </r>
  <r>
    <s v="jayant patil (wl795)"/>
    <s v="Rachna Pawale"/>
    <n v="4"/>
    <n v="45"/>
    <n v="41"/>
    <m/>
    <m/>
    <m/>
    <x v="38"/>
    <m/>
    <s v="Implement EDL and Implement DTR blocks - AftDiesOxidCatOutTmptrDiag diagnostics"/>
    <s v="Evaluate_NA"/>
    <m/>
    <m/>
    <s v="03 Sep : Requrement analysis"/>
    <x v="3"/>
    <m/>
    <m/>
    <m/>
    <m/>
    <d v="2024-09-09T00:00:00"/>
  </r>
  <r>
    <s v="jayant patil (wl795)"/>
    <s v="Rachna Pawale"/>
    <n v="28"/>
    <n v="50"/>
    <n v="22"/>
    <m/>
    <s v="CES CSAR 01.24.12.00 - 12962338"/>
    <m/>
    <x v="39"/>
    <m/>
    <s v="Need fix for the issues found in AftDualHtrCtrl component"/>
    <s v="Evaluate"/>
    <m/>
    <m/>
    <s v="16-09 : Working on peer review comments_x000a_13 Sep : Peer review is in progress &amp; working on fixing the peer comments_x000a_11 Sep : Peer reciew to be planned on 12 Sep _x000a_10 Sep : Eval ppt is done, Review to be planned on 11 Sep_x000a_30-08 : evaluation is in progress                                     03 Sep : To update the eval ppt "/>
    <x v="2"/>
    <s v="2024 Sep - CES PFS : 14702743"/>
    <m/>
    <m/>
    <d v="2024-09-25T00:00:00"/>
    <m/>
  </r>
  <r>
    <s v="Harshada Borude (ur897)"/>
    <s v="Vivek Panigrahi"/>
    <n v="10"/>
    <n v="10"/>
    <n v="0"/>
    <m/>
    <s v="CES CSAR 01.24.12.00 - 12962338"/>
    <m/>
    <x v="40"/>
    <m/>
    <s v="Test vectors update is needed for AftDiesOxidCatInlTmptrDiag component to improve coverage"/>
    <s v="Evaluate"/>
    <m/>
    <m/>
    <s v="10-09 : May Need to reject, No Scope for SIL coverage improvement in the component_x000a_02-09 : to be check for MCDC coverage"/>
    <x v="6"/>
    <s v="2024 Sep - CES PFS : 14702743"/>
    <m/>
    <m/>
    <d v="2024-10-10T00:00:00"/>
    <d v="2024-09-09T00:00:00"/>
  </r>
  <r>
    <s v="vitthal shinde (xy599)"/>
    <s v="Vivek Panigrahi"/>
    <n v="0"/>
    <n v="69"/>
    <n v="69"/>
    <m/>
    <s v="CES CSAR 01.24.12.00 - 12962338"/>
    <m/>
    <x v="41"/>
    <m/>
    <s v="Need to update aapguide from AftSwtIntf component"/>
    <s v="Evaluate"/>
    <m/>
    <m/>
    <s v="Effort tracking on DCR13148021"/>
    <x v="4"/>
    <s v="2024 Sep - CES PFS : 14702743"/>
    <m/>
    <m/>
    <d v="2024-09-19T00:00:00"/>
    <m/>
  </r>
  <r>
    <s v="shrutika shete (ac06r)"/>
    <s v="Vivek Panigrahi"/>
    <n v="0"/>
    <n v="16"/>
    <n v="16"/>
    <m/>
    <m/>
    <m/>
    <x v="42"/>
    <m/>
    <s v="DOC_IN_DeltaT: The CSAR translated System Errors still has some Core2 parameters "/>
    <s v="Evaluate"/>
    <m/>
    <m/>
    <s v="Taken care underDCR_14329073"/>
    <x v="2"/>
    <m/>
    <m/>
    <m/>
    <d v="2024-10-04T00:00:00"/>
    <m/>
  </r>
  <r>
    <s v="umesh borde (ad33c)"/>
    <s v="Rachna Pawale"/>
    <n v="0"/>
    <m/>
    <n v="0"/>
    <m/>
    <m/>
    <m/>
    <x v="43"/>
    <m/>
    <s v="DOC_Out_DeltaT: The CSAR translated System Errors still has some Core2 parameters "/>
    <s v="Evaluate"/>
    <m/>
    <m/>
    <s v="18-09 : DCR rejected_x000a_16-09 : This DCR needs to be rejected"/>
    <x v="3"/>
    <m/>
    <m/>
    <m/>
    <m/>
    <m/>
  </r>
  <r>
    <s v="Indumathi M (wf309)"/>
    <s v="Rachna Pawale"/>
    <n v="35"/>
    <n v="100"/>
    <n v="65"/>
    <m/>
    <s v="CES CSAR 01.24.12.00 - 12962338"/>
    <m/>
    <x v="44"/>
    <m/>
    <s v="DPF_Out_DeltaT: The CSAR translated System Errors still has some Core2 parameters"/>
    <s v="Evaluate"/>
    <m/>
    <m/>
    <s v="10 Sep : Review is still in progress_x000a_27 Aug : SRS document update, eval peer review 03 Sep : Peer review planned for 04 Sep"/>
    <x v="2"/>
    <s v="2024 Sep - CES PFS : 14702743"/>
    <m/>
    <m/>
    <d v="2024-09-10T00:00:00"/>
    <m/>
  </r>
  <r>
    <s v="shrutika shete (ac06r)"/>
    <s v="Vivek Panigrahi"/>
    <n v="14"/>
    <n v="16"/>
    <n v="2"/>
    <m/>
    <m/>
    <m/>
    <x v="45"/>
    <m/>
    <s v="DeltaT harnesses have a Data Type error while Simulating in the Test Manager"/>
    <s v="Evaluate"/>
    <s v="Std_Return_Type is an AUTOSAR standard datatype that is provided out from base software layer. Please consult with other taeam using this interface and return and how they have implemented the logic and adapt your logic accordingly.Assign CR back to tr112"/>
    <m/>
    <s v="12-Sep: CCB review is completed, working on review comments. Kept on hold due to DTR prirority work._x000a_11-Sep: CCB is in continious for Evalaution and Interfac sheet._x000a_09-Sep: CCB is planned today for Evalaution. _x000a_06-Sep: Peer review is completed. CCB to be planned after getting confirmation from Component owner for DCR 14329073_x000a_05-Sep: Peer review is completed. Working on Peer review comments. CCB to be planned tomorrow._x000a_04-Sep:  PPT updation is completed. Peer review is planned for today._x000a_03-Sep: Interfcae sheet updation is completed for DCR14329073. SRS is in progres. Interface sheet updation is not required for 13718960. PPT updation is in progress. To be planned for Peer review tomorrow._x000a_02-Sep: Initial analysis is compleetd for 14329073. SRS and Interface sheet to be updated and PPT updation is in progress. To be ger clarification fior DCR 13718960._x000a_30-Aug: Initial analysis is progress."/>
    <x v="4"/>
    <s v="2024 Sep - CES PFS : 14702743"/>
    <m/>
    <m/>
    <d v="2024-10-04T00:00:00"/>
    <m/>
  </r>
  <r>
    <s v="Anushka P Gaikwad (wf298)"/>
    <s v="Rachna Pawale"/>
    <n v="30"/>
    <n v="30"/>
    <n v="0"/>
    <m/>
    <s v="CES CSAR 01.24.12.00 - 12962338"/>
    <m/>
    <x v="46"/>
    <m/>
    <s v="Implement Capability Parameters and Implement DTR blocks - Tri EGTS FMI Based diagnostics"/>
    <s v="Evaluate_NA"/>
    <m/>
    <m/>
    <s v="05 Sep : Internal review in progress for migration and V&amp;V review in proggress. Regression and Accel to be completed. _x000a_20 Aug : Evaluation Completed_x000a_27 Aug : VnV in progress_x000a_28 Aug : MIL completed_x000a_29 Aug : SIL in progress                                                  02 Sep : SIL rework in progress                                    _x000a_"/>
    <x v="3"/>
    <s v="2024 Sep - CES PFS : 14702743"/>
    <m/>
    <m/>
    <s v="31-08-2024_x000a_06-09-2024_x000a_10-09-2024"/>
    <d v="2024-09-09T00:00:00"/>
  </r>
  <r>
    <s v="sumitkumar patil (wf330)"/>
    <s v="Vivek Panigrahi"/>
    <n v="0"/>
    <n v="21"/>
    <n v="21"/>
    <m/>
    <s v="CES CSAR 01.24.12.00 - 12962338"/>
    <m/>
    <x v="47"/>
    <m/>
    <s v="DCR to Implement DeltaP and OutP Parameters in CSAR to collect capability and IUPR data"/>
    <s v="Evaluate"/>
    <m/>
    <m/>
    <s v="Yet to start"/>
    <x v="1"/>
    <s v="2024 Sep - CES PFS : 14702743"/>
    <m/>
    <d v="2024-09-27T00:00:00"/>
    <d v="2024-10-09T00:00:00"/>
    <m/>
  </r>
  <r>
    <s v="Atul Gade (vm775)"/>
    <s v="Rachna Pawale"/>
    <m/>
    <n v="24"/>
    <n v="24"/>
    <m/>
    <m/>
    <m/>
    <x v="48"/>
    <m/>
    <s v="Service test for eHeater replacement."/>
    <s v="Evaluate"/>
    <m/>
    <m/>
    <s v="18 Sep : this dcr to be rejected, need confirmation from TOD_x000a_05 Sep : dummy model in progress_x000a_03 Sep : Eval in progress (New componenet)_x000a_28 Aug : Eval in progress"/>
    <x v="0"/>
    <s v="2024 Sep - CES PFS : 14702743"/>
    <m/>
    <m/>
    <d v="2024-11-15T00:00:00"/>
    <m/>
  </r>
  <r>
    <s v="jayant patil (wl795)"/>
    <s v="Rachna Pawale"/>
    <n v="0"/>
    <n v="0"/>
    <n v="0"/>
    <m/>
    <s v="CES CSAR 01.24.12.00 - 12962338"/>
    <m/>
    <x v="49"/>
    <m/>
    <s v="Dual Htr Controller CSAR Only: Issue with AftDualHtrCtrl"/>
    <s v="Evaluate"/>
    <m/>
    <m/>
    <s v="13 Sep : this dcr needs to be rejected, Confirmed by Monali_x000a_10 Sep : Eval ppt is done, Review to be planned 11 Sep_x000a_06 Sep : PPt to be reviewed today_x000a_30-08 : evaluation is in progress                                     03 Sep : To update the eval ppt "/>
    <x v="2"/>
    <s v="2024 Sep - CES PFS : 14702743"/>
    <m/>
    <m/>
    <d v="2024-09-25T00:00:00"/>
    <m/>
  </r>
  <r>
    <s v="Haridas Raut (vy322)"/>
    <s v="Vivek Panigrahi"/>
    <n v="4"/>
    <n v="63"/>
    <n v="59"/>
    <m/>
    <m/>
    <m/>
    <x v="50"/>
    <m/>
    <s v="Implement Capability Parameters - dmInhSwtTimeRegenErr diagnostics"/>
    <s v="Evaluate"/>
    <m/>
    <m/>
    <s v="10-Sep: DCR is rejected._x000a_09-Sep: Received input from Encodia to reject the DCR today._x000a_05-Sep,04-Sep,03-Sep,02-Sep,30-Aug: As confirmed by Dhanraj he will confirm after getting input from Encodia._x000a_29-Aug: Awaiting confirmation from Dhanraj and Encodia(3 steps owner) for the the rejection._x000a_28-Aug: Analysis PPt shared with Dhanraj for the rejection."/>
    <x v="6"/>
    <s v="2024 Sep - CES PFS : 14702743"/>
    <m/>
    <m/>
    <d v="2024-09-25T00:00:00"/>
    <m/>
  </r>
  <r>
    <s v="sumitkumar patil (wf330)"/>
    <s v="Vivek Panigrahi"/>
    <n v="0"/>
    <n v="21"/>
    <n v="21"/>
    <m/>
    <s v="CES CSAR 01.24.12.00 - 12962338"/>
    <m/>
    <x v="51"/>
    <m/>
    <s v="Update the Tuning Guide for CSAR Programs for DeltaP and OutP Diagnostics"/>
    <s v="Evaluate"/>
    <m/>
    <m/>
    <s v="Yet to start"/>
    <x v="1"/>
    <s v="2024 Sep - CES PFS : 14702743"/>
    <m/>
    <d v="2024-09-27T00:00:00"/>
    <d v="2024-10-09T00:00:00"/>
    <m/>
  </r>
  <r>
    <s v="Ashitosh Nilkanth (uh953)"/>
    <s v="Vivek Panigrahi"/>
    <n v="0"/>
    <n v="0"/>
    <n v="0"/>
    <m/>
    <m/>
    <m/>
    <x v="52"/>
    <m/>
    <s v="Need to Implement 'DEFRegenHistory' Feature in CSAR."/>
    <s v="Evaluate"/>
    <m/>
    <m/>
    <s v="05-Sep: Effort  tracking on DCR14433414"/>
    <x v="4"/>
    <m/>
    <m/>
    <m/>
    <d v="2024-09-27T00:00:00"/>
    <m/>
  </r>
  <r>
    <s v="Balraj S Malage (wf327)"/>
    <s v="Vivek Panigrahi"/>
    <n v="10"/>
    <n v="10"/>
    <n v="0"/>
    <m/>
    <m/>
    <m/>
    <x v="53"/>
    <m/>
    <s v="The capability data is present in R connect (IsmAftDiesPartFiltDltPrRatDiagHiLog)  but no data is not coming up in the GUI."/>
    <s v="Evaluate"/>
    <m/>
    <m/>
    <s v="02-Sep:Rejected the DCR_x000a_30-Aug: As discussed with Encodia to be rejected 14114528 "/>
    <x v="6"/>
    <m/>
    <m/>
    <m/>
    <m/>
    <m/>
  </r>
  <r>
    <s v="Anushka P Gaikwad (wf298)"/>
    <s v="Rachna Pawale"/>
    <n v="0"/>
    <n v="70"/>
    <n v="70"/>
    <m/>
    <m/>
    <m/>
    <x v="54"/>
    <m/>
    <s v="The capability data is present in R connectIsmAftDiesPartFiltOutPrRatDiagOutPHiLog but no data is coming up"/>
    <s v="Evaluate"/>
    <m/>
    <m/>
    <s v="27 Aug : Understading the requirement"/>
    <x v="4"/>
    <m/>
    <m/>
    <m/>
    <s v="NA"/>
    <m/>
  </r>
  <r>
    <s v="Balraj S Malage (wf327)"/>
    <s v="Vivek Panigrahi"/>
    <n v="4"/>
    <n v="44"/>
    <n v="40"/>
    <m/>
    <s v="CES CSAR 01.24.12.00 - 12962338"/>
    <m/>
    <x v="55"/>
    <m/>
    <s v="The capability data is present in R connectIsmAftDiesPartFiltDltPrRatDiagHiLog  but no data is coming up"/>
    <s v="Evaluate"/>
    <m/>
    <m/>
    <s v="13-Sep: Follow up is in progress with Ncodia to access the artifacts attached in the DCR and Rconnect tool teams POC required to undertsand requirement scope._x000a_02-Sep: Awaiting artifact from Ncodia. "/>
    <x v="4"/>
    <s v="2024 Sep - CES PFS : 14702743"/>
    <m/>
    <m/>
    <d v="2024-09-25T00:00:00"/>
    <m/>
  </r>
  <r>
    <s v="jayant patil (wl795)"/>
    <s v="Rachna Pawale"/>
    <n v="15"/>
    <n v="60"/>
    <n v="0"/>
    <m/>
    <s v="CES CSAR 01.24.12.00 - 12962338"/>
    <m/>
    <x v="56"/>
    <m/>
    <s v="IPD specific Heater controls changes since last CES handoff"/>
    <s v="Evaluate"/>
    <m/>
    <m/>
    <s v="16-09 : Working on peer review comments_x000a_13 Sep : Peer review is in progress &amp; working on fixing the peer comments10 Sep : Eval ppt is done, Review to be planned on 11 Sep_x000a_06 Sep : PPt to be reviewed today_x000a_30-08 : evaluation is in progress                                     03 Sep : To update the eval ppt "/>
    <x v="2"/>
    <s v="2024 Sep - CES PFS : 14702743"/>
    <m/>
    <m/>
    <d v="2024-09-25T00:00:00"/>
    <m/>
  </r>
  <r>
    <s v="jayant patil (wl795)"/>
    <s v="Rachna Pawale"/>
    <n v="15"/>
    <n v="40"/>
    <n v="0"/>
    <m/>
    <s v="CES CSAR 01.24.12.00 - 12962338"/>
    <m/>
    <x v="57"/>
    <m/>
    <s v="SW change related component AftDualHtrCtrl - (D phase work)"/>
    <s v="Evaluate"/>
    <m/>
    <m/>
    <s v="16-09 : Working on peer review comments_x000a_13 Sep : Peer review is in progress &amp; working on fixing the peer comments_x000a_10 Sep : Eval ppt is done, Review to be planned on 11 Sep_x000a_06 Sep : PPt to be reviewed today_x000a_30-08 : evaluation is in progress                                     03 Sep : To update the eval ppt "/>
    <x v="2"/>
    <s v="2024 Sep - CES PFS : 14702743"/>
    <m/>
    <m/>
    <d v="2024-09-20T00:00:00"/>
    <m/>
  </r>
  <r>
    <s v="amit matale (xy524)"/>
    <s v="Rachna Pawale"/>
    <n v="60"/>
    <n v="70"/>
    <n v="10"/>
    <m/>
    <s v="CES CSAR 01.24.12.00 - 12962338"/>
    <m/>
    <x v="58"/>
    <m/>
    <s v="SW change related component AftDualHtrCtrlIPDExt (D phase work)"/>
    <s v="Evaluate"/>
    <m/>
    <m/>
    <s v="17-09 : CCB review is planned today_x000a_16-09 : Peer review is completed. working on Peer review comments_x000a_13 Sep : Peer review is planned for today_x000a_05-09 : Plan for Peer review on 11 sept_x000a_Evalaution PPT in progress - 09-06_x000a_Interface sheet - 09-06_x000a_SRS - 09-06_x000a_30-08 : evaluation is in progress. Model changes is completed. Interface sheet is in progress"/>
    <x v="2"/>
    <s v="2024 Sep - CES PFS : 14702743"/>
    <m/>
    <m/>
    <d v="2024-09-20T00:00:00"/>
    <m/>
  </r>
  <r>
    <s v="Indumathi M (wf309)"/>
    <s v="Rachna Pawale"/>
    <n v="0"/>
    <n v="40"/>
    <n v="0"/>
    <m/>
    <m/>
    <m/>
    <x v="59"/>
    <m/>
    <s v="VCOND creation for AftRegenCtrl component"/>
    <s v="Evaluate"/>
    <m/>
    <m/>
    <m/>
    <x v="1"/>
    <m/>
    <m/>
    <m/>
    <m/>
    <m/>
  </r>
  <r>
    <s v="shrutika shete (ac06r)"/>
    <s v="Vivek Panigrahi"/>
    <n v="0"/>
    <n v="16"/>
    <n v="16"/>
    <m/>
    <m/>
    <m/>
    <x v="60"/>
    <m/>
    <s v="FIM interface update required in AftDiesOxidCatInlDltTmptrDiag"/>
    <s v="Evaluate"/>
    <m/>
    <m/>
    <s v="16-09 : Deferred for priorirty DCR_XX (DCR to be raised for AftHCDosCmd component (Parent DCR_14395198))_x000a_12-Sep: CCB review is completed, working on review comments. Kpet on hold due to DTR prirority work._x000a_11-Sep: CCB is in Continious for Evala and Interface sheet._x000a_09-Sep: CCB planned for SRS, EValaution, Interface sheet today._x000a_06-Sep,05-Sep: Peer review is completed, working on peer review comments. To be discused with Chaitali and to be planned CCB review tomorrow._x000a_04-Sep: SRS is completed for one proposal. PPT updation is completed. To be discussed with Chaitali for other prorposal._x000a_03-Sep: Interfcae sheet updation is completed for DCR14329073. SRS is in progres. Interface sheet updation is not required for 13718960. PPT updation is in progress. To be planned for Peer review tomorrow._x000a_02-Sep: Initial analysis is compleetd for 14329073. SRS and Interface sheet to be updated and PPT updation is in progress. To be ger clarification fior DCR 13718960._x000a_30-Aug: Initial analysis is progress."/>
    <x v="5"/>
    <s v="2024 Sep - CES PFS : 14702743"/>
    <m/>
    <m/>
    <d v="2024-10-04T00:00:00"/>
    <m/>
  </r>
  <r>
    <s v="Harshada Borude (ur897)"/>
    <s v="Vivek Panigrahi"/>
    <n v="16"/>
    <n v="11"/>
    <n v="-5"/>
    <m/>
    <m/>
    <m/>
    <x v="61"/>
    <m/>
    <s v="FIM interface update required in AftDiesOxidCatInlTmptrDiag"/>
    <s v="Evaluate"/>
    <m/>
    <m/>
    <s v="16-09 : Deferred for priorirty DCR_14428693_x000a_13-Sep: Evalaution is completd. Interface sheet and SRS updation is in progress. To be worked on PPT updation._x000a_12-Sep,11-Sep: Analysis is in progress."/>
    <x v="5"/>
    <s v="2024 Sep - CES PFS : 14702743"/>
    <m/>
    <d v="2024-09-25T00:00:00"/>
    <d v="2024-10-15T00:00:00"/>
    <m/>
  </r>
  <r>
    <s v="Nileema Pailwan (mt618)"/>
    <s v="Nileema Pailwan"/>
    <n v="0"/>
    <m/>
    <n v="0"/>
    <m/>
    <m/>
    <m/>
    <x v="62"/>
    <m/>
    <s v="CSAR Sync - up: Missing requirements in Phase 35 Oxidation Catalyst Manager"/>
    <s v="Evaluate"/>
    <s v="Branched from Br35"/>
    <m/>
    <s v="_x000a_16-09 : Deferred for priorirty DCR_14395198"/>
    <x v="5"/>
    <m/>
    <m/>
    <m/>
    <m/>
    <m/>
  </r>
  <r>
    <s v="Yogesh Yenorkar (vz001)"/>
    <s v="Rachna Pawale"/>
    <n v="0"/>
    <n v="30"/>
    <n v="30"/>
    <m/>
    <m/>
    <m/>
    <x v="63"/>
    <m/>
    <s v="CSAR Sync - up: Add a Fault Criteria when DPF CE(FC3168) set"/>
    <s v="Evaluate"/>
    <s v="Branched from Br35"/>
    <m/>
    <s v="16-09 : Deferred for priorirty DCR_14620690_x000a_23-08 : Analysis to be started"/>
    <x v="5"/>
    <m/>
    <m/>
    <m/>
    <d v="2024-09-30T00:00:00"/>
    <m/>
  </r>
  <r>
    <s v="Anushka P Gaikwad (wf298)"/>
    <s v="Rachna Pawale"/>
    <n v="0"/>
    <n v="25"/>
    <n v="25"/>
    <m/>
    <m/>
    <m/>
    <x v="64"/>
    <m/>
    <s v="CSAR Sync - up: Additional NMHCeff Thresholds for Face Pluggging"/>
    <s v="Evaluate"/>
    <s v="Branched from Br35"/>
    <m/>
    <s v="_x000a__x000a_16-09 : Deferred for priorirty DCR_1335871105 Sep : Evalutaion to be started today_x000a_02 to 04 sep : worked on other priority dcr_x000a_02 Sep : planned to start on 14 Oct"/>
    <x v="5"/>
    <m/>
    <m/>
    <m/>
    <d v="2024-09-27T00:00:00"/>
    <m/>
  </r>
  <r>
    <s v="Atul Gade (vm775)"/>
    <s v="Rachna Pawale"/>
    <n v="0"/>
    <m/>
    <n v="0"/>
    <m/>
    <m/>
    <m/>
    <x v="65"/>
    <m/>
    <s v="eHTR High temperature monitoring"/>
    <s v="Evaluate"/>
    <m/>
    <m/>
    <s v="03 Sep : Mostt probably would be moved to next quarter"/>
    <x v="4"/>
    <m/>
    <m/>
    <m/>
    <s v="TBD"/>
    <m/>
  </r>
  <r>
    <s v="Atul Gade (vm775)"/>
    <s v="Rachna Pawale"/>
    <n v="0"/>
    <m/>
    <n v="0"/>
    <m/>
    <m/>
    <m/>
    <x v="66"/>
    <m/>
    <s v="eHTR High temperature monitoring - Service interfacing"/>
    <s v="Evaluate"/>
    <m/>
    <m/>
    <s v="03 Sep : Mostt probably would be moved to next quarter"/>
    <x v="4"/>
    <m/>
    <m/>
    <m/>
    <s v="TBD"/>
    <m/>
  </r>
  <r>
    <s v="iram nazneen (wa667)"/>
    <s v="Nileema Pailwan"/>
    <n v="15"/>
    <n v="25"/>
    <n v="10"/>
    <m/>
    <m/>
    <m/>
    <x v="67"/>
    <m/>
    <s v="HC diagnostics - Critical Parameters/ troubleshooting Parameters CSAR"/>
    <s v="Evaluate"/>
    <m/>
    <m/>
    <s v="18-09 : Plan for Peer+ccb on 20th Sep_x000a_13-09 : working on ISM Proposal and DTR, EDL and MMDL. Plan to complete the HC dosing component by monday 1st half_x000a_12-09 : Received inputs from Dhanraj, as per communication, ISM to be implemented for 4 components and capability parametrs _x000a_11-09, 10-09 : Working on PPT. To be discuss with Dhanraj for additional requirements_x000a_09-09 : Evaluation in progress_x000a_29-Aug,28- Aug: Working on DDP wotk. Kept on hold._x000a_27-Aug: Initial analysis is in progress. To be discussed with Dhanrja to get the clarification._x000a_26-Aug: Yet to start."/>
    <x v="2"/>
    <m/>
    <m/>
    <d v="2024-09-23T00:00:00"/>
    <d v="2024-09-17T00:00:00"/>
    <m/>
  </r>
  <r>
    <s v="iram nazneen (wa667)"/>
    <s v="Nileema Pailwan"/>
    <n v="4"/>
    <n v="25"/>
    <n v="21"/>
    <m/>
    <m/>
    <m/>
    <x v="68"/>
    <m/>
    <s v="LOT DSFOV Diag improvement"/>
    <s v="Evaluate"/>
    <m/>
    <m/>
    <s v="13-09, 12-09, 11-09: Evalaution in progress_x000a_09-09 : Initial analysis in progress_x000a_"/>
    <x v="2"/>
    <s v="2024 Sep - CES PFS : 14702743"/>
    <m/>
    <d v="2024-09-23T00:00:00"/>
    <d v="2024-09-17T00:00:00"/>
    <m/>
  </r>
  <r>
    <s v="Indumathi M (wf309)"/>
    <s v="Rachna Pawale"/>
    <m/>
    <n v="20"/>
    <n v="20"/>
    <m/>
    <s v="CES CSAR 01.24.12.00 - 12962338"/>
    <m/>
    <x v="69"/>
    <m/>
    <s v="FIM interface update required in AftDiesPartFiltOutTmptrDiag"/>
    <s v="Evaluate"/>
    <m/>
    <m/>
    <s v="16-09 : Deferred for priorirty DCR_XX (DCR to be raised for AftHCDFMDiag component (Parent DCR_14395198))"/>
    <x v="5"/>
    <s v="2024 Sep - CES PFS : 14702743"/>
    <m/>
    <m/>
    <d v="2024-09-27T00:00:00"/>
    <m/>
  </r>
  <r>
    <s v="Indumathi M (wf309)"/>
    <s v="Rachna Pawale"/>
    <n v="19"/>
    <n v="20"/>
    <n v="0"/>
    <m/>
    <s v="CES CSAR 01.24.12.00 - 12962338"/>
    <m/>
    <x v="70"/>
    <m/>
    <s v="FIM interface update required in AftDiesPartFiltOutDltTmptrDiag"/>
    <s v="Evaluate"/>
    <m/>
    <m/>
    <s v="10 Sep : Review is still in progress_x000a_27 Aug : SRS document update, eval peer review 03 Sep : Peer review planned for 04 Sep"/>
    <x v="2"/>
    <s v="2024 Sep - CES PFS : 14702743"/>
    <m/>
    <m/>
    <d v="2024-09-10T00:00:00"/>
    <m/>
  </r>
  <r>
    <s v="umesh borde (ad33c)"/>
    <s v="Rachna Pawale"/>
    <n v="0"/>
    <n v="20"/>
    <n v="20"/>
    <m/>
    <s v="CES CSAR 01.24.12.00 - 12962338"/>
    <m/>
    <x v="71"/>
    <m/>
    <s v="FIM interface update required in AftDiesPartFiltOverTmptrDiag"/>
    <s v="Evaluate"/>
    <m/>
    <m/>
    <s v="16-09 : Deferred for priorirty DCR_XX (DCR to be raised for AftHCDosCmd component (Parent DCR_14395198))_x000a_10 Sep : Diagstat us not available"/>
    <x v="5"/>
    <s v="2024 Sep - CES PFS : 14702743"/>
    <m/>
    <m/>
    <m/>
    <m/>
  </r>
  <r>
    <s v="umesh borde (ad33c)"/>
    <s v="Rachna Pawale"/>
    <n v="22"/>
    <n v="15"/>
    <n v="-7"/>
    <m/>
    <s v="CES CSAR 01.24.12.00 - 12962338"/>
    <m/>
    <x v="72"/>
    <m/>
    <s v="FIM interface update required in AftDiesOxidCatOutDltTmptrDiag"/>
    <s v="Evaluate"/>
    <m/>
    <m/>
    <s v="18-09 : Peer review to be done today_x000a_16-09 : Evaluation review is plan for wednesday_x000a_13 Sep : Interface sheet completed, SRS &amp; ppt to be updated today"/>
    <x v="2"/>
    <s v="2024 Sep - CES PFS : 14702743"/>
    <m/>
    <m/>
    <d v="2024-09-30T00:00:00"/>
    <m/>
  </r>
  <r>
    <s v="shrutika shete (ac06r)"/>
    <s v="Vivek Panigrahi"/>
    <n v="0"/>
    <n v="25"/>
    <n v="25"/>
    <m/>
    <s v="CES CSAR 01.24.12.00 - 12962338"/>
    <m/>
    <x v="73"/>
    <m/>
    <s v="FIM interface update required in AftDiesOxidCatOverTmptrDiag"/>
    <s v="Evaluate"/>
    <m/>
    <m/>
    <s v="16-09 : Deferred for priorirty DCR_XX (DCR to be raised for AftHCDFMDiag component (Parent DCR_14395198))"/>
    <x v="5"/>
    <s v="2024 Sep - CES PFS : 14702743"/>
    <m/>
    <m/>
    <d v="2024-09-27T00:00:00"/>
    <m/>
  </r>
  <r>
    <s v="amit matale (xy524)"/>
    <s v="Rachna Pawale"/>
    <n v="0"/>
    <n v="30"/>
    <n v="30"/>
    <m/>
    <s v="CES CSAR 01.24.12.00 - 12962338"/>
    <m/>
    <x v="74"/>
    <m/>
    <s v="FIM interface update required in AftDiesOxidCatRvrsDiag"/>
    <s v="Evaluate"/>
    <m/>
    <m/>
    <s v="_x000a_16-09 : Deferred for priorirty DCR_XX (DCR to be raised for AftHCDosCompnUsedUpDiag component (Parent DCR_14395198))"/>
    <x v="5"/>
    <s v="2024 Sep - CES PFS : 14702743"/>
    <m/>
    <m/>
    <d v="2024-09-30T00:00:00"/>
    <m/>
  </r>
  <r>
    <s v="Balraj S Malage (wf327)"/>
    <s v="Vivek Panigrahi"/>
    <n v="22"/>
    <n v="44"/>
    <n v="22"/>
    <m/>
    <s v="CES CSAR 01.24.12.00 - 12962338"/>
    <m/>
    <x v="75"/>
    <m/>
    <s v="FIM interface update required in AftDiesPartFiltDltPrRatDiag"/>
    <s v="Evaluate"/>
    <m/>
    <m/>
    <s v="18-Sep: Working on peer review comment- Propsed model changes to be updated before proceeding with peer review. To be planned remaning peer review tomorrow._x000a_16-Sep: Due to reviewer not available to be planned peer review today._x000a_13-Sep: PPT updation is in progress.Peer review is planned for Eval,Interface sheet and SRS._x000a_11-Sep,10-Sep,02-Sep: Evalaution is in progress"/>
    <x v="2"/>
    <s v="2024 Sep - CES PFS : 14702743"/>
    <m/>
    <m/>
    <d v="2024-09-25T00:00:00"/>
    <m/>
  </r>
  <r>
    <s v="sumitkumar patil (wf330)"/>
    <s v="Vivek Panigrahi"/>
    <n v="0"/>
    <n v="21"/>
    <n v="21"/>
    <m/>
    <s v="CES CSAR 01.24.12.00 - 12962338"/>
    <m/>
    <x v="76"/>
    <m/>
    <s v="FIM interface update required in AftDPFDltPrKeyOnOffRatDiag"/>
    <s v="Evaluate"/>
    <m/>
    <m/>
    <s v="16-09 : Deferred for priorirty DCR_14655991"/>
    <x v="5"/>
    <s v="2024 Sep - CES PFS : 14702743"/>
    <m/>
    <d v="2024-09-27T00:00:00"/>
    <d v="2024-10-09T00:00:00"/>
    <m/>
  </r>
  <r>
    <s v="Harshada Borude (ur897)"/>
    <s v="Vivek Panigrahi"/>
    <n v="0"/>
    <n v="12"/>
    <n v="12"/>
    <m/>
    <s v="CES CSAR 01.24.12.00 - 12962338"/>
    <m/>
    <x v="77"/>
    <m/>
    <s v="FIM interface update required in AftDiesPartFiltOutPrKeyOnOffRatDiag"/>
    <s v="Evaluate"/>
    <m/>
    <m/>
    <s v="18-Sep: Analysis to be started._x000a_Note: DCR: 13751560 &amp; DCR_14026935 are part of same component hence considering effor for these DCR in this DCR."/>
    <x v="2"/>
    <s v="2024 Sep - CES PFS : 14702743"/>
    <m/>
    <d v="2024-09-16T00:00:00"/>
    <d v="2024-10-01T00:00:00"/>
    <m/>
  </r>
  <r>
    <s v="Jagadeesh V (wt481)"/>
    <s v="Vivek Panigrahi"/>
    <n v="14"/>
    <n v="18"/>
    <n v="4"/>
    <m/>
    <s v="CES CSAR 01.24.12.00 - 12962338"/>
    <m/>
    <x v="78"/>
    <m/>
    <s v="FIM interface update required in AftDiesPartFiltInComplRegenDiag"/>
    <s v="Evaluate"/>
    <m/>
    <m/>
    <s v="18-Sep: To be worked on SRS._x000a_16-Sep,13-Sep: Received confirmation from Ajay and Alex. Kept on hold due to other prirority DCR work._x000a_12-Sep: Evalaution is in progress. Awaiting confirmation from Ajay._x000a_11-Sep: Analysis is shared with Dhanraj and awaiting confirmation from Lavanya._x000a_10-Sep: As advised by Lavanaya working on analysis part._x000a_09-Sep: Awaiting input from Shrutika, working on RRB review comments._x000a_06-Sep: Updated Interfacesheet. Awaiting confirmation from Shrutika._x000a_27-Aug,26-Aug: Incomplete regen diag SRS is in open state once it is completed then will work on SRS publition. Kpet on hold._x000a_23-Aug: SRS to be published in Integrity today. PPT updation is completed. _x000a_22-Aug: Interface sheet updation is completed. PPT updation and SRS updation is in progress._x000a_21-Aug: Evalaution is completed. Working on Interface sheet._x000a_20-Aug: Estimation details to be shared and Evalaution analysis is in progress._x000a_19-Aug: Evalaution analysis is in progress."/>
    <x v="0"/>
    <s v="2024 Sep - CES PFS : 14702743"/>
    <m/>
    <m/>
    <d v="2024-09-10T00:00:00"/>
    <m/>
  </r>
  <r>
    <s v="Jagadeesh V (wt481)"/>
    <s v="Vivek Panigrahi"/>
    <n v="29"/>
    <n v="12"/>
    <n v="-17"/>
    <m/>
    <s v="CES CSAR 01.24.12.00 - 12962338"/>
    <m/>
    <x v="79"/>
    <m/>
    <s v="FIM interface update required in AftHCDosCompnUsedUpDiag"/>
    <s v="Evaluate"/>
    <m/>
    <m/>
    <s v="18-Sep: CCB is in progress, working on review comments._x000a_16-Sep: Peer review is completed and review comments to be verifed with reviewer. CCB is planned today._x000a_13-Sep: Received input from Ajay and Alex. Peer review is in progress, working on review comments.CCB to be planned tomorrow._x000a_12-Sep: Evalaution is in progress. Awaiting confirmation from Ajay._x000a_11-Sep: Shared analysis with Dhanraj and awaiting confirmation from Lavanya to proceed furhter._x000a_10-Sep: As advised by Lavanya working on analysis and will share the ouput to Dhanraj._x000a_09-Sep,06-Sep: Awaiting input from Dhanraj._x000a_05-Sep: Shared the implimentation result with Dhanraj and waiting for the confirmation._x000a_04-Sep: Working on Dhanraj's input on checking with provider component. To be sent a mail to Dhanraj after updating the logic._x000a_03-Sep: CCB review is in progress._x000a_02-Sep: CCB review was not scheduled due to reviewer not available on Friday. CCB is planned today. DCR#14692695 raised for SRS, App Guide and IDFMEA to create._x000a_30-Aug: Peer review is completed. Working on review comments fix. CCB is planned today._x000a_29-Aug: Peer review is in progress, Working on review comments._x000a_28-Aug: Interface sheet is completed and PPT updation is completed. Peer  is planned for today._x000a_27-Aug: Evalaution is completed. Interface sheet updation is completed._x000a_26-Aug: Initial analysis is in progress."/>
    <x v="0"/>
    <s v="2024 Sep - CES PFS : 14702743"/>
    <m/>
    <m/>
    <d v="2024-09-05T00:00:00"/>
    <m/>
  </r>
  <r>
    <s v="Ashitosh Nilkanth (uh953)"/>
    <s v="Vivek Panigrahi"/>
    <n v="2"/>
    <n v="30"/>
    <n v="28"/>
    <m/>
    <s v="CES CSAR 01.24.12.00 - 12962338"/>
    <m/>
    <x v="80"/>
    <m/>
    <s v="Short Regen Strategy Missing Separate Target Temperature- AftDiesPartFiltOpModeDet"/>
    <s v="Evaluate"/>
    <m/>
    <m/>
    <s v="18-Sep: Kept on hold due to prirority analysis for DCR#12748925._x000a_16-Sep,13-Sep: Scope analysis with Swapnil is in progress. As advised by Swapnil working on Regen trigger state analysis._x000a_Assigned to Ashitosh to be analysed and update estimation."/>
    <x v="4"/>
    <s v="2024 Sep - CES PFS : 14702743"/>
    <m/>
    <m/>
    <d v="2024-09-30T00:00:00"/>
    <m/>
  </r>
  <r>
    <s v="Harshada Borude (ur897)"/>
    <s v="Vivek Panigrahi"/>
    <n v="13"/>
    <n v="10"/>
    <n v="-3"/>
    <m/>
    <s v="CES CSAR 01.24.12.00 - 12962338"/>
    <m/>
    <x v="81"/>
    <m/>
    <s v="CSAR SyncUp :- DTR replacement for AftPartMatSenCRegenDiag."/>
    <s v="Evaluate"/>
    <m/>
    <m/>
    <s v="18-Sep: DCR is submitted in Integrity._x000a_13-Sep: Received L2 feedback and fixed and L2 review is completed. DCR to be submitted in Integrity._x000a_12-Sep: Awaiitng L2 feedback from Yue_x000a_11-Sep: Peer+CCB is completed for Evalaution and L2 sent to Yue._x000a_10-Sep: Peer+CCB is planned today for Evalaution, Interface sheet, SRS._x000a_09-Sep: PPT updation and SRS to be started._x000a_02-Sep: Interface sheet updation is completed. Kept on hold due to other priority work._x000a_30-Aug: Interface sheet is in progress."/>
    <x v="3"/>
    <s v="2024 Sep - CES PFS : 14702743"/>
    <m/>
    <m/>
    <d v="2024-09-12T00:00:00"/>
    <d v="2024-09-18T00:00:00"/>
  </r>
  <r>
    <s v="shrutika shete (ac06r)"/>
    <s v="Vivek Panigrahi"/>
    <n v="5"/>
    <n v="36"/>
    <n v="31"/>
    <m/>
    <s v="CES CSAR 01.24.12.00 - 12962338"/>
    <s v="CES CSAR 01.24.12.00 - 12962338"/>
    <x v="82"/>
    <m/>
    <s v="CSAR SyncUp :- DTR replacement for AftPartMatSenCFiltEffDiag"/>
    <s v="Evaluate"/>
    <m/>
    <m/>
    <s v="09-Sep: Code compilation is in progress. Facing issue and taking IT support help._x000a_06-09: Model updation is in progress._x000a_05-09 : Implemenetation in progress_x000a_03-Sep: Awaiting ARXML from Madhupriya from 2nd sept."/>
    <x v="3"/>
    <s v="2024 Aug - CES PFS : 14503516"/>
    <d v="2024-08-09T00:00:00"/>
    <m/>
    <d v="2024-09-25T00:00:00"/>
    <d v="2024-08-30T00:00:00"/>
  </r>
  <r>
    <s v="shrutika shete (ac06r)"/>
    <s v="Vivek Panigrahi"/>
    <n v="0"/>
    <n v="36"/>
    <n v="36"/>
    <m/>
    <s v="CES CSAR 01.24.12.00 - 12962338"/>
    <s v="CES CSAR 01.24.12.00 - 12962338"/>
    <x v="83"/>
    <m/>
    <s v="CSAR SyncUp :- DTR replacement for AftDiesPartFiltInComplRegenDiag"/>
    <s v="Evaluate"/>
    <m/>
    <m/>
    <s v="09-Sep: Awaiting ARXML, to be folowed up with Madhuproya. To be assigned to other team member._x000a_06-Sep,03-Sep: Awaiting ARXML from Madhupriya from 4th sept."/>
    <x v="3"/>
    <s v="2024 Aug - CES PFS : 14503516"/>
    <d v="2024-08-09T00:00:00"/>
    <m/>
    <d v="2024-10-07T00:00:00"/>
    <d v="2024-08-30T00:00:00"/>
  </r>
  <r>
    <s v="Ashitosh Nilkanth (uh953)"/>
    <s v="Vivek Panigrahi"/>
    <n v="20"/>
    <n v="17"/>
    <n v="-3"/>
    <m/>
    <s v="CES CSAR 01.24.12.00 - 12962338"/>
    <s v="CES CSAR 01.24.12.00 - 12962338"/>
    <x v="84"/>
    <m/>
    <s v="CSAR SyncUp :- DTR replacement for AftDPFMissDiag"/>
    <s v="Evaluate"/>
    <m/>
    <m/>
    <s v="27-Aug: RRB review is completed. DCR is submitted in Integrity._x000a_26-Aug: L2 review is completed. Awaiting RRB review from Yogesh._x000a_23-Aug: Awaiting L2 feedback from Yue._x000a_22-Aug: Awaiting L2 feedback from Yue for Evala anf Interface sheet._x000a_21-Aug: CCB review is completed. Sent for L2 review Evalaution and Interface sheet to Yue._x000a_20-Aug: Peer review is completed. CCB is planned today._x000a_14-Aug: Peer review is planned for today as reviewer were not availanle._x000a_13-Aug: Interface sheet and SRS updation is completed. Peer review is planned today._x000a_12-Aug: Interface sheet and SRS updation to be staretd. To be discussed with Ashish for DTR receiver port creation. To be planned Internal review tomorrow._x000a_09-Aug: Initial analysis is in progress."/>
    <x v="3"/>
    <s v="2024 Aug - CES PFS : 14503516"/>
    <d v="2024-08-08T00:00:00"/>
    <m/>
    <d v="2024-08-26T00:00:00"/>
    <d v="2024-08-26T00:00:00"/>
  </r>
  <r>
    <s v="amit matale (xy524)"/>
    <s v="Rachna Pawale"/>
    <n v="15"/>
    <n v="15"/>
    <n v="0"/>
    <m/>
    <s v="CES CSAR 01.24.12.00 - 12962338"/>
    <s v="CES CSAR 01.24.12.00 - 12962338"/>
    <x v="85"/>
    <m/>
    <s v="CSAR SyncUp :- DTR replacement for AftPartMatSenCRatDiag"/>
    <s v="Evaluate"/>
    <m/>
    <m/>
    <s v="04-09 : Migration in progress_x000a_30-08 : Awaiitng ARXML"/>
    <x v="3"/>
    <s v="2024 Aug - CES PFS : 14503516"/>
    <d v="2024-08-08T00:00:00"/>
    <m/>
    <s v="13-09-2024_x000a_06-09-2024"/>
    <d v="2024-08-24T00:00:00"/>
  </r>
  <r>
    <s v="Indumathi M (wf309)"/>
    <s v="Rachna Pawale"/>
    <n v="0"/>
    <n v="15"/>
    <n v="0"/>
    <m/>
    <s v="CES CSAR 01.24.12.00 - 12962338"/>
    <m/>
    <x v="86"/>
    <m/>
    <s v="CSAR SyncUp :- DTR replacement for AftPartMatSenCRemvlDiag"/>
    <s v="Evaluate"/>
    <m/>
    <m/>
    <s v="30-08 : Awaiitng L2 verification"/>
    <x v="3"/>
    <s v="2024 Sep - CES PFS : 14702743"/>
    <m/>
    <m/>
    <d v="2024-09-02T00:00:00"/>
    <d v="2024-09-04T00:00:00"/>
  </r>
  <r>
    <s v="Srinadh Vadlamudi (wf326)"/>
    <s v="Rachna Pawale"/>
    <n v="47"/>
    <n v="100"/>
    <n v="16"/>
    <m/>
    <s v="CES CSAR 01.24.12.00 - 12962338"/>
    <m/>
    <x v="87"/>
    <m/>
    <s v="HC Doser Diagnostic frequency increase request"/>
    <s v="Evaluate"/>
    <m/>
    <m/>
    <s v="18 -09 : CCB to be planned on 19 Sep _x000a_16-09 : Peer review is planned today_x000a_13 Sep : peer review is done, peer review (Interface sheetis planned for today12 Sep : Peer review is planned todayplanned on 11 Sep_x000a_10 Sep : SRS changes completed, Peer review to be planned on 11 Sep_x000a_05-09 : Interface sheet, Eval ppt and SRS - Plan to complete the artefacts by 06-09 and go for review for peer on 09th sept_x000a_03 Sep : Interface sheet to migrated"/>
    <x v="2"/>
    <s v="2024 Sep - CES PFS : 14702743"/>
    <m/>
    <m/>
    <d v="2024-09-16T00:00:00"/>
    <m/>
  </r>
  <r>
    <s v="Ashitosh Nilkanth (uh953)"/>
    <s v="Vivek Panigrahi"/>
    <n v="0"/>
    <n v="0"/>
    <n v="0"/>
    <m/>
    <s v="CES CSAR 01.24.12.00 - 12962338"/>
    <m/>
    <x v="88"/>
    <m/>
    <s v="Stay Warm logic missing in AftOpModePrmt and wrong logic in AftRegenCtrl"/>
    <s v="Evaluate"/>
    <m/>
    <m/>
    <s v="Effort  tracking on DCR14433414_x000a_13-Sep: Evalaution is completed by Swapnil. To be worked on Interface sheet update. Kept on hold due to other AFT reger control DCR priorirty work."/>
    <x v="4"/>
    <s v="2024 Sep - CES PFS : 14702743"/>
    <m/>
    <m/>
    <d v="2024-09-27T00:00:00"/>
    <m/>
  </r>
  <r>
    <s v="Ashitosh Nilkanth (uh953)"/>
    <s v="Vivek Panigrahi"/>
    <n v="16"/>
    <n v="48"/>
    <n v="32"/>
    <m/>
    <s v="CES CSAR 01.24.12.00 - 12962338"/>
    <m/>
    <x v="89"/>
    <m/>
    <s v="Ineffective dosing time being reset by oper mode permit (regen ID)"/>
    <s v="Evaluate"/>
    <m/>
    <m/>
    <s v="18-Sep: Scope is cleared and impacted components are 20 hence discussion is in progress with Swapnil, Nileema and Ninad for DCR#12878180._x000a_16-Sep,13-Sep: Scope clarification with Swapnil for DCR12878180 is in progress._x000a_12-Sep: DCR12878180 regression testing issue DCR discussion with Swapnil is in progress._x000a_02-Sep: PPT updation is in progress. To be worked on SRS and Interface sheet updation. Kept on hold due to DTR prirority work._x000a_30-Aug,28-Aug: Evalaution is completed for 2 DCRs and other s are in progress. PPT updation is in progress._x000a_27-Aug: Evlaution is in progress._x000a_26-Aug: Evalaution is in progress. On hold_x000a_23-Aug,22-Aug,21-Aug: Initial analysis is In progress._x000a_09-Aug: Kept on hold due to DTR prirority DCR._x000a_08-Aug: Initial analysis is in progress."/>
    <x v="2"/>
    <s v="2024 Sep - CES PFS : 14702743"/>
    <m/>
    <m/>
    <d v="2024-09-27T00:00:00"/>
    <m/>
  </r>
  <r>
    <s v="Harshada Borude (ur897)"/>
    <s v="Vivek Panigrahi"/>
    <n v="50"/>
    <n v="51"/>
    <n v="1"/>
    <m/>
    <m/>
    <m/>
    <x v="90"/>
    <m/>
    <s v="Implement EDL and Implement DTR blocks - AftDiesOxidCatInlTmptrDiag diagnostics"/>
    <s v="Evaluate_NA"/>
    <m/>
    <m/>
    <s v="closed"/>
    <x v="3"/>
    <m/>
    <m/>
    <m/>
    <d v="2024-09-10T00:00:00"/>
    <d v="2024-09-09T00:00:00"/>
  </r>
  <r>
    <s v="Shubham U Pansare (so150)"/>
    <s v="Vivek Panigrahi"/>
    <n v="36.5"/>
    <n v="128"/>
    <n v="91.5"/>
    <m/>
    <s v="CES CSAR 01.24.12.00 - 12962338"/>
    <m/>
    <x v="91"/>
    <m/>
    <s v="CSAR FTIS component creation - AFT Particulate Filter Regeneration (Batch 2)"/>
    <s v="Evaluate"/>
    <m/>
    <m/>
    <s v="18-Sep: Discussed with Swapnil and received input to be worked on Swapnil's feedback. Discussion is in progres with Prasanta on TIS mapping._x000a_13-Sep: As advised by Swapnil working on the input to be scheduled a call with Swapnil to get scope confirmation._x000a_12-Sep: Awaiting confirmation on Component owner._x000a_11-Sep: Swaonil was not available, to be reschedule the call to today._x000a_10-Sep: To be verified for component owner for this._x000a_09-Sep: As advised by Dhanraj to be analyzed othe FT component and migrarate accordingly._x000a_06-Sep: Model preparation is in progress._x000a_05-Sep: Model preparation to be started._x000a_04-Sep: Receievd input from Dhanraj yesetrday about 4 parameters. To be worked on Evalaution._x000a_03-Sep: Evalaution is in progress except 4 parameter and discussion is progress for the understanding of that remaining parameter. To be discussed with Dhanraj in the evening. _x000a_02-Sep: Evalaution is in progress._x000a_30-Aug: Analysis is in progress._x000a_29-Aug: To be discussed with Madhupriya and awaiting confirmation from Prasanta and Dhanraj._x000a_28-Aug: Discussed with Sushma and analysis is in progress fir provided PPT. To be dcisused with Prasanta to get the PFS CES FTiS migrated list._x000a_27-Aug: As advised by Dhanraj GTP1 comppnent TIS S/W parameter logic to be verified._x000a_26-Aug,22-Aug: Analysis is in progress._x000a_21-Aug: To be discussed with Ashish H, Aishwarya and Atul for the requirement clarifictaion, Analysis is in progress._x000a_20-Aug: Initial analysis is in progress."/>
    <x v="0"/>
    <s v="2024 Sep - CES PFS : 14702743"/>
    <m/>
    <m/>
    <d v="2024-10-03T00:00:00"/>
    <m/>
  </r>
  <r>
    <s v="vitthal shinde (xy599)"/>
    <s v="Vivek Panigrahi"/>
    <m/>
    <n v="17"/>
    <n v="17"/>
    <m/>
    <s v="CES CSAR 01.24.12.00 - 12962338"/>
    <s v="CES CSAR 01.24.12.00 - 12962338"/>
    <x v="92"/>
    <m/>
    <s v="CSAR SyncUp :- DTR replacement for AftDiesOxidCatInsufXthmDiag"/>
    <s v="Evaluate"/>
    <m/>
    <m/>
    <s v="26-Aug: L2 review is completed. DCR is submitted in Integrity._x000a_22-Aug,21-Aug,20-Aug: Awaiting L2 feedback from Dhanraj._x000a_16-Aug: CCB review is completed. review comments are fixed and to be verified with reviewer. To be sent for L2 review to Dhanraj._x000a_14-Aug: Peer review is completed and review comments are fixed. To be verified with Atul and CCB is planned for today._x000a_13-Aug: Interface sheet updation is completed. SRS updation is completed. Peer review is planned today._x000a_12-Aug: To be discussed with Ashish and proceed further after getting error details._x000a_09-Aug: Initial analysis is in progress."/>
    <x v="3"/>
    <s v="2024 Aug - CES PFS : 14503516"/>
    <d v="2024-08-08T00:00:00"/>
    <m/>
    <d v="2024-08-23T00:00:00"/>
    <d v="2024-08-23T00:00:00"/>
  </r>
  <r>
    <s v="sumitkumar patil (wf330)"/>
    <s v="Vivek Panigrahi"/>
    <n v="38"/>
    <n v="41"/>
    <n v="3"/>
    <m/>
    <s v="CES CSAR 01.24.12.00 - 12962338"/>
    <s v="CES CSAR 01.24.12.00 - 12962338"/>
    <x v="93"/>
    <m/>
    <s v="CSAR SyncUp :- DTR replacement for AftDiesOxidCatNonMthnHCEffDiag"/>
    <s v="Evaluate"/>
    <m/>
    <m/>
    <s v="closed"/>
    <x v="3"/>
    <s v="2024 Aug - CES PFS : 14503516"/>
    <d v="2024-08-08T00:00:00"/>
    <m/>
    <d v="2024-09-18T00:00:00"/>
    <d v="2024-08-25T00:00:00"/>
  </r>
  <r>
    <s v="Yogesh Yenorkar (vz001)"/>
    <s v="Rachna Pawale"/>
    <n v="30"/>
    <n v="20"/>
    <n v="-10"/>
    <m/>
    <s v="CES CSAR 01.24.12.00 - 12962338"/>
    <m/>
    <x v="94"/>
    <m/>
    <s v="CSAR SyncUp :- DTR replacement for AftDiesOxidCatPresDiag"/>
    <s v="Evaluate"/>
    <m/>
    <m/>
    <s v="09 Sep : L2 feedback to dicussed today with Dhanraj_x000a_05-09 : Peer + ccb review is planned today"/>
    <x v="3"/>
    <s v="2024 Sep - CES PFS : 14702743"/>
    <m/>
    <m/>
    <d v="2024-09-09T00:00:00"/>
    <d v="2024-09-11T00:00:00"/>
  </r>
  <r>
    <s v="Tejas T Salunkhe (ur770)"/>
    <s v="Nileema Pailwan"/>
    <n v="0"/>
    <m/>
    <n v="0"/>
    <m/>
    <s v="CES CSAR 01.24.12.00 - 12962338"/>
    <s v="CES CSAR 01.24.12.00 - 12962338"/>
    <x v="95"/>
    <m/>
    <s v="Dual eHTR (4 coils) - Functional diagnostics"/>
    <s v="Evaluate"/>
    <m/>
    <m/>
    <s v="22-08 : Evalaution completed"/>
    <x v="3"/>
    <s v="2024 Aug - CES PFS : 14503516"/>
    <d v="2024-07-02T00:00:00"/>
    <m/>
    <d v="2024-08-12T00:00:00"/>
    <d v="2024-08-22T00:00:00"/>
  </r>
  <r>
    <s v="Swayangdipta sarkar (wa754)"/>
    <s v="Nileema Pailwan"/>
    <n v="73"/>
    <n v="60"/>
    <n v="-13"/>
    <m/>
    <m/>
    <m/>
    <x v="96"/>
    <m/>
    <s v="SCR eHTR virtual inlet temperature"/>
    <s v="Evaluate"/>
    <m/>
    <m/>
    <s v="16-09 : Interface sheet update in progress. SRS review in progress_x000a_13-09, 12-09 : SRS review is planned tomorrow._x000a_11-09 : SRS to be completed today. Inetrface sheet update is on hold._x000a_10-09 : DRB concept is completed, SRS and Interface sheet in progress_x000a_09-09 : 0n hold_x000a_09-09, 06-09, 05-09 : Internal review is planned today_x000a_04-09 : Interface analysis analysis is in progress. Plan for Peer+ccb tomorrow_x000a_03-09 : PPT update in progerss. Plan for Peer+ccb review on 5th Sept_x000a_02-09 : working on evalution. plan for Peer+ccb review on 4th Sep. _x000a_29-08 : Discussion is planned with all required stake holder today._x000a_28-08 : Discussion done with Alex. As per discussion with Alex, we will not get inputs. Discussion to be plan with All required stake holder by today and tomorrow_x000a_26-08 : Discussion to be done with Alex and other stake holders_x000a_23-08 : Evaluation is in progerss"/>
    <x v="2"/>
    <s v="2024 Sep - CES PFS : 14702743"/>
    <m/>
    <d v="2024-08-20T00:00:00"/>
    <d v="2024-09-15T00:00:00"/>
    <m/>
  </r>
  <r>
    <s v="iram nazneen (wa667)"/>
    <s v="Nileema Pailwan"/>
    <n v="60.5"/>
    <n v="25"/>
    <n v="-35.5"/>
    <m/>
    <s v="CES CSAR 01.24.12.00 - 12962338"/>
    <m/>
    <x v="97"/>
    <m/>
    <s v="eHTR to have separate target temperatures for deSOx events per location"/>
    <s v="Evaluate"/>
    <m/>
    <m/>
    <s v="18-09 : DRB concept is planned today_x000a_13-09 : CCB review is completed and sent for L2 review yesterday_x000a_12-09 : CCB is in progress for SRS_x000a_11-09, 10-09 : CCB is planned today_x000a_09-09 : Peer review is completed. Plan for CCB review today_x000a_06-09 : peer review is in progress. _x000a_05-09, 04-09 : Plan for Peer review today_x000a_03-09 : Schedule a call with Chad, Todd and Alex_x000a_28-08 : Received confirmation from chad. We are proceeding with rest of eval artefacts._x000a_23-08 : Evalaution in progress. Plan for Peer on 29th Sep"/>
    <x v="2"/>
    <s v="2024 Sep - CES PFS : 14702743"/>
    <m/>
    <d v="2024-08-12T00:00:00"/>
    <d v="2024-09-11T00:00:00"/>
    <m/>
  </r>
  <r>
    <s v="Prerana Ozarkar (vk686)"/>
    <s v="Nileema Pailwan"/>
    <n v="64"/>
    <n v="60"/>
    <n v="-4"/>
    <m/>
    <s v="CES CSAR 01.24.12.00 - 12962338"/>
    <m/>
    <x v="98"/>
    <m/>
    <s v="AutoHCDesorb recognition and targets"/>
    <s v="Evaluate"/>
    <m/>
    <m/>
    <s v="11-09 : CCB review in progress_x000a_10-09 : CCB review is planned today_x000a_09-09 : Eval PPT, Interface sheet and SRS internal review is completed. Plan for CCB review today._x000a_05-09, 04-09 : Peer review to be planned today_x000a_30-08 : Requirements to be captrured for all Proc 1 and proc 2 components in SRS and interface sheet_x000a_23-08 : SRS to be migarted in integrity today. To be continued with V&amp;V from 26th aug. folder path to be shared with Prerana and Iram_x000a_22-08 : Working on V&amp;V from Scratch for Proc2 component and planning to complete. SRS &amp; Interface sheet is completed"/>
    <x v="4"/>
    <s v="2024 Sep - CES PFS : 14702743"/>
    <m/>
    <d v="2024-08-05T00:00:00"/>
    <d v="2024-09-11T00:00:00"/>
    <m/>
  </r>
  <r>
    <s v="Prerana Ozarkar (vk686)"/>
    <s v="Nileema Pailwan"/>
    <n v="14"/>
    <n v="16"/>
    <n v="2"/>
    <m/>
    <m/>
    <m/>
    <x v="99"/>
    <m/>
    <s v="SRS creation from scratch and its migration on PTC Integrity for Dual eHTR (4 coils) Processing for OEM "/>
    <s v="Evaluate_NA"/>
    <m/>
    <m/>
    <s v="28-08 : SRS is completed. Appguide to be started"/>
    <x v="3"/>
    <s v="2024 Sep - CES PFS : 14702743"/>
    <m/>
    <d v="2024-08-05T00:00:00"/>
    <d v="2024-09-11T00:00:00"/>
    <d v="2024-09-09T00:00:00"/>
  </r>
  <r>
    <s v="iram nazneen (wa667)"/>
    <s v="Nileema Pailwan"/>
    <n v="25"/>
    <n v="25"/>
    <n v="0"/>
    <m/>
    <s v="CES CSAR 01.24.12.00 - 12962338"/>
    <m/>
    <x v="100"/>
    <m/>
    <s v="Need fix for the issues found in AftElecHtrProc component"/>
    <s v="Evaluate"/>
    <m/>
    <m/>
    <s v="_x000a_18-09 : DRB concept is planned today_x000a_13-09 : CCB review is completed and sent for L2 review yesterday_x000a_12-09 : CCB is in progress for SRS_x000a_11-09, 10-09 : CCB is planned today_x000a_10-09 : CCB is planned today_x000a_09-09 : Peer review is completed. Plan for CCB review today_x000a_06-09 : peer review is in progress. _x000a_05-09, 04-09 : Plan for Peer review today_x000a_03-09 : Schedule a call with Chad, Todd and Alex_x000a_28-08 : Received confirmation from chad. We are proceeding with rest of eval artefacts._x000a_26-08 : Requirements are cleard, working on presentation_x000a_23-08 : Evalaution in progress. Plan for Peer on 29th Sep"/>
    <x v="2"/>
    <s v="2024 Sep - CES PFS : 14702743"/>
    <m/>
    <d v="2024-08-12T00:00:00"/>
    <d v="2024-09-11T00:00:00"/>
    <m/>
  </r>
  <r>
    <s v="Prasad Yesardekar (uh542)"/>
    <s v="Nileema Pailwan"/>
    <n v="79.5"/>
    <n v="80"/>
    <n v="0.5"/>
    <m/>
    <m/>
    <m/>
    <x v="101"/>
    <m/>
    <s v="DOC eHTR virtual inlet temperature"/>
    <s v="Evaluate"/>
    <m/>
    <m/>
    <s v="13-09 : Interface sheet and SRS is completed, Plan to go for Peer + CCB review_x000a_12-09 : 20 calibration is remaining for update in interface sheet_x000a_11-09 : Interface sheet in progress, Apart from calibration all Tabs are updated.Plan to complete the interface sheet update by today._x000a_10-09 : DRB is compleetd working on inetrface sheet creation and SRS. Global I/O are completed. working on calibration_x000a_09-09 : CCB is completed, wotking on interface sheet_x000a_06-09 : Internal review in progerss. _x000a_04-09 : Interface analysis analysis is in progress. Plan for Peer+ccb tomorrow_x000a_Yet to start"/>
    <x v="2"/>
    <s v="2024 Sep - CES PFS : 14702743"/>
    <m/>
    <d v="2024-09-01T00:00:00"/>
    <d v="2024-09-15T00:00:00"/>
    <m/>
  </r>
  <r>
    <s v="Harshal Tayade (uq969)"/>
    <s v="Nileema Pailwan"/>
    <n v="55"/>
    <n v="48"/>
    <n v="-7"/>
    <m/>
    <s v="CES CSAR 01.24.12.00 - 12962338"/>
    <m/>
    <x v="102"/>
    <m/>
    <s v="VNV for Dual eHTR (4 coils) - FMI based diagnostic"/>
    <s v="Evaluate_NA"/>
    <m/>
    <m/>
    <s v="09-09 : Migration checkin completed_x000a_06-09 : Design branch needs to merge today for migration_x000a_05-09 : Migration is completed, latest artefacts were puhsed in git_x000a_04-09 : ISM datatype issue, is the roadblocks_x000a_02-09 : Awaiitng L2 review for migration_x000a_29-08 : Peer CCB review is in progress_x000a_28-08 : Plan for Peer review today with Shubham._x000a_26-08 : Model migration in progress. Plan to complete the simlulated model. _x000a_23-08 : awaiitng ARXML to proceed for Migration"/>
    <x v="3"/>
    <s v="2024 Aug - CES PFS : 14503516"/>
    <m/>
    <d v="2024-08-21T00:00:00"/>
    <d v="2024-08-31T00:00:00"/>
    <d v="2024-09-09T00:00:00"/>
  </r>
  <r>
    <s v="iram nazneen (wa667)"/>
    <s v="Nileema Pailwan"/>
    <n v="25"/>
    <n v="25"/>
    <n v="0"/>
    <m/>
    <s v="CES CSAR 01.24.12.00 - 12962338"/>
    <m/>
    <x v="103"/>
    <m/>
    <s v="Create logic for ShutdownReached and HCUEnableDeter for DOC heater and SCR heater"/>
    <s v="Evaluate"/>
    <m/>
    <m/>
    <s v="18-09 : DRB concept is planned today_x000a_13-09 : CCB review is completed and sent for L2 review yesterday_x000a_12-09 : CCB is in progress for SRS_x000a_10-09 : CCB is planned today_x000a_09-09 : Peer review is completed. Plan for CCB review today_x000a_06-09 : peer review is in progress. _x000a_06-09 : As per confirmation, this requirement  will be applicable only for Proc 1 component. _x000a_04-09 : Dont have calrity. Traying to connect with required stake holder_x000a_03-09 : Schedule a call with Chad, Todd and Alex_x000a_28-08 : Received confirmation from chad. We are proceeding with rest of eval artefacts._x000a_26-08 : To be discuss with Snehal for requirement clarification_x000a_23-08 : Evalaution in progress. Plan for Peer on 29th Sep"/>
    <x v="2"/>
    <s v="2024 Sep - CES PFS : 14702743"/>
    <m/>
    <d v="2024-08-12T00:00:00"/>
    <d v="2024-09-11T00:00:00"/>
    <m/>
  </r>
  <r>
    <s v="Harshal Tayade (uq969)"/>
    <s v="Nileema Pailwan"/>
    <n v="20"/>
    <n v="20"/>
    <n v="0"/>
    <m/>
    <s v="CES CSAR 01.24.09.00"/>
    <m/>
    <x v="104"/>
    <m/>
    <s v="Error name change for AftElecHtr2Diag"/>
    <s v="Evaluate_NA"/>
    <m/>
    <m/>
    <s v="29-08 : DCR closed_x000a_23-08 : Check-in completed. DCR to be close in integrity_x000a_22-08 : Checkin in progress"/>
    <x v="3"/>
    <s v="2024 Aug - CES PFS : 14503516"/>
    <m/>
    <m/>
    <m/>
    <s v="NA"/>
  </r>
  <r>
    <s v="sheetal Vishwakarma (wa663)"/>
    <s v="Nileema Pailwan"/>
    <n v="0"/>
    <n v="45"/>
    <n v="45"/>
    <m/>
    <s v="CES CSAR 01.24.12.00 - 12962338"/>
    <m/>
    <x v="105"/>
    <m/>
    <s v="Heater Related Parameters: Create OBD Capability Parameters for Titanium/Legend "/>
    <s v="Evaluate"/>
    <m/>
    <m/>
    <m/>
    <x v="1"/>
    <s v="2024 Sep - CES PFS : 14702743"/>
    <m/>
    <d v="2024-09-13T00:00:00"/>
    <d v="2024-09-27T00:00:00"/>
    <m/>
  </r>
  <r>
    <s v="jayant patil (wl795)"/>
    <s v="Nileema Pailwan"/>
    <n v="24.5"/>
    <n v="20"/>
    <n v="-4.5"/>
    <m/>
    <s v="CES CSAR 01.24.12.00 - 12962338"/>
    <m/>
    <x v="106"/>
    <m/>
    <s v="FIM interface update required in AftDiesOxidCatOutTmptrDiag"/>
    <s v="Evaluate"/>
    <m/>
    <m/>
    <s v="18-09 : CCB verification is completed. Plan to send it for l2 review today_x000a_16-09 : Working on CCB review comments_x000a_13-09 : Plan for CCB review today_x000a_12-09, 11-09 : Plan for CCB review tomorrow._x000a_10-09 : continuation entry for today_x000a_09-09 : Plan for Peer review today._x000a_05-09 : Working on artefacts. Plan for Peer review tomorrow_x000a_03-09 : Evaluation in progress"/>
    <x v="2"/>
    <s v="2024 Sep - CES PFS : 14702743"/>
    <m/>
    <d v="2024-09-04T00:00:00"/>
    <d v="2024-09-10T00:00:00"/>
    <m/>
  </r>
  <r>
    <s v="iram nazneen (wa667)"/>
    <s v="Nileema Pailwan"/>
    <n v="25"/>
    <n v="25"/>
    <n v="0"/>
    <m/>
    <m/>
    <m/>
    <x v="107"/>
    <m/>
    <s v="AftElecHtrProc2: eHTR to have separate target temperatures for deSOx events per location"/>
    <s v="Evaluate"/>
    <m/>
    <m/>
    <s v="18-09 : DRB concept is planned today_x000a_13-09 : CCB review is completed and sent for L2 review yesterday_x000a_12-09 : CCB is in progress for SRS_x000a_11-09, 10-09 : CCB is planned today_x000a_09-09 : Peer review is completed. Plan for CCB review today_x000a_03-09 : Schedule a call with Chad, Todd and Alex_x000a_26-08 : SRS and Interface sheet to be updated for this requirment for Proc 1 componet today_x000a_22-08 : Evalaution is in progress"/>
    <x v="2"/>
    <m/>
    <m/>
    <d v="2024-08-12T00:00:00"/>
    <d v="2024-09-11T00:00:00"/>
    <m/>
  </r>
  <r>
    <s v="Indumathi M (wf309)"/>
    <s v="Rachna Pawale"/>
    <n v="50"/>
    <n v="51"/>
    <n v="1"/>
    <m/>
    <m/>
    <m/>
    <x v="108"/>
    <m/>
    <s v="Implement EDL blocks - AftDiesPartFiltOutTmptrDiag diagnostics"/>
    <s v="Evaluate_NA"/>
    <m/>
    <m/>
    <m/>
    <x v="3"/>
    <m/>
    <m/>
    <m/>
    <d v="2024-09-10T00:00:00"/>
    <d v="2024-09-09T00:00:00"/>
  </r>
  <r>
    <s v="Balraj S Malage (wf327)"/>
    <s v="Vivek Panigrahi"/>
    <n v="30"/>
    <n v="38"/>
    <n v="8"/>
    <m/>
    <s v="CES CSAR 01.24.12.00 - 12962338"/>
    <s v="CES CSAR 01.24.12.00 - 12962338"/>
    <x v="109"/>
    <m/>
    <s v="CSAR SyncUp :- DTR replacement for AftDiesPartFiltDltPrRatDiag"/>
    <s v="Evaluate"/>
    <m/>
    <m/>
    <s v="27-Aug: DCR is submitted in Integrity."/>
    <x v="3"/>
    <s v="2024 Aug - CES PFS : 14503516"/>
    <d v="2024-08-08T00:00:00"/>
    <m/>
    <d v="2024-09-13T00:00:00"/>
    <d v="2024-08-26T00:00:00"/>
  </r>
  <r>
    <s v="Harshal Tayade (uq969)"/>
    <s v="Nileema Pailwan"/>
    <n v="8"/>
    <n v="8"/>
    <n v="0"/>
    <m/>
    <s v="CES CSAR 01.24.12.00 - 12962338"/>
    <m/>
    <x v="110"/>
    <m/>
    <s v="P Diagram Noise factor Add"/>
    <s v="Evaluate_NA"/>
    <m/>
    <m/>
    <s v="04-09, 03-09, 28-08 : Checkin completed, DCR to be closed in integrity_x000a_26-08, 22-08 : Awaiting L2 review"/>
    <x v="3"/>
    <s v="2024 Aug - CES PFS : 14503516"/>
    <m/>
    <m/>
    <d v="2024-08-30T00:00:00"/>
    <d v="2024-09-04T00:00:00"/>
  </r>
  <r>
    <s v="vitthal shinde (xy599)"/>
    <s v="Vivek Panigrahi"/>
    <n v="0"/>
    <n v="69"/>
    <n v="69"/>
    <m/>
    <m/>
    <m/>
    <x v="111"/>
    <m/>
    <s v="ISMs need to be implement for AftSwtIntf component"/>
    <s v="Evaluate"/>
    <m/>
    <m/>
    <s v="23-08 : Analysis to be started"/>
    <x v="6"/>
    <s v="2024 Apr - CES PFS : 13371112"/>
    <m/>
    <m/>
    <m/>
    <m/>
  </r>
  <r>
    <s v="Shubham U Pansare (so150)"/>
    <s v="Vivek Panigrahi"/>
    <m/>
    <m/>
    <m/>
    <m/>
    <m/>
    <m/>
    <x v="112"/>
    <m/>
    <s v="CSAR - Documentation for AftDiesOxidCatDtrDiag component"/>
    <s v="Evaluate"/>
    <m/>
    <m/>
    <s v="Closed"/>
    <x v="6"/>
    <m/>
    <m/>
    <m/>
    <m/>
    <d v="2024-09-09T00:00:00"/>
  </r>
  <r>
    <s v="Nileema Pailwan (mt618)"/>
    <s v="Nileema Pailwan"/>
    <m/>
    <m/>
    <n v="0"/>
    <m/>
    <m/>
    <m/>
    <x v="113"/>
    <m/>
    <s v="FIM interface update required in AftPartMatSenCProtTubeMonDiag"/>
    <s v="Evaluate"/>
    <m/>
    <m/>
    <s v="Closed"/>
    <x v="7"/>
    <m/>
    <m/>
    <m/>
    <m/>
    <d v="2024-09-09T00:00:00"/>
  </r>
  <r>
    <s v="Anushka P Gaikwad (wf298)"/>
    <s v="Rachna Pawale"/>
    <n v="2"/>
    <m/>
    <n v="-2"/>
    <m/>
    <m/>
    <m/>
    <x v="114"/>
    <m/>
    <s v="DCR for Min-Max for CSAR version capability parameters for SCR severe temp errors"/>
    <s v="Evaluate"/>
    <m/>
    <m/>
    <s v="18 Sep : Eval in progress_x000a_13 Sep : Eval in progress_x000a_11 Sep : To start on priority"/>
    <x v="2"/>
    <m/>
    <m/>
    <m/>
    <d v="2024-10-23T00:00:00"/>
    <m/>
  </r>
  <r>
    <s v="Nileema Pailwan (mt618)"/>
    <s v="Nileema Pailwan"/>
    <m/>
    <m/>
    <n v="0"/>
    <m/>
    <m/>
    <m/>
    <x v="115"/>
    <m/>
    <s v="Need to create open port for ppAftProcExhDataFromHtr and ppAftProcExhDataFromBankASFM"/>
    <s v="Evaluate"/>
    <m/>
    <m/>
    <s v="Moved to Q1"/>
    <x v="5"/>
    <m/>
    <m/>
    <m/>
    <m/>
    <m/>
  </r>
  <r>
    <s v="iram nazneen (wa667)"/>
    <s v="Nileema Pailwan"/>
    <m/>
    <m/>
    <n v="0"/>
    <m/>
    <s v="CES CSAR 01.24.12.00 - 12962338"/>
    <s v="CES CSAR 01.24.12.00 - 12962338"/>
    <x v="116"/>
    <m/>
    <s v="Need modification in limits for IsmAftDiesPartFiltInComplRegenDiagAccumDMBRate to allow lowering of Soot estimation in DPF Incomplete Regen Diagnsotic"/>
    <s v="Evaluate"/>
    <m/>
    <m/>
    <s v="Evaluation closed"/>
    <x v="3"/>
    <s v="2024 Aug - CES PFS : 14503516"/>
    <d v="2024-07-26T00:00:00"/>
    <m/>
    <m/>
    <d v="2024-08-01T00:00:00"/>
  </r>
  <r>
    <s v="iram nazneen (wa667)"/>
    <s v="Nileema Pailwan"/>
    <m/>
    <m/>
    <n v="0"/>
    <m/>
    <m/>
    <m/>
    <x v="117"/>
    <m/>
    <s v="Copy logic for signals ppAftElecHtrSt_deVal , ppAftElecHtrInlTmptr_deStatus, ppAftElecHtrInlTmptr_deVal from AftElechtrProc to AftDualHtrCtrlIPwrD as AftElechtrProc component is getting removed for IPD composition"/>
    <s v="Evaluate"/>
    <m/>
    <m/>
    <s v="Rejected"/>
    <x v="6"/>
    <m/>
    <m/>
    <m/>
    <m/>
    <m/>
  </r>
  <r>
    <s v="Prasad Yesardekar (uh542)"/>
    <s v="Nileema Pailwan"/>
    <n v="40"/>
    <n v="40"/>
    <n v="0"/>
    <m/>
    <m/>
    <m/>
    <x v="118"/>
    <m/>
    <s v="Change AftOpModePrmt to prevent engine braking from not permitting regens (AftOpModePrmt)"/>
    <s v="Evaluate_NA"/>
    <m/>
    <m/>
    <s v="Closed"/>
    <x v="3"/>
    <m/>
    <m/>
    <m/>
    <m/>
    <d v="2024-09-09T00:00:00"/>
  </r>
  <r>
    <s v="iram nazneen (wa667)"/>
    <s v="Nileema Pailwan"/>
    <m/>
    <m/>
    <n v="0"/>
    <m/>
    <m/>
    <m/>
    <x v="119"/>
    <m/>
    <s v="dmDOCNonMthnHydroCarbnConvEffLoErr - Improvement"/>
    <s v="Evaluate_NA"/>
    <m/>
    <m/>
    <s v="Closed"/>
    <x v="3"/>
    <m/>
    <m/>
    <m/>
    <m/>
    <d v="2024-09-09T00:00:00"/>
  </r>
  <r>
    <s v="Yogesh Yenorkar (vz001)"/>
    <s v="Rachna Pawale"/>
    <m/>
    <m/>
    <m/>
    <m/>
    <m/>
    <m/>
    <x v="120"/>
    <m/>
    <s v="Abort dmDiesOxidCatNotPresErr when heater is non-functional"/>
    <s v="Evaluate_NA"/>
    <m/>
    <m/>
    <s v="Closed"/>
    <x v="3"/>
    <m/>
    <m/>
    <m/>
    <m/>
    <s v="NA"/>
  </r>
  <r>
    <s v="Prasad Yesardekar (uh542)"/>
    <s v="Nileema Pailwan"/>
    <m/>
    <m/>
    <n v="0"/>
    <m/>
    <m/>
    <m/>
    <x v="121"/>
    <m/>
    <s v="Change AftOpModePrmt to prevent engine braking from not permitting regens (AftDiesOxidCatPIDFdbkCtrl)"/>
    <s v="Evaluate_NA"/>
    <m/>
    <m/>
    <s v="Closed"/>
    <x v="3"/>
    <m/>
    <m/>
    <m/>
    <m/>
    <d v="2024-09-09T00:00:00"/>
  </r>
  <r>
    <s v="Anjali Akuskar"/>
    <s v="Nileema Pailwan"/>
    <m/>
    <m/>
    <n v="0"/>
    <m/>
    <m/>
    <m/>
    <x v="122"/>
    <m/>
    <s v="CSAR - Documentation for AftDiesOxidCatFacePlg component"/>
    <s v="Evaluate_NA"/>
    <m/>
    <m/>
    <s v="Closed"/>
    <x v="3"/>
    <m/>
    <m/>
    <m/>
    <m/>
    <d v="2024-09-09T00:00:00"/>
  </r>
  <r>
    <s v="Nileema Pailwan (mt618)"/>
    <s v="Nileema Pailwan"/>
    <m/>
    <m/>
    <n v="0"/>
    <m/>
    <m/>
    <m/>
    <x v="123"/>
    <m/>
    <s v="_x0009__x000a_Implement DTR blocks - FMI Based diagnostics"/>
    <s v="Evaluate"/>
    <m/>
    <m/>
    <s v="Closed"/>
    <x v="7"/>
    <m/>
    <m/>
    <m/>
    <m/>
    <d v="2024-09-09T00:00:00"/>
  </r>
  <r>
    <s v="Nileema Pailwan (mt618)"/>
    <s v="Nileema Pailwan"/>
    <m/>
    <m/>
    <n v="0"/>
    <m/>
    <m/>
    <m/>
    <x v="124"/>
    <m/>
    <s v="FIM interface update required in AftDiesOxidCatNonMthnHCEffDiag"/>
    <s v="Evaluate"/>
    <m/>
    <m/>
    <m/>
    <x v="7"/>
    <m/>
    <m/>
    <m/>
    <m/>
    <m/>
  </r>
  <r>
    <s v="sheetal Vishwakarma (wa663)"/>
    <s v="Nileema Pailwan"/>
    <m/>
    <n v="30"/>
    <m/>
    <m/>
    <m/>
    <m/>
    <x v="125"/>
    <m/>
    <s v="SCR heater not responding diagnostic change for temperature sensor 5-8"/>
    <s v="Evaluate"/>
    <m/>
    <m/>
    <m/>
    <x v="1"/>
    <m/>
    <m/>
    <m/>
    <d v="2024-10-31T00:00:00"/>
    <m/>
  </r>
  <r>
    <s v="Harshada Borude (ur897)"/>
    <s v="Vivek Panigrahi"/>
    <n v="0"/>
    <n v="4"/>
    <n v="4"/>
    <m/>
    <m/>
    <m/>
    <x v="47"/>
    <m/>
    <s v="DCR to Implement DeltaP and OutP Parameters in CSAR to collect capability and IUPR data"/>
    <s v="Evaluate"/>
    <m/>
    <m/>
    <s v="Yet to start"/>
    <x v="1"/>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2">
  <r>
    <s v="Shraddha Arde (ul528)"/>
    <x v="0"/>
    <x v="0"/>
    <n v="0"/>
    <x v="0"/>
    <s v="Implement"/>
    <s v="Closed"/>
    <d v="2024-08-30T00:00:00"/>
    <d v="2024-08-28T00:00:00"/>
  </r>
  <r>
    <s v="Balraj S Malage (wf327)"/>
    <x v="1"/>
    <x v="1"/>
    <n v="0"/>
    <x v="1"/>
    <s v="Implement"/>
    <s v="Closed"/>
    <d v="2024-08-30T00:00:00"/>
    <d v="2024-08-28T00:00:00"/>
  </r>
  <r>
    <s v="Atul Gade (vm775)"/>
    <x v="2"/>
    <x v="2"/>
    <n v="39"/>
    <x v="2"/>
    <s v="Evaluate"/>
    <s v="At Risk"/>
    <d v="2024-09-17T00:00:00"/>
    <m/>
  </r>
  <r>
    <s v="Atul Gade (vm775)"/>
    <x v="1"/>
    <x v="3"/>
    <n v="0"/>
    <x v="2"/>
    <s v="Implement"/>
    <s v="Yet to start"/>
    <d v="2024-12-15T00:00:00"/>
    <m/>
  </r>
  <r>
    <s v="Lavanya Nayak (ri652)"/>
    <x v="1"/>
    <x v="4"/>
    <n v="40"/>
    <x v="3"/>
    <s v="Evaluate"/>
    <s v="Yet to start"/>
    <d v="2024-10-28T00:00:00"/>
    <m/>
  </r>
  <r>
    <s v="sumitkumar patil (wf330)"/>
    <x v="3"/>
    <x v="5"/>
    <n v="39"/>
    <x v="4"/>
    <s v="Evaluate"/>
    <s v="On Track"/>
    <d v="2024-10-03T00:00:00"/>
    <m/>
  </r>
  <r>
    <s v="Ashitosh Nilkanth (uh953)"/>
    <x v="4"/>
    <x v="6"/>
    <n v="7"/>
    <x v="5"/>
    <s v="Evaluate"/>
    <s v="On Track"/>
    <d v="2024-09-27T00:00:00"/>
    <m/>
  </r>
  <r>
    <s v="jyoti dongre (vu400)"/>
    <x v="5"/>
    <x v="7"/>
    <n v="38"/>
    <x v="6"/>
    <s v="Evaluate"/>
    <s v="Closed"/>
    <d v="2024-09-12T00:00:00"/>
    <d v="2024-09-18T00:00:00"/>
  </r>
  <r>
    <s v="Balraj S Malage (wf327)"/>
    <x v="4"/>
    <x v="8"/>
    <n v="21"/>
    <x v="7"/>
    <s v="Evaluate"/>
    <s v="On Hold"/>
    <d v="2024-09-26T00:00:00"/>
    <m/>
  </r>
  <r>
    <s v="Balraj S Malage (wf327)"/>
    <x v="6"/>
    <x v="9"/>
    <n v="40"/>
    <x v="8"/>
    <s v="Evaluate"/>
    <s v="On Hold"/>
    <d v="2024-09-25T00:00:00"/>
    <m/>
  </r>
  <r>
    <s v="Ashitosh Nilkanth (uh953)"/>
    <x v="7"/>
    <x v="6"/>
    <n v="2"/>
    <x v="9"/>
    <s v="Evaluate"/>
    <s v="On Track"/>
    <d v="2024-09-30T00:00:00"/>
    <m/>
  </r>
  <r>
    <s v="Srinadh Vadlamudi (wf326)"/>
    <x v="1"/>
    <x v="3"/>
    <n v="0"/>
    <x v="10"/>
    <s v="Evaluate"/>
    <s v="Deferred"/>
    <m/>
    <m/>
  </r>
  <r>
    <s v="Ashitosh Nilkanth (uh953)"/>
    <x v="1"/>
    <x v="1"/>
    <n v="0"/>
    <x v="11"/>
    <s v="Evaluate"/>
    <s v="On Hold"/>
    <d v="2024-09-27T00:00:00"/>
    <m/>
  </r>
  <r>
    <s v="Srinadh Vadlamudi (wf326)"/>
    <x v="1"/>
    <x v="3"/>
    <n v="0"/>
    <x v="12"/>
    <s v="Evaluate"/>
    <s v="Deferred"/>
    <m/>
    <d v="2024-09-10T00:00:00"/>
  </r>
  <r>
    <s v="Srinadh Vadlamudi (wf326)"/>
    <x v="1"/>
    <x v="10"/>
    <n v="60"/>
    <x v="12"/>
    <s v="Implement"/>
    <s v="Deferred"/>
    <m/>
    <m/>
  </r>
  <r>
    <s v="Srinadh Vadlamudi (wf326)"/>
    <x v="1"/>
    <x v="3"/>
    <n v="0"/>
    <x v="13"/>
    <s v="Evaluate"/>
    <s v="Deferred"/>
    <m/>
    <m/>
  </r>
  <r>
    <s v="Srinadh Vadlamudi (wf326)"/>
    <x v="1"/>
    <x v="3"/>
    <n v="0"/>
    <x v="13"/>
    <s v="Implement"/>
    <s v="Deferred"/>
    <m/>
    <m/>
  </r>
  <r>
    <s v="Indumathi M (wf309)"/>
    <x v="8"/>
    <x v="11"/>
    <n v="1"/>
    <x v="14"/>
    <s v="Evaluate"/>
    <s v="On Track"/>
    <s v="04-09-2024_x000a_12-09-2024"/>
    <m/>
  </r>
  <r>
    <s v="Indumathi M (wf309)"/>
    <x v="1"/>
    <x v="12"/>
    <n v="20"/>
    <x v="14"/>
    <s v="Implement"/>
    <s v="Yet to start"/>
    <d v="2024-10-12T00:00:00"/>
    <m/>
  </r>
  <r>
    <s v="sumitkumar patil (wf330)"/>
    <x v="1"/>
    <x v="5"/>
    <n v="76"/>
    <x v="15"/>
    <s v="Evaluate"/>
    <s v="On Track"/>
    <d v="2024-10-03T00:00:00"/>
    <m/>
  </r>
  <r>
    <s v="aishwarya Jahagirdar (ac14v)"/>
    <x v="1"/>
    <x v="13"/>
    <n v="250"/>
    <x v="16"/>
    <s v="Evaluate"/>
    <s v="On Hold"/>
    <s v="TBD"/>
    <m/>
  </r>
  <r>
    <s v="umesh borde (ad33c)"/>
    <x v="1"/>
    <x v="3"/>
    <n v="0"/>
    <x v="17"/>
    <s v="Evaluate"/>
    <s v="Deferred"/>
    <m/>
    <m/>
  </r>
  <r>
    <s v="umesh borde (ad33c)"/>
    <x v="1"/>
    <x v="14"/>
    <n v="100"/>
    <x v="17"/>
    <s v="Implement"/>
    <s v="Deferred"/>
    <m/>
    <m/>
  </r>
  <r>
    <s v="vitthal shinde (xy599)"/>
    <x v="9"/>
    <x v="15"/>
    <n v="36"/>
    <x v="18"/>
    <s v="Evaluate"/>
    <s v="On Track"/>
    <d v="2024-09-19T00:00:00"/>
    <m/>
  </r>
  <r>
    <s v="Harshada Borude (ur897)"/>
    <x v="1"/>
    <x v="12"/>
    <n v="20"/>
    <x v="19"/>
    <s v="Evaluate"/>
    <s v="On Hold"/>
    <m/>
    <m/>
  </r>
  <r>
    <s v="Haridas Raut (vy322)"/>
    <x v="1"/>
    <x v="1"/>
    <n v="0"/>
    <x v="20"/>
    <s v="Evaluate"/>
    <s v="Closed"/>
    <m/>
    <d v="2024-08-29T00:00:00"/>
  </r>
  <r>
    <s v="Anushka P Gaikwad (wf298)"/>
    <x v="1"/>
    <x v="10"/>
    <n v="60"/>
    <x v="21"/>
    <s v="Evaluate"/>
    <s v="Deferred"/>
    <d v="2024-09-27T00:00:00"/>
    <m/>
  </r>
  <r>
    <s v="Anushka P Gaikwad (wf298)"/>
    <x v="1"/>
    <x v="4"/>
    <n v="40"/>
    <x v="21"/>
    <s v="Implement"/>
    <s v="Deferred"/>
    <d v="2024-10-23T00:00:00"/>
    <m/>
  </r>
  <r>
    <s v="vitthal shinde (xy599)"/>
    <x v="1"/>
    <x v="15"/>
    <n v="69"/>
    <x v="22"/>
    <s v="Evaluate"/>
    <s v="On Hold"/>
    <d v="2024-09-19T00:00:00"/>
    <m/>
  </r>
  <r>
    <s v="vitthal shinde (xy599)"/>
    <x v="1"/>
    <x v="15"/>
    <n v="69"/>
    <x v="23"/>
    <s v="Evaluate"/>
    <s v="On Hold"/>
    <d v="2024-09-19T00:00:00"/>
    <m/>
  </r>
  <r>
    <s v="Haridas Raut (vy322)"/>
    <x v="1"/>
    <x v="1"/>
    <n v="0"/>
    <x v="24"/>
    <s v="Evaluate"/>
    <s v="Closed"/>
    <s v="NA"/>
    <d v="2024-08-29T00:00:00"/>
  </r>
  <r>
    <s v="Haridas Raut (vy322)"/>
    <x v="1"/>
    <x v="1"/>
    <n v="0"/>
    <x v="25"/>
    <s v="Evaluate"/>
    <s v="Closed"/>
    <s v="NA"/>
    <d v="2024-08-29T00:00:00"/>
  </r>
  <r>
    <s v="jyoti dongre (vu400)"/>
    <x v="1"/>
    <x v="1"/>
    <n v="0"/>
    <x v="26"/>
    <s v="Evaluate"/>
    <s v="Closed"/>
    <d v="2024-09-12T00:00:00"/>
    <d v="2024-09-18T00:00:00"/>
  </r>
  <r>
    <s v="jyoti dongre (vu400)"/>
    <x v="10"/>
    <x v="7"/>
    <n v="34"/>
    <x v="27"/>
    <s v="Evaluate"/>
    <s v="Closed"/>
    <d v="2024-09-12T00:00:00"/>
    <d v="2024-09-18T00:00:00"/>
  </r>
  <r>
    <s v="Yogesh Yenorkar (vz001)"/>
    <x v="1"/>
    <x v="16"/>
    <n v="30"/>
    <x v="28"/>
    <s v="Evaluate"/>
    <s v="On Hold"/>
    <m/>
    <m/>
  </r>
  <r>
    <s v="Yogesh Yenorkar (vz001)"/>
    <x v="1"/>
    <x v="16"/>
    <n v="30"/>
    <x v="28"/>
    <s v="Implement"/>
    <s v="Yet to start"/>
    <m/>
    <m/>
  </r>
  <r>
    <s v="Yogesh Yenorkar (vz001)"/>
    <x v="11"/>
    <x v="14"/>
    <m/>
    <x v="29"/>
    <s v="Evaluate"/>
    <s v="On Track"/>
    <d v="2024-09-24T00:00:00"/>
    <m/>
  </r>
  <r>
    <s v="Yogesh Yenorkar (vz001)"/>
    <x v="12"/>
    <x v="17"/>
    <m/>
    <x v="29"/>
    <s v="Implement"/>
    <s v="Yet to start"/>
    <m/>
    <m/>
  </r>
  <r>
    <s v="amit matale (xy524)"/>
    <x v="13"/>
    <x v="18"/>
    <d v="1900-02-09T00:00:00"/>
    <x v="30"/>
    <s v="Implement"/>
    <s v="On Hold"/>
    <d v="2024-09-30T00:00:00"/>
    <m/>
  </r>
  <r>
    <s v="amit matale (xy524)"/>
    <x v="14"/>
    <x v="18"/>
    <d v="1900-02-18T00:00:00"/>
    <x v="30"/>
    <s v="Implement"/>
    <s v="On Hold"/>
    <d v="2024-10-25T00:00:00"/>
    <m/>
  </r>
  <r>
    <s v="Anushka P Gaikwad (wf298)"/>
    <x v="14"/>
    <x v="3"/>
    <d v="1899-12-30T00:00:00"/>
    <x v="31"/>
    <s v="Evaluate"/>
    <s v="On Hold"/>
    <d v="2024-10-25T00:00:00"/>
    <m/>
  </r>
  <r>
    <s v="Anushka P Gaikwad (wf298)"/>
    <x v="14"/>
    <x v="3"/>
    <d v="1899-12-30T00:00:00"/>
    <x v="31"/>
    <s v="Implement"/>
    <s v="On Hold"/>
    <d v="2024-10-25T00:00:00"/>
    <m/>
  </r>
  <r>
    <s v="Harshada Borude (ur897)"/>
    <x v="14"/>
    <x v="19"/>
    <d v="1899-12-30T00:00:00"/>
    <x v="32"/>
    <s v="Evaluate"/>
    <s v="Rejected"/>
    <m/>
    <d v="2024-09-04T00:00:00"/>
  </r>
  <r>
    <s v="Haridas Raut (vy322)"/>
    <x v="14"/>
    <x v="19"/>
    <m/>
    <x v="33"/>
    <s v="Evaluate"/>
    <s v="Closed"/>
    <s v="NA"/>
    <d v="2024-08-29T00:00:00"/>
  </r>
  <r>
    <s v="Shraddha Arde (ul528)"/>
    <x v="15"/>
    <x v="20"/>
    <d v="1899-12-30T00:00:00"/>
    <x v="34"/>
    <s v="Evaluate"/>
    <s v="Closed"/>
    <d v="2024-08-31T00:00:00"/>
    <m/>
  </r>
  <r>
    <s v="Shraddha Arde (ul528)"/>
    <x v="16"/>
    <x v="21"/>
    <d v="1900-09-28T00:00:00"/>
    <x v="34"/>
    <s v="Implement"/>
    <s v="At Risk"/>
    <d v="2024-10-31T00:00:00"/>
    <m/>
  </r>
  <r>
    <s v="Shraddha Arde (ul528)"/>
    <x v="17"/>
    <x v="22"/>
    <d v="1900-01-02T00:00:00"/>
    <x v="35"/>
    <s v="Evaluate"/>
    <s v="Closed"/>
    <d v="2024-08-29T00:00:00"/>
    <d v="2024-08-21T00:00:00"/>
  </r>
  <r>
    <s v="Shraddha Arde (ul528)"/>
    <x v="18"/>
    <x v="23"/>
    <d v="1899-12-30T00:00:00"/>
    <x v="35"/>
    <s v="Implement"/>
    <s v="Closed"/>
    <d v="2024-09-09T00:00:00"/>
    <d v="2024-09-18T00:00:00"/>
  </r>
  <r>
    <s v="jyoti dongre (vu400)"/>
    <x v="19"/>
    <x v="24"/>
    <d v="1900-04-11T00:00:00"/>
    <x v="36"/>
    <s v="Evaluate"/>
    <s v="Closed"/>
    <d v="2024-10-31T00:00:00"/>
    <d v="2024-09-09T00:00:00"/>
  </r>
  <r>
    <s v="jyoti dongre (vu400)"/>
    <x v="20"/>
    <x v="24"/>
    <d v="1900-03-21T00:00:00"/>
    <x v="36"/>
    <s v="Implement"/>
    <s v="On Track"/>
    <d v="2024-10-31T00:00:00"/>
    <m/>
  </r>
  <r>
    <s v="Yogesh Yenorkar (vz001)"/>
    <x v="14"/>
    <x v="3"/>
    <d v="1899-12-30T00:00:00"/>
    <x v="37"/>
    <s v="Evaluate"/>
    <s v="Closed"/>
    <m/>
    <d v="2024-08-05T00:00:00"/>
  </r>
  <r>
    <s v="Yogesh Yenorkar (vz001)"/>
    <x v="14"/>
    <x v="25"/>
    <d v="1900-08-17T00:00:00"/>
    <x v="37"/>
    <s v="Implement"/>
    <s v="Closed"/>
    <m/>
    <d v="2024-08-30T00:00:00"/>
  </r>
  <r>
    <s v="Haridas Raut (vy322)"/>
    <x v="21"/>
    <x v="26"/>
    <n v="-63"/>
    <x v="38"/>
    <s v="Evaluate"/>
    <s v="At Risk"/>
    <d v="2024-09-27T00:00:00"/>
    <m/>
  </r>
  <r>
    <s v="Lavanya Nayak (ri652)"/>
    <x v="14"/>
    <x v="22"/>
    <d v="1900-02-08T00:00:00"/>
    <x v="39"/>
    <s v="Evaluate"/>
    <s v="At Risk"/>
    <d v="2024-09-30T00:00:00"/>
    <m/>
  </r>
  <r>
    <s v="amit matale (xy524)"/>
    <x v="14"/>
    <x v="18"/>
    <d v="1900-02-18T00:00:00"/>
    <x v="40"/>
    <s v="Evaluate"/>
    <s v="Yet to start"/>
    <d v="2024-10-25T00:00:00"/>
    <m/>
  </r>
  <r>
    <s v="jayant patil (wl795)"/>
    <x v="22"/>
    <x v="27"/>
    <d v="1900-02-09T00:00:00"/>
    <x v="41"/>
    <s v="Evaluate_NA"/>
    <s v="Closed"/>
    <m/>
    <d v="2024-09-09T00:00:00"/>
  </r>
  <r>
    <s v="jayant patil (wl795)"/>
    <x v="23"/>
    <x v="18"/>
    <d v="1900-01-21T00:00:00"/>
    <x v="42"/>
    <s v="Evaluate"/>
    <s v="On Track"/>
    <d v="2024-09-25T00:00:00"/>
    <m/>
  </r>
  <r>
    <s v="jayant patil (wl795)"/>
    <x v="14"/>
    <x v="28"/>
    <d v="1900-03-10T00:00:00"/>
    <x v="42"/>
    <s v="Implement"/>
    <s v="Yet to start"/>
    <d v="2024-10-18T00:00:00"/>
    <m/>
  </r>
  <r>
    <s v="Harshada Borude (ur897)"/>
    <x v="24"/>
    <x v="29"/>
    <d v="1899-12-30T00:00:00"/>
    <x v="43"/>
    <s v="Evaluate"/>
    <s v="Rejected"/>
    <d v="2024-10-10T00:00:00"/>
    <d v="2024-09-09T00:00:00"/>
  </r>
  <r>
    <s v="Harshada Borude (ur897)"/>
    <x v="14"/>
    <x v="19"/>
    <d v="1899-12-30T00:00:00"/>
    <x v="43"/>
    <s v="Implement"/>
    <s v="Rejected"/>
    <d v="2024-10-10T00:00:00"/>
    <d v="2024-09-11T00:00:00"/>
  </r>
  <r>
    <s v="vitthal shinde (xy599)"/>
    <x v="14"/>
    <x v="30"/>
    <d v="1900-03-09T00:00:00"/>
    <x v="44"/>
    <s v="Evaluate"/>
    <s v="On Hold"/>
    <d v="2024-09-19T00:00:00"/>
    <m/>
  </r>
  <r>
    <s v="shrutika shete (ac06r)"/>
    <x v="14"/>
    <x v="31"/>
    <d v="1900-01-15T00:00:00"/>
    <x v="45"/>
    <s v="Evaluate"/>
    <s v="On Track"/>
    <d v="2024-10-04T00:00:00"/>
    <m/>
  </r>
  <r>
    <s v="umesh borde (ad33c)"/>
    <x v="14"/>
    <x v="3"/>
    <d v="1899-12-30T00:00:00"/>
    <x v="46"/>
    <s v="Evaluate"/>
    <s v="Closed"/>
    <m/>
    <d v="2024-09-16T00:00:00"/>
  </r>
  <r>
    <s v="umesh borde (ad33c)"/>
    <x v="12"/>
    <x v="3"/>
    <m/>
    <x v="28"/>
    <s v="Evaluate"/>
    <s v="On Track"/>
    <m/>
    <m/>
  </r>
  <r>
    <s v="umesh borde (ad33c)"/>
    <x v="14"/>
    <x v="3"/>
    <d v="1899-12-30T00:00:00"/>
    <x v="46"/>
    <s v="Implement"/>
    <s v="Yet to start"/>
    <d v="2024-10-30T00:00:00"/>
    <m/>
  </r>
  <r>
    <s v="Indumathi M (wf309)"/>
    <x v="25"/>
    <x v="32"/>
    <d v="1900-03-05T00:00:00"/>
    <x v="47"/>
    <s v="Evaluate"/>
    <s v="On Track"/>
    <d v="2024-09-10T00:00:00"/>
    <m/>
  </r>
  <r>
    <s v="Indumathi M (wf309)"/>
    <x v="14"/>
    <x v="32"/>
    <d v="1900-04-09T00:00:00"/>
    <x v="47"/>
    <s v="Implement"/>
    <s v="Yet to start"/>
    <d v="2024-10-12T00:00:00"/>
    <m/>
  </r>
  <r>
    <s v="shrutika shete (ac06r)"/>
    <x v="26"/>
    <x v="31"/>
    <d v="1900-01-01T00:00:00"/>
    <x v="48"/>
    <s v="Evaluate"/>
    <s v="On Hold"/>
    <d v="2024-10-04T00:00:00"/>
    <m/>
  </r>
  <r>
    <s v="Anushka P Gaikwad (wf298)"/>
    <x v="15"/>
    <x v="20"/>
    <d v="1899-12-30T00:00:00"/>
    <x v="49"/>
    <s v="Evaluate_NA"/>
    <s v="Closed"/>
    <s v="31-08-2024_x000a_06-09-2024_x000a_10-09-2024"/>
    <d v="2024-09-09T00:00:00"/>
  </r>
  <r>
    <s v="Anushka P Gaikwad (wf298)"/>
    <x v="12"/>
    <x v="3"/>
    <m/>
    <x v="50"/>
    <s v="Evaluate"/>
    <s v="On Track"/>
    <m/>
    <m/>
  </r>
  <r>
    <s v="Anushka P Gaikwad (wf298)"/>
    <x v="27"/>
    <x v="33"/>
    <d v="1900-01-19T00:00:00"/>
    <x v="49"/>
    <s v="Implement"/>
    <s v="On Track"/>
    <s v="31-08-2024_x000a_06-09-2024_x000a_10-09-2024"/>
    <m/>
  </r>
  <r>
    <s v="sumitkumar patil (wf330)"/>
    <x v="14"/>
    <x v="34"/>
    <d v="1900-01-20T00:00:00"/>
    <x v="51"/>
    <s v="Evaluate"/>
    <s v="Yet to start"/>
    <d v="2024-10-09T00:00:00"/>
    <m/>
  </r>
  <r>
    <s v="Atul Gade (vm775)"/>
    <x v="12"/>
    <x v="35"/>
    <d v="1900-01-23T00:00:00"/>
    <x v="52"/>
    <s v="Evaluate"/>
    <s v="At Risk"/>
    <d v="2024-11-15T00:00:00"/>
    <m/>
  </r>
  <r>
    <s v="jayant patil (wl795)"/>
    <x v="14"/>
    <x v="19"/>
    <d v="1899-12-30T00:00:00"/>
    <x v="53"/>
    <s v="Evaluate"/>
    <s v="On Track"/>
    <d v="2024-09-25T00:00:00"/>
    <m/>
  </r>
  <r>
    <s v="jayant patil (wl795)"/>
    <x v="14"/>
    <x v="3"/>
    <d v="1899-12-30T00:00:00"/>
    <x v="53"/>
    <s v="Implement"/>
    <s v="Yet to start"/>
    <d v="2024-10-18T00:00:00"/>
    <m/>
  </r>
  <r>
    <s v="Haridas Raut (vy322)"/>
    <x v="22"/>
    <x v="36"/>
    <d v="1900-02-27T00:00:00"/>
    <x v="54"/>
    <s v="Evaluate"/>
    <s v="Rejected"/>
    <d v="2024-09-25T00:00:00"/>
    <d v="2024-09-09T00:00:00"/>
  </r>
  <r>
    <s v="sumitkumar patil (wf330)"/>
    <x v="14"/>
    <x v="34"/>
    <d v="1900-01-20T00:00:00"/>
    <x v="55"/>
    <s v="Evaluate"/>
    <s v="Yet to start"/>
    <d v="2024-10-09T00:00:00"/>
    <m/>
  </r>
  <r>
    <s v="Ashitosh Nilkanth (uh953)"/>
    <x v="14"/>
    <x v="19"/>
    <d v="1899-12-30T00:00:00"/>
    <x v="56"/>
    <s v="Evaluate"/>
    <s v="On Hold"/>
    <d v="2024-09-27T00:00:00"/>
    <m/>
  </r>
  <r>
    <s v="Balraj S Malage (wf327)"/>
    <x v="24"/>
    <x v="29"/>
    <d v="1899-12-30T00:00:00"/>
    <x v="57"/>
    <s v="Evaluate"/>
    <s v="Rejected"/>
    <m/>
    <d v="2024-09-07T00:00:00"/>
  </r>
  <r>
    <s v="Anushka P Gaikwad (wf298)"/>
    <x v="14"/>
    <x v="28"/>
    <d v="1900-03-10T00:00:00"/>
    <x v="58"/>
    <s v="Evaluate"/>
    <s v="On Hold"/>
    <s v="NA"/>
    <m/>
  </r>
  <r>
    <s v="Anushka P Gaikwad (wf298)"/>
    <x v="14"/>
    <x v="37"/>
    <d v="1900-03-20T00:00:00"/>
    <x v="58"/>
    <s v="Implement"/>
    <s v="Yet to start"/>
    <s v="NA"/>
    <m/>
  </r>
  <r>
    <s v="Balraj S Malage (wf327)"/>
    <x v="22"/>
    <x v="38"/>
    <d v="1900-02-08T00:00:00"/>
    <x v="59"/>
    <s v="Evaluate"/>
    <s v="Deferred"/>
    <d v="2024-09-25T00:00:00"/>
    <m/>
  </r>
  <r>
    <s v="jayant patil (wl795)"/>
    <x v="28"/>
    <x v="39"/>
    <d v="1899-12-30T00:00:00"/>
    <x v="60"/>
    <s v="Evaluate"/>
    <s v="On Track"/>
    <d v="2024-09-25T00:00:00"/>
    <m/>
  </r>
  <r>
    <s v="jayant patil (wl795)"/>
    <x v="14"/>
    <x v="28"/>
    <d v="1900-03-10T00:00:00"/>
    <x v="60"/>
    <s v="Implement"/>
    <s v="Yet to start"/>
    <d v="2024-10-18T00:00:00"/>
    <m/>
  </r>
  <r>
    <s v="jayant patil (wl795)"/>
    <x v="28"/>
    <x v="22"/>
    <d v="1899-12-30T00:00:00"/>
    <x v="61"/>
    <s v="Evaluate"/>
    <s v="On Track"/>
    <d v="2024-09-20T00:00:00"/>
    <m/>
  </r>
  <r>
    <s v="jayant patil (wl795)"/>
    <x v="14"/>
    <x v="40"/>
    <d v="1900-03-05T00:00:00"/>
    <x v="61"/>
    <s v="Implement"/>
    <s v="Yet to start"/>
    <d v="2024-10-25T00:00:00"/>
    <m/>
  </r>
  <r>
    <s v="amit matale (xy524)"/>
    <x v="29"/>
    <x v="28"/>
    <d v="1900-01-09T00:00:00"/>
    <x v="62"/>
    <s v="Evaluate"/>
    <s v="On Track"/>
    <d v="2024-09-20T00:00:00"/>
    <m/>
  </r>
  <r>
    <s v="amit matale (xy524)"/>
    <x v="14"/>
    <x v="32"/>
    <d v="1900-04-09T00:00:00"/>
    <x v="62"/>
    <s v="Implement"/>
    <s v="Yet to start"/>
    <d v="2024-10-25T00:00:00"/>
    <m/>
  </r>
  <r>
    <s v="Indumathi M (wf309)"/>
    <x v="14"/>
    <x v="22"/>
    <d v="1899-12-30T00:00:00"/>
    <x v="63"/>
    <s v="Evaluate"/>
    <s v="Yet to start"/>
    <m/>
    <m/>
  </r>
  <r>
    <s v="shrutika shete (ac06r)"/>
    <x v="14"/>
    <x v="31"/>
    <d v="1900-01-15T00:00:00"/>
    <x v="64"/>
    <s v="Evaluate"/>
    <s v="Deferred"/>
    <d v="2024-10-04T00:00:00"/>
    <m/>
  </r>
  <r>
    <s v="Harshada Borude (ur897)"/>
    <x v="30"/>
    <x v="41"/>
    <n v="-5"/>
    <x v="65"/>
    <s v="Evaluate"/>
    <s v="Deferred"/>
    <d v="2024-10-15T00:00:00"/>
    <m/>
  </r>
  <r>
    <s v="Nileema Pailwan (mt618)"/>
    <x v="14"/>
    <x v="3"/>
    <d v="1899-12-30T00:00:00"/>
    <x v="66"/>
    <s v="Evaluate"/>
    <s v="Deferred"/>
    <m/>
    <m/>
  </r>
  <r>
    <s v="umesh borde (ad33c)"/>
    <x v="14"/>
    <x v="3"/>
    <d v="1899-12-30T00:00:00"/>
    <x v="66"/>
    <s v="Implement"/>
    <s v="Deferred"/>
    <d v="2024-09-30T00:00:00"/>
    <m/>
  </r>
  <r>
    <s v="Yogesh Yenorkar (vz001)"/>
    <x v="14"/>
    <x v="20"/>
    <d v="1900-01-29T00:00:00"/>
    <x v="67"/>
    <s v="Evaluate"/>
    <s v="Deferred"/>
    <d v="2024-09-30T00:00:00"/>
    <m/>
  </r>
  <r>
    <s v="Yogesh Yenorkar (vz001)"/>
    <x v="14"/>
    <x v="20"/>
    <d v="1900-01-29T00:00:00"/>
    <x v="67"/>
    <s v="Implement"/>
    <s v="Deferred"/>
    <d v="2024-09-30T00:00:00"/>
    <m/>
  </r>
  <r>
    <s v="Anushka P Gaikwad (wf298)"/>
    <x v="14"/>
    <x v="23"/>
    <d v="1900-01-24T00:00:00"/>
    <x v="68"/>
    <s v="Evaluate"/>
    <s v="Deferred"/>
    <d v="2024-09-27T00:00:00"/>
    <m/>
  </r>
  <r>
    <s v="Anushka P Gaikwad (wf298)"/>
    <x v="14"/>
    <x v="3"/>
    <d v="1899-12-30T00:00:00"/>
    <x v="68"/>
    <s v="Implement"/>
    <s v="Deferred"/>
    <d v="2024-10-23T00:00:00"/>
    <m/>
  </r>
  <r>
    <s v="Atul Gade (vm775)"/>
    <x v="14"/>
    <x v="3"/>
    <d v="1899-12-30T00:00:00"/>
    <x v="69"/>
    <s v="Evaluate"/>
    <s v="On Hold"/>
    <s v="TBD"/>
    <m/>
  </r>
  <r>
    <s v="Atul Gade (vm775)"/>
    <x v="14"/>
    <x v="3"/>
    <d v="1899-12-30T00:00:00"/>
    <x v="69"/>
    <s v="Implement"/>
    <s v="On Hold"/>
    <s v="TBD"/>
    <m/>
  </r>
  <r>
    <s v="Atul Gade (vm775)"/>
    <x v="14"/>
    <x v="3"/>
    <d v="1899-12-30T00:00:00"/>
    <x v="70"/>
    <s v="Evaluate"/>
    <s v="On Hold"/>
    <s v="TBD"/>
    <m/>
  </r>
  <r>
    <s v="Atul Gade (vm775)"/>
    <x v="14"/>
    <x v="3"/>
    <d v="1899-12-30T00:00:00"/>
    <x v="70"/>
    <s v="Implement"/>
    <s v="On Hold"/>
    <s v="TBD"/>
    <m/>
  </r>
  <r>
    <s v="iram nazneen (wa667)"/>
    <x v="28"/>
    <x v="23"/>
    <d v="1900-01-09T00:00:00"/>
    <x v="71"/>
    <s v="Evaluate"/>
    <s v="On Track"/>
    <d v="2024-09-17T00:00:00"/>
    <m/>
  </r>
  <r>
    <s v="iram nazneen (wa667)"/>
    <x v="13"/>
    <x v="23"/>
    <d v="1900-01-15T00:00:00"/>
    <x v="72"/>
    <s v="Evaluate"/>
    <s v="On Track"/>
    <d v="2024-09-17T00:00:00"/>
    <m/>
  </r>
  <r>
    <s v="Indumathi M (wf309)"/>
    <x v="12"/>
    <x v="42"/>
    <d v="1900-01-19T00:00:00"/>
    <x v="73"/>
    <s v="Evaluate"/>
    <s v="Deferred"/>
    <d v="2024-09-27T00:00:00"/>
    <m/>
  </r>
  <r>
    <s v="Indumathi M (wf309)"/>
    <x v="14"/>
    <x v="42"/>
    <d v="1900-01-19T00:00:00"/>
    <x v="73"/>
    <s v="Implement"/>
    <s v="Deferred"/>
    <d v="2024-10-25T00:00:00"/>
    <m/>
  </r>
  <r>
    <s v="Indumathi M (wf309)"/>
    <x v="31"/>
    <x v="42"/>
    <d v="1899-12-30T00:00:00"/>
    <x v="74"/>
    <s v="Evaluate"/>
    <s v="On Track"/>
    <d v="2024-09-10T00:00:00"/>
    <m/>
  </r>
  <r>
    <s v="Indumathi M (wf309)"/>
    <x v="14"/>
    <x v="42"/>
    <d v="1900-01-19T00:00:00"/>
    <x v="74"/>
    <s v="Implement"/>
    <s v="Yet to start"/>
    <d v="2024-10-12T00:00:00"/>
    <m/>
  </r>
  <r>
    <s v="umesh borde (ad33c)"/>
    <x v="14"/>
    <x v="42"/>
    <d v="1900-01-19T00:00:00"/>
    <x v="75"/>
    <s v="Evaluate"/>
    <s v="Deferred"/>
    <m/>
    <m/>
  </r>
  <r>
    <s v="umesh borde (ad33c)"/>
    <x v="14"/>
    <x v="42"/>
    <d v="1900-01-19T00:00:00"/>
    <x v="75"/>
    <s v="Implement"/>
    <s v="Deferred"/>
    <m/>
    <m/>
  </r>
  <r>
    <s v="umesh borde (ad33c)"/>
    <x v="15"/>
    <x v="43"/>
    <n v="-15"/>
    <x v="76"/>
    <s v="Evaluate"/>
    <s v="On Track"/>
    <d v="2024-09-30T00:00:00"/>
    <m/>
  </r>
  <r>
    <s v="umesh borde (ad33c)"/>
    <x v="14"/>
    <x v="43"/>
    <d v="1900-01-14T00:00:00"/>
    <x v="76"/>
    <s v="Implement"/>
    <s v="Yet to start"/>
    <d v="2024-10-15T00:00:00"/>
    <m/>
  </r>
  <r>
    <s v="shrutika shete (ac06r)"/>
    <x v="14"/>
    <x v="23"/>
    <d v="1900-01-24T00:00:00"/>
    <x v="77"/>
    <s v="Evaluate"/>
    <s v="Deferred"/>
    <d v="2024-09-27T00:00:00"/>
    <m/>
  </r>
  <r>
    <s v="amit matale (xy524)"/>
    <x v="14"/>
    <x v="20"/>
    <d v="1900-01-29T00:00:00"/>
    <x v="78"/>
    <s v="Evaluate"/>
    <s v="Deferred"/>
    <d v="2024-09-30T00:00:00"/>
    <m/>
  </r>
  <r>
    <s v="amit matale (xy524)"/>
    <x v="14"/>
    <x v="20"/>
    <d v="1900-01-29T00:00:00"/>
    <x v="78"/>
    <s v="Implement"/>
    <s v="Deferred"/>
    <d v="2024-10-25T00:00:00"/>
    <m/>
  </r>
  <r>
    <s v="Balraj S Malage (wf327)"/>
    <x v="32"/>
    <x v="38"/>
    <d v="1900-01-21T00:00:00"/>
    <x v="79"/>
    <s v="Evaluate"/>
    <s v="On Track"/>
    <d v="2024-09-25T00:00:00"/>
    <m/>
  </r>
  <r>
    <s v="sumitkumar patil (wf330)"/>
    <x v="14"/>
    <x v="34"/>
    <d v="1900-01-20T00:00:00"/>
    <x v="80"/>
    <s v="Evaluate"/>
    <s v="Deferred"/>
    <d v="2024-10-09T00:00:00"/>
    <m/>
  </r>
  <r>
    <s v="Harshada Borude (ur897)"/>
    <x v="33"/>
    <x v="44"/>
    <d v="1900-01-05T00:00:00"/>
    <x v="81"/>
    <s v="Evaluate"/>
    <s v="On Hold"/>
    <d v="2024-10-01T00:00:00"/>
    <m/>
  </r>
  <r>
    <s v="Jagadeesh V (wt481)"/>
    <x v="34"/>
    <x v="45"/>
    <d v="1899-12-31T00:00:00"/>
    <x v="82"/>
    <s v="Evaluate"/>
    <s v="At Risk"/>
    <d v="2024-09-10T00:00:00"/>
    <m/>
  </r>
  <r>
    <s v="Jagadeesh V (wt481)"/>
    <x v="35"/>
    <x v="44"/>
    <n v="-17"/>
    <x v="83"/>
    <s v="Evaluate"/>
    <s v="At Risk"/>
    <d v="2024-09-05T00:00:00"/>
    <m/>
  </r>
  <r>
    <s v="Ashitosh Nilkanth (uh953)"/>
    <x v="36"/>
    <x v="20"/>
    <d v="1900-01-27T00:00:00"/>
    <x v="84"/>
    <s v="Evaluate"/>
    <s v="On Hold"/>
    <d v="2024-09-30T00:00:00"/>
    <m/>
  </r>
  <r>
    <s v="Harshada Borude (ur897)"/>
    <x v="37"/>
    <x v="29"/>
    <n v="-3"/>
    <x v="85"/>
    <s v="Evaluate"/>
    <s v="Closed"/>
    <d v="2024-09-12T00:00:00"/>
    <d v="2024-09-18T00:00:00"/>
  </r>
  <r>
    <s v="shrutika shete (ac06r)"/>
    <x v="38"/>
    <x v="26"/>
    <d v="1900-01-30T00:00:00"/>
    <x v="86"/>
    <s v="Evaluate"/>
    <s v="Closed"/>
    <d v="2024-09-25T00:00:00"/>
    <d v="2024-08-30T00:00:00"/>
  </r>
  <r>
    <s v="shrutika shete (ac06r)"/>
    <x v="15"/>
    <x v="26"/>
    <d v="1900-01-05T00:00:00"/>
    <x v="86"/>
    <s v="Implement"/>
    <s v="On Track"/>
    <d v="2024-09-25T00:00:00"/>
    <m/>
  </r>
  <r>
    <s v="shrutika shete (ac06r)"/>
    <x v="14"/>
    <x v="26"/>
    <d v="1900-02-04T00:00:00"/>
    <x v="87"/>
    <s v="Evaluate"/>
    <s v="Closed"/>
    <d v="2024-10-07T00:00:00"/>
    <d v="2024-08-30T00:00:00"/>
  </r>
  <r>
    <s v="shrutika shete (ac06r)"/>
    <x v="39"/>
    <x v="26"/>
    <d v="1900-01-13T12:00:00"/>
    <x v="87"/>
    <s v="Implement"/>
    <s v="On Track"/>
    <d v="2024-10-07T00:00:00"/>
    <m/>
  </r>
  <r>
    <s v="Ashitosh Nilkanth (uh953)"/>
    <x v="40"/>
    <x v="46"/>
    <n v="-3"/>
    <x v="88"/>
    <s v="Evaluate"/>
    <s v="Closed"/>
    <d v="2024-08-26T00:00:00"/>
    <d v="2024-08-26T00:00:00"/>
  </r>
  <r>
    <s v="Ashitosh Nilkanth (uh953)"/>
    <x v="23"/>
    <x v="47"/>
    <n v="-1"/>
    <x v="88"/>
    <s v="Implement"/>
    <s v="On Track"/>
    <d v="2024-09-16T00:00:00"/>
    <m/>
  </r>
  <r>
    <s v="Haridas Raut (vy322)"/>
    <x v="26"/>
    <x v="36"/>
    <d v="1900-02-17T00:00:00"/>
    <x v="20"/>
    <s v="Implement"/>
    <s v="At Risk"/>
    <d v="2024-09-25T00:00:00"/>
    <m/>
  </r>
  <r>
    <s v="Haridas Raut (vy322)"/>
    <x v="14"/>
    <x v="36"/>
    <d v="1900-03-03T00:00:00"/>
    <x v="24"/>
    <s v="Implement"/>
    <s v="On Track"/>
    <d v="2024-09-25T00:00:00"/>
    <m/>
  </r>
  <r>
    <s v="shrutika shete (ac06r)"/>
    <x v="14"/>
    <x v="48"/>
    <d v="1900-02-02T00:00:00"/>
    <x v="64"/>
    <s v="Implement"/>
    <s v="Deferred"/>
    <d v="2024-10-26T00:00:00"/>
    <m/>
  </r>
  <r>
    <s v="amit matale (xy524)"/>
    <x v="28"/>
    <x v="43"/>
    <d v="1899-12-30T00:00:00"/>
    <x v="89"/>
    <s v="Evaluate"/>
    <s v="Closed"/>
    <s v="13-09-2024_x000a_06-09-2024"/>
    <d v="2024-08-24T00:00:00"/>
  </r>
  <r>
    <s v="amit matale (xy524)"/>
    <x v="16"/>
    <x v="23"/>
    <n v="-23"/>
    <x v="89"/>
    <s v="Implement"/>
    <s v="Closed"/>
    <s v="13-09-2024_x000a_06-09-2024"/>
    <m/>
  </r>
  <r>
    <s v="Indumathi M (wf309)"/>
    <x v="14"/>
    <x v="43"/>
    <d v="1899-12-30T00:00:00"/>
    <x v="90"/>
    <s v="Evaluate"/>
    <s v="Closed"/>
    <d v="2024-09-02T00:00:00"/>
    <d v="2024-09-04T00:00:00"/>
  </r>
  <r>
    <s v="Indumathi M (wf309)"/>
    <x v="14"/>
    <x v="23"/>
    <d v="1900-01-24T00:00:00"/>
    <x v="90"/>
    <s v="Implement"/>
    <s v="On Track"/>
    <d v="2024-09-13T00:00:00"/>
    <m/>
  </r>
  <r>
    <s v="Srinadh Vadlamudi (wf326)"/>
    <x v="41"/>
    <x v="32"/>
    <d v="1900-01-15T00:00:00"/>
    <x v="91"/>
    <s v="Evaluate"/>
    <s v="On Track"/>
    <d v="2024-09-16T00:00:00"/>
    <m/>
  </r>
  <r>
    <s v="Srinadh Vadlamudi (wf326)"/>
    <x v="33"/>
    <x v="32"/>
    <d v="1900-04-03T00:00:00"/>
    <x v="91"/>
    <s v="Implement"/>
    <s v="On Track"/>
    <d v="2024-10-28T00:00:00"/>
    <m/>
  </r>
  <r>
    <s v="Ashitosh Nilkanth (uh953)"/>
    <x v="14"/>
    <x v="19"/>
    <d v="1899-12-30T00:00:00"/>
    <x v="92"/>
    <s v="Evaluate"/>
    <s v="On Hold"/>
    <d v="2024-09-27T00:00:00"/>
    <m/>
  </r>
  <r>
    <s v="Ashitosh Nilkanth (uh953)"/>
    <x v="30"/>
    <x v="49"/>
    <d v="1900-01-31T00:00:00"/>
    <x v="93"/>
    <s v="Evaluate"/>
    <s v="On Track"/>
    <d v="2024-09-27T00:00:00"/>
    <m/>
  </r>
  <r>
    <s v="shrutika shete (ac06r)"/>
    <x v="14"/>
    <x v="50"/>
    <d v="1900-02-03T00:00:00"/>
    <x v="77"/>
    <s v="Implement"/>
    <s v="Deferred"/>
    <d v="2024-10-18T00:00:00"/>
    <m/>
  </r>
  <r>
    <s v="Harshada Borude (ur897)"/>
    <x v="42"/>
    <x v="51"/>
    <d v="1899-12-31T00:00:00"/>
    <x v="94"/>
    <s v="Evaluate_NA"/>
    <s v="Closed"/>
    <d v="2024-09-10T00:00:00"/>
    <d v="2024-09-09T00:00:00"/>
  </r>
  <r>
    <s v="Harshada Borude (ur897)"/>
    <x v="43"/>
    <x v="51"/>
    <n v="-1.5"/>
    <x v="94"/>
    <s v="Implement"/>
    <s v="Closed"/>
    <d v="2024-09-10T00:00:00"/>
    <d v="2024-09-13T00:00:00"/>
  </r>
  <r>
    <s v="Harshada Borude (ur897)"/>
    <x v="14"/>
    <x v="52"/>
    <d v="1900-02-11T00:00:00"/>
    <x v="65"/>
    <s v="Implement"/>
    <s v="Deferred"/>
    <d v="2024-11-13T00:00:00"/>
    <m/>
  </r>
  <r>
    <s v="Harshada Borude (ur897)"/>
    <x v="14"/>
    <x v="52"/>
    <d v="1900-02-11T00:00:00"/>
    <x v="81"/>
    <s v="Implement"/>
    <s v="Yet to start"/>
    <d v="2024-10-19T00:00:00"/>
    <m/>
  </r>
  <r>
    <s v="jyoti dongre (vu400)"/>
    <x v="44"/>
    <x v="17"/>
    <d v="1900-04-11T00:00:00"/>
    <x v="6"/>
    <s v="Implement"/>
    <s v="On Track"/>
    <d v="2024-10-25T00:00:00"/>
    <d v="2024-09-02T00:00:00"/>
  </r>
  <r>
    <s v="jyoti dongre (vu400)"/>
    <x v="14"/>
    <x v="17"/>
    <d v="1900-04-19T00:00:00"/>
    <x v="27"/>
    <s v="Implement"/>
    <s v="Yet to start"/>
    <d v="2024-10-25T00:00:00"/>
    <m/>
  </r>
  <r>
    <s v="Jagadeesh V (wt481)"/>
    <x v="14"/>
    <x v="53"/>
    <d v="1900-02-07T00:00:00"/>
    <x v="83"/>
    <s v="Implement"/>
    <s v="Yet to start"/>
    <d v="2024-09-25T00:00:00"/>
    <m/>
  </r>
  <r>
    <s v="Jagadeesh V (wt481)"/>
    <x v="14"/>
    <x v="54"/>
    <d v="1900-02-09T00:00:00"/>
    <x v="82"/>
    <s v="Implement"/>
    <s v="Yet to start"/>
    <d v="2024-10-01T00:00:00"/>
    <m/>
  </r>
  <r>
    <s v="Jagadeesh V (wt481)"/>
    <x v="14"/>
    <x v="42"/>
    <d v="1900-01-19T00:00:00"/>
    <x v="9"/>
    <s v="Implement"/>
    <s v="Yet to start"/>
    <d v="2024-10-18T00:00:00"/>
    <m/>
  </r>
  <r>
    <s v="Jagadeesh V (wt481)"/>
    <x v="14"/>
    <x v="39"/>
    <d v="1900-02-28T00:00:00"/>
    <x v="84"/>
    <s v="Implement"/>
    <s v="Yet to start"/>
    <d v="2024-10-18T00:00:00"/>
    <m/>
  </r>
  <r>
    <s v="Shubham U Pansare (so150)"/>
    <x v="45"/>
    <x v="55"/>
    <d v="1900-03-26T12:00:00"/>
    <x v="95"/>
    <s v="Evaluate"/>
    <s v="At Risk"/>
    <d v="2024-10-03T00:00:00"/>
    <m/>
  </r>
  <r>
    <s v="Balraj S Malage (wf327)"/>
    <x v="46"/>
    <x v="56"/>
    <n v="-3"/>
    <x v="96"/>
    <s v="Implement"/>
    <s v="On Track"/>
    <d v="2024-09-13T00:00:00"/>
    <d v="2024-09-18T00:00:00"/>
  </r>
  <r>
    <s v="vitthal shinde (xy599)"/>
    <x v="12"/>
    <x v="46"/>
    <d v="1900-01-16T00:00:00"/>
    <x v="97"/>
    <s v="Evaluate"/>
    <s v="Closed"/>
    <d v="2024-08-23T00:00:00"/>
    <d v="2024-08-23T00:00:00"/>
  </r>
  <r>
    <s v="vitthal shinde (xy599)"/>
    <x v="47"/>
    <x v="47"/>
    <d v="1900-01-02T00:00:00"/>
    <x v="97"/>
    <s v="Implement"/>
    <s v="On Track"/>
    <d v="2024-09-11T00:00:00"/>
    <m/>
  </r>
  <r>
    <s v="sumitkumar patil (wf330)"/>
    <x v="19"/>
    <x v="54"/>
    <d v="1900-01-02T00:00:00"/>
    <x v="98"/>
    <s v="Evaluate"/>
    <s v="Closed"/>
    <d v="2024-09-18T00:00:00"/>
    <d v="2024-08-25T00:00:00"/>
  </r>
  <r>
    <s v="sumitkumar patil (wf330)"/>
    <x v="48"/>
    <x v="54"/>
    <n v="-4"/>
    <x v="98"/>
    <s v="Implement"/>
    <s v="Closed"/>
    <d v="2024-09-18T00:00:00"/>
    <d v="2024-09-18T00:00:00"/>
  </r>
  <r>
    <s v="Yogesh Yenorkar (vz001)"/>
    <x v="15"/>
    <x v="42"/>
    <n v="-10"/>
    <x v="99"/>
    <s v="Evaluate"/>
    <s v="Closed"/>
    <d v="2024-09-09T00:00:00"/>
    <d v="2024-09-11T00:00:00"/>
  </r>
  <r>
    <s v="Yogesh Yenorkar (vz001)"/>
    <x v="12"/>
    <x v="42"/>
    <d v="1900-01-19T00:00:00"/>
    <x v="99"/>
    <s v="Implement"/>
    <s v="On Track"/>
    <s v="20-09-2024_x000a_27-09-2024"/>
    <m/>
  </r>
  <r>
    <s v="Ashitosh Nilkanth (uh953)"/>
    <x v="14"/>
    <x v="57"/>
    <d v="1900-06-21T00:00:00"/>
    <x v="93"/>
    <s v="Implement"/>
    <s v="Yet to start"/>
    <d v="2024-11-20T00:00:00"/>
    <m/>
  </r>
  <r>
    <s v="Balraj S Malage (wf327)"/>
    <x v="14"/>
    <x v="58"/>
    <d v="1900-04-03T00:00:00"/>
    <x v="8"/>
    <s v="Implement"/>
    <s v="Yet to start"/>
    <d v="2024-10-24T00:00:00"/>
    <m/>
  </r>
  <r>
    <s v="Balraj S Malage (wf327)"/>
    <x v="14"/>
    <x v="59"/>
    <d v="1900-03-04T00:00:00"/>
    <x v="7"/>
    <s v="Implement"/>
    <s v="Yet to start"/>
    <d v="2024-10-31T00:00:00"/>
    <m/>
  </r>
  <r>
    <s v="Haridas Raut (vy322)"/>
    <x v="12"/>
    <x v="36"/>
    <d v="1900-03-03T00:00:00"/>
    <x v="25"/>
    <s v="Implement"/>
    <s v="On Track"/>
    <d v="2024-09-25T00:00:00"/>
    <m/>
  </r>
  <r>
    <s v="Haridas Raut (vy322)"/>
    <x v="12"/>
    <x v="36"/>
    <d v="1900-03-03T00:00:00"/>
    <x v="33"/>
    <s v="Implement"/>
    <s v="On Track"/>
    <d v="2024-09-25T00:00:00"/>
    <m/>
  </r>
  <r>
    <s v="Haridas Raut (vy322)"/>
    <x v="14"/>
    <x v="60"/>
    <d v="1900-04-23T00:00:00"/>
    <x v="38"/>
    <s v="Implement"/>
    <s v="Yet to start"/>
    <d v="2024-11-19T00:00:00"/>
    <m/>
  </r>
  <r>
    <s v="Shubham U Pansare (so150)"/>
    <x v="14"/>
    <x v="61"/>
    <d v="1900-07-10T00:00:00"/>
    <x v="95"/>
    <s v="Implement"/>
    <s v="Yet to start"/>
    <d v="2024-10-25T00:00:00"/>
    <m/>
  </r>
  <r>
    <s v="sumitkumar patil (wf330)"/>
    <x v="14"/>
    <x v="27"/>
    <d v="1900-02-13T00:00:00"/>
    <x v="51"/>
    <s v="Implement"/>
    <s v="Yet to start"/>
    <d v="2024-11-06T00:00:00"/>
    <m/>
  </r>
  <r>
    <s v="sumitkumar patil (wf330)"/>
    <x v="14"/>
    <x v="27"/>
    <d v="1900-02-13T00:00:00"/>
    <x v="80"/>
    <s v="Implement"/>
    <s v="Deferred"/>
    <d v="2024-11-06T00:00:00"/>
    <m/>
  </r>
  <r>
    <s v="Harshada Borude (ur897)"/>
    <x v="14"/>
    <x v="22"/>
    <d v="1900-02-08T00:00:00"/>
    <x v="85"/>
    <s v="Implement"/>
    <s v="On Track"/>
    <d v="2024-10-04T00:00:00"/>
    <m/>
  </r>
  <r>
    <s v="jyoti dongre (vu400)"/>
    <x v="14"/>
    <x v="17"/>
    <d v="1900-02-26T00:00:00"/>
    <x v="26"/>
    <s v="Implement"/>
    <s v="On Track"/>
    <d v="2024-10-25T00:00:00"/>
    <m/>
  </r>
  <r>
    <s v="shrutika shete (ac06r)"/>
    <x v="14"/>
    <x v="48"/>
    <d v="1900-02-02T00:00:00"/>
    <x v="48"/>
    <s v="Implement"/>
    <s v="Yet to start"/>
    <d v="2024-10-26T00:00:00"/>
    <m/>
  </r>
  <r>
    <s v="sumitkumar patil (wf330)"/>
    <x v="14"/>
    <x v="60"/>
    <d v="1900-04-23T00:00:00"/>
    <x v="4"/>
    <s v="Implement"/>
    <s v="Yet to start"/>
    <d v="2024-10-23T00:00:00"/>
    <m/>
  </r>
  <r>
    <s v="sumitkumar patil (wf330)"/>
    <x v="14"/>
    <x v="60"/>
    <d v="1900-04-23T00:00:00"/>
    <x v="15"/>
    <s v="Implement"/>
    <s v="Yet to start"/>
    <d v="2024-10-23T00:00:00"/>
    <m/>
  </r>
  <r>
    <s v="sumitkumar patil (wf330)"/>
    <x v="14"/>
    <x v="27"/>
    <d v="1900-02-13T00:00:00"/>
    <x v="55"/>
    <s v="Implement"/>
    <s v="Yet to start"/>
    <d v="2024-11-06T00:00:00"/>
    <m/>
  </r>
  <r>
    <s v="vitthal shinde (xy599)"/>
    <x v="14"/>
    <x v="62"/>
    <d v="1900-04-30T00:00:00"/>
    <x v="18"/>
    <s v="Implement"/>
    <s v="Yet to start"/>
    <d v="2024-11-04T00:00:00"/>
    <m/>
  </r>
  <r>
    <s v="vitthal shinde (xy599)"/>
    <x v="14"/>
    <x v="62"/>
    <d v="1900-04-30T00:00:00"/>
    <x v="22"/>
    <s v="Implement"/>
    <s v="Yet to start"/>
    <d v="2024-11-04T00:00:00"/>
    <m/>
  </r>
  <r>
    <s v="vitthal shinde (xy599)"/>
    <x v="14"/>
    <x v="62"/>
    <d v="1900-04-30T00:00:00"/>
    <x v="23"/>
    <s v="Implement"/>
    <s v="Yet to start"/>
    <d v="2024-11-04T00:00:00"/>
    <m/>
  </r>
  <r>
    <s v="vitthal shinde (xy599)"/>
    <x v="14"/>
    <x v="62"/>
    <d v="1900-04-30T00:00:00"/>
    <x v="44"/>
    <s v="Implement"/>
    <s v="Yet to start"/>
    <d v="2024-11-04T00:00:00"/>
    <d v="2024-09-06T00:00:00"/>
  </r>
  <r>
    <s v="Tejas T Salunkhe (ur770)"/>
    <x v="14"/>
    <x v="3"/>
    <d v="1899-12-30T00:00:00"/>
    <x v="100"/>
    <s v="Evaluate"/>
    <s v="Closed"/>
    <d v="2024-08-12T00:00:00"/>
    <d v="2024-08-22T00:00:00"/>
  </r>
  <r>
    <s v="Swayangdipta sarkar (wa754)"/>
    <x v="49"/>
    <x v="39"/>
    <n v="-19"/>
    <x v="101"/>
    <s v="Evaluate"/>
    <s v="On Track"/>
    <d v="2024-09-15T00:00:00"/>
    <m/>
  </r>
  <r>
    <s v="Prasad Yesardekar (uh542)"/>
    <x v="12"/>
    <x v="63"/>
    <d v="1900-07-28T00:00:00"/>
    <x v="102"/>
    <s v="Implement"/>
    <s v="On Track"/>
    <d v="2024-10-25T00:00:00"/>
    <m/>
  </r>
  <r>
    <s v="Harshal Tayade (uq969)"/>
    <x v="44"/>
    <x v="64"/>
    <d v="1899-12-30T00:00:00"/>
    <x v="103"/>
    <s v="Implement"/>
    <s v="Closed"/>
    <d v="2024-08-30T00:00:00"/>
    <d v="2024-08-30T00:00:00"/>
  </r>
  <r>
    <s v="iram nazneen (wa667)"/>
    <x v="50"/>
    <x v="23"/>
    <n v="-36.5"/>
    <x v="104"/>
    <s v="Evaluate"/>
    <s v="On Track"/>
    <d v="2024-09-11T00:00:00"/>
    <m/>
  </r>
  <r>
    <s v="Prerana Ozarkar (vk686)"/>
    <x v="51"/>
    <x v="39"/>
    <n v="-4"/>
    <x v="105"/>
    <s v="Evaluate"/>
    <s v="On Track"/>
    <d v="2024-09-11T00:00:00"/>
    <m/>
  </r>
  <r>
    <s v="Prerana Ozarkar (vk686)"/>
    <x v="26"/>
    <x v="31"/>
    <d v="1900-01-01T00:00:00"/>
    <x v="106"/>
    <s v="Evaluate"/>
    <s v="On Hold"/>
    <d v="2024-09-11T00:00:00"/>
    <d v="2024-09-09T00:00:00"/>
  </r>
  <r>
    <s v="Prerana Ozarkar (vk686)"/>
    <x v="26"/>
    <x v="31"/>
    <d v="1900-01-01T00:00:00"/>
    <x v="106"/>
    <s v="Implement"/>
    <s v="On Hold"/>
    <d v="2024-09-11T00:00:00"/>
    <m/>
  </r>
  <r>
    <s v="iram nazneen (wa667)"/>
    <x v="18"/>
    <x v="23"/>
    <d v="1899-12-30T00:00:00"/>
    <x v="107"/>
    <s v="Evaluate"/>
    <s v="On Track"/>
    <d v="2024-09-11T00:00:00"/>
    <m/>
  </r>
  <r>
    <s v="Prasad Yesardekar (uh542)"/>
    <x v="52"/>
    <x v="37"/>
    <n v="-4.5"/>
    <x v="102"/>
    <s v="Evaluate"/>
    <s v="On Track"/>
    <d v="2024-09-15T00:00:00"/>
    <m/>
  </r>
  <r>
    <s v="Harshal Tayade (uq969)"/>
    <x v="53"/>
    <x v="49"/>
    <n v="-7"/>
    <x v="108"/>
    <s v="Evaluate"/>
    <s v="Closed"/>
    <d v="2024-08-31T00:00:00"/>
    <d v="2024-09-09T00:00:00"/>
  </r>
  <r>
    <s v="Harshal Tayade (uq969)"/>
    <x v="53"/>
    <x v="49"/>
    <n v="-7"/>
    <x v="108"/>
    <s v="Implement"/>
    <s v="Closed"/>
    <d v="2024-08-30T00:00:00"/>
    <d v="2024-08-30T00:00:00"/>
  </r>
  <r>
    <s v="iram nazneen (wa667)"/>
    <x v="18"/>
    <x v="23"/>
    <d v="1899-12-30T00:00:00"/>
    <x v="109"/>
    <s v="Evaluate"/>
    <s v="On Track"/>
    <d v="2024-09-11T00:00:00"/>
    <m/>
  </r>
  <r>
    <s v="Harshal Tayade (uq969)"/>
    <x v="40"/>
    <x v="42"/>
    <d v="1899-12-30T00:00:00"/>
    <x v="110"/>
    <s v="Evaluate"/>
    <s v="Closed"/>
    <m/>
    <d v="2024-08-03T00:00:00"/>
  </r>
  <r>
    <s v="Harshal Tayade (uq969)"/>
    <x v="15"/>
    <x v="20"/>
    <d v="1899-12-30T00:00:00"/>
    <x v="110"/>
    <s v="Implement"/>
    <s v="Closed"/>
    <m/>
    <d v="2024-08-29T00:00:00"/>
  </r>
  <r>
    <s v="sheetal Vishwakarma (wa663)"/>
    <x v="14"/>
    <x v="27"/>
    <d v="1900-02-13T00:00:00"/>
    <x v="111"/>
    <s v="Evaluate"/>
    <s v="Yet to start"/>
    <d v="2024-09-27T00:00:00"/>
    <m/>
  </r>
  <r>
    <s v="Prerana Ozarkar (vk686)"/>
    <x v="54"/>
    <x v="32"/>
    <d v="1899-12-30T00:00:00"/>
    <x v="112"/>
    <s v="Implement"/>
    <s v="On Hold"/>
    <d v="2024-10-18T00:00:00"/>
    <m/>
  </r>
  <r>
    <s v="jayant patil (wl795)"/>
    <x v="55"/>
    <x v="42"/>
    <n v="-5.5"/>
    <x v="113"/>
    <s v="Evaluate"/>
    <s v="On Track"/>
    <d v="2024-09-10T00:00:00"/>
    <m/>
  </r>
  <r>
    <s v="jayant patil (wl795)"/>
    <x v="14"/>
    <x v="22"/>
    <d v="1900-02-08T00:00:00"/>
    <x v="113"/>
    <s v="Implement"/>
    <s v="Yet to start"/>
    <d v="2024-09-20T00:00:00"/>
    <m/>
  </r>
  <r>
    <s v="sheetal Vishwakarma (wa663)"/>
    <x v="16"/>
    <x v="22"/>
    <n v="-8"/>
    <x v="114"/>
    <s v="Task"/>
    <s v="Closed"/>
    <d v="2024-08-30T00:00:00"/>
    <d v="2024-09-10T00:00:00"/>
  </r>
  <r>
    <s v="iram nazneen (wa667)"/>
    <x v="14"/>
    <x v="18"/>
    <d v="1900-02-18T00:00:00"/>
    <x v="104"/>
    <s v="Implement"/>
    <s v="On Hold"/>
    <d v="2024-10-11T00:00:00"/>
    <s v="NA"/>
  </r>
  <r>
    <s v="iram nazneen (wa667)"/>
    <x v="14"/>
    <x v="18"/>
    <d v="1900-02-18T00:00:00"/>
    <x v="107"/>
    <s v="Implement"/>
    <s v="On Hold"/>
    <d v="2024-10-11T00:00:00"/>
    <s v="NA"/>
  </r>
  <r>
    <s v="iram nazneen (wa667)"/>
    <x v="14"/>
    <x v="42"/>
    <d v="1900-01-19T00:00:00"/>
    <x v="109"/>
    <s v="Implement"/>
    <s v="On Hold"/>
    <d v="2024-10-11T00:00:00"/>
    <s v="NA"/>
  </r>
  <r>
    <s v="Prerana Ozarkar (vk686)"/>
    <x v="41"/>
    <x v="65"/>
    <d v="1900-06-01T00:00:00"/>
    <x v="105"/>
    <s v="Implement"/>
    <s v="On Track"/>
    <d v="2024-10-18T00:00:00"/>
    <m/>
  </r>
  <r>
    <s v="iram nazneen (wa667)"/>
    <x v="18"/>
    <x v="23"/>
    <d v="1899-12-30T00:00:00"/>
    <x v="112"/>
    <s v="Evaluate"/>
    <s v="On Track"/>
    <d v="2024-09-11T00:00:00"/>
    <m/>
  </r>
  <r>
    <s v="sheetal Vishwakarma (wa663)"/>
    <x v="56"/>
    <x v="66"/>
    <n v="-6"/>
    <x v="100"/>
    <s v="Implement"/>
    <s v="On Track"/>
    <d v="2024-09-06T00:00:00"/>
    <m/>
  </r>
  <r>
    <s v="Tejas T Salunkhe (ur770)"/>
    <x v="57"/>
    <x v="17"/>
    <n v="-23.5"/>
    <x v="115"/>
    <s v="Task"/>
    <s v="On Track"/>
    <d v="2024-09-06T00:00:00"/>
    <m/>
  </r>
  <r>
    <s v="Swayangdipta sarkar (wa754)"/>
    <x v="14"/>
    <x v="25"/>
    <d v="1900-08-17T00:00:00"/>
    <x v="101"/>
    <s v="Implement"/>
    <s v="Yet to start"/>
    <d v="2024-10-25T00:00:00"/>
    <m/>
  </r>
  <r>
    <s v="Harshal Tayade (uq969)"/>
    <x v="58"/>
    <x v="28"/>
    <n v="-17"/>
    <x v="116"/>
    <s v="Task_NA"/>
    <s v="On Track"/>
    <d v="2024-09-06T00:00:00"/>
    <m/>
  </r>
  <r>
    <s v="sheetal Vishwakarma (wa663)"/>
    <x v="14"/>
    <x v="67"/>
    <d v="1900-03-30T00:00:00"/>
    <x v="111"/>
    <s v="Implement"/>
    <s v="Yet to start"/>
    <d v="2024-10-15T00:00:00"/>
    <m/>
  </r>
  <r>
    <s v="Tejas T Salunkhe (ur770)"/>
    <x v="14"/>
    <x v="68"/>
    <d v="1900-10-26T00:00:00"/>
    <x v="117"/>
    <s v="Implement"/>
    <s v="Yet to start"/>
    <s v="TBD"/>
    <m/>
  </r>
  <r>
    <s v="aishwarya Jahagirdar (ac14v)"/>
    <x v="14"/>
    <x v="69"/>
    <d v="1900-08-07T00:00:00"/>
    <x v="16"/>
    <s v="Implement"/>
    <s v="On Hold"/>
    <s v="TBD"/>
    <m/>
  </r>
  <r>
    <s v="Lavanya Nayak (ri652)"/>
    <x v="14"/>
    <x v="3"/>
    <d v="1899-12-30T00:00:00"/>
    <x v="39"/>
    <s v="Implement"/>
    <s v="At Risk"/>
    <d v="2024-09-30T00:00:00"/>
    <m/>
  </r>
  <r>
    <s v="Ashitosh Nilkanth (uh953)"/>
    <x v="14"/>
    <x v="19"/>
    <d v="1899-12-30T00:00:00"/>
    <x v="92"/>
    <s v="Implement"/>
    <s v="Yet to start"/>
    <d v="2024-11-20T00:00:00"/>
    <m/>
  </r>
  <r>
    <s v="Ashitosh Nilkanth (uh953)"/>
    <x v="14"/>
    <x v="19"/>
    <d v="1899-12-30T00:00:00"/>
    <x v="5"/>
    <s v="Implement"/>
    <s v="Yet to start"/>
    <d v="2024-11-20T00:00:00"/>
    <m/>
  </r>
  <r>
    <s v="Srinadh Vadlamudi (wf326)"/>
    <x v="14"/>
    <x v="3"/>
    <d v="1899-12-30T00:00:00"/>
    <x v="10"/>
    <s v="Implement"/>
    <s v="Deferred"/>
    <m/>
    <m/>
  </r>
  <r>
    <s v="Ashitosh Nilkanth (uh953)"/>
    <x v="14"/>
    <x v="19"/>
    <d v="1899-12-30T00:00:00"/>
    <x v="11"/>
    <s v="Implement"/>
    <s v="Yet to start"/>
    <d v="2024-11-20T00:00:00"/>
    <m/>
  </r>
  <r>
    <s v="Harshada Borude (ur897)"/>
    <x v="14"/>
    <x v="20"/>
    <d v="1900-01-29T00:00:00"/>
    <x v="19"/>
    <s v="Implement"/>
    <s v="Yet to start"/>
    <m/>
    <m/>
  </r>
  <r>
    <s v="amit matale (xy524)"/>
    <x v="14"/>
    <x v="18"/>
    <d v="1900-02-18T00:00:00"/>
    <x v="40"/>
    <s v="Implement"/>
    <s v="Yet to start"/>
    <d v="2024-10-25T00:00:00"/>
    <m/>
  </r>
  <r>
    <s v="shrutika shete (ac06r)"/>
    <x v="14"/>
    <x v="31"/>
    <d v="1900-01-15T00:00:00"/>
    <x v="45"/>
    <s v="Implement"/>
    <s v="On Track"/>
    <d v="2024-10-04T00:00:00"/>
    <m/>
  </r>
  <r>
    <s v="Haridas Raut (vy322)"/>
    <x v="14"/>
    <x v="36"/>
    <d v="1900-03-03T00:00:00"/>
    <x v="54"/>
    <s v="Implement"/>
    <s v="Rejected"/>
    <d v="2024-09-25T00:00:00"/>
    <d v="2024-09-09T00:00:00"/>
  </r>
  <r>
    <s v="Ashitosh Nilkanth (uh953)"/>
    <x v="14"/>
    <x v="19"/>
    <d v="1899-12-30T00:00:00"/>
    <x v="56"/>
    <s v="Implement"/>
    <s v="Yet to start"/>
    <d v="2024-11-20T00:00:00"/>
    <m/>
  </r>
  <r>
    <s v="Balraj S Malage (wf327)"/>
    <x v="33"/>
    <x v="38"/>
    <d v="1900-02-06T00:00:00"/>
    <x v="79"/>
    <s v="Implement"/>
    <s v="Yet to start"/>
    <d v="2024-09-25T00:00:00"/>
    <m/>
  </r>
  <r>
    <s v="Indumathi M (wf309)"/>
    <x v="42"/>
    <x v="51"/>
    <d v="1899-12-31T00:00:00"/>
    <x v="118"/>
    <s v="Evaluate_NA"/>
    <s v="Closed"/>
    <d v="2024-09-10T00:00:00"/>
    <d v="2024-09-09T00:00:00"/>
  </r>
  <r>
    <s v="Indumathi M (wf309)"/>
    <x v="12"/>
    <x v="3"/>
    <d v="1899-12-30T00:00:00"/>
    <x v="118"/>
    <s v="Implement"/>
    <s v="Closed"/>
    <d v="2024-09-10T00:00:00"/>
    <d v="2024-09-09T00:00:00"/>
  </r>
  <r>
    <s v="Lavanya Nayak (ri652)"/>
    <x v="14"/>
    <x v="19"/>
    <d v="1899-12-30T00:00:00"/>
    <x v="3"/>
    <s v="Implement"/>
    <s v="Yet to start"/>
    <d v="2024-10-28T00:00:00"/>
    <m/>
  </r>
  <r>
    <s v="Harshada Borude (ur897)"/>
    <x v="14"/>
    <x v="3"/>
    <d v="1899-12-30T00:00:00"/>
    <x v="32"/>
    <s v="Implement"/>
    <s v="Rejected"/>
    <m/>
    <d v="2024-09-04T00:00:00"/>
  </r>
  <r>
    <s v="jayant patil (wl795)"/>
    <x v="22"/>
    <x v="27"/>
    <d v="1900-02-09T00:00:00"/>
    <x v="41"/>
    <s v="Implement"/>
    <s v="Closed"/>
    <m/>
    <d v="2024-09-09T00:00:00"/>
  </r>
  <r>
    <s v="Atul Gade (vm775)"/>
    <x v="12"/>
    <x v="34"/>
    <n v="-21"/>
    <x v="52"/>
    <s v="Implement"/>
    <s v="At Risk"/>
    <d v="2024-12-15T00:00:00"/>
    <m/>
  </r>
  <r>
    <s v="Balraj S Malage (wf327)"/>
    <x v="14"/>
    <x v="19"/>
    <d v="1899-12-30T00:00:00"/>
    <x v="57"/>
    <s v="Implement"/>
    <s v="Rejected"/>
    <m/>
    <d v="2024-09-07T00:00:00"/>
  </r>
  <r>
    <s v="Balraj S Malage (wf327)"/>
    <x v="22"/>
    <x v="38"/>
    <d v="1900-02-08T00:00:00"/>
    <x v="59"/>
    <s v="Implement"/>
    <s v="Deferred"/>
    <d v="2024-09-25T00:00:00"/>
    <m/>
  </r>
  <r>
    <s v="Indumathi M (wf309)"/>
    <x v="14"/>
    <x v="22"/>
    <d v="1900-02-08T00:00:00"/>
    <x v="63"/>
    <s v="Implement"/>
    <s v="Yet to start"/>
    <d v="2024-10-25T00:00:00"/>
    <m/>
  </r>
  <r>
    <s v="iram nazneen (wa667)"/>
    <x v="14"/>
    <x v="70"/>
    <d v="1900-03-25T00:00:00"/>
    <x v="71"/>
    <s v="Implement"/>
    <s v="Yet to start"/>
    <d v="2024-10-28T00:00:00"/>
    <m/>
  </r>
  <r>
    <s v="iram nazneen (wa667)"/>
    <x v="14"/>
    <x v="22"/>
    <d v="1900-02-08T00:00:00"/>
    <x v="72"/>
    <s v="Implement"/>
    <s v="At Risk"/>
    <d v="2024-10-28T00:00:00"/>
    <m/>
  </r>
  <r>
    <s v="Balraj S Malage (wf327)"/>
    <x v="15"/>
    <x v="56"/>
    <d v="1900-01-07T00:00:00"/>
    <x v="96"/>
    <s v="Evaluate"/>
    <s v="Closed"/>
    <d v="2024-09-13T00:00:00"/>
    <d v="2024-08-26T00:00:00"/>
  </r>
  <r>
    <s v="Harshal Tayade (uq969)"/>
    <x v="44"/>
    <x v="64"/>
    <d v="1899-12-30T00:00:00"/>
    <x v="103"/>
    <s v="Evaluate_NA"/>
    <s v="Closed"/>
    <d v="2024-08-30T00:00:00"/>
    <d v="2024-09-04T00:00:00"/>
  </r>
  <r>
    <s v="vitthal shinde (xy599)"/>
    <x v="14"/>
    <x v="30"/>
    <d v="1900-03-09T00:00:00"/>
    <x v="119"/>
    <s v="Evaluate"/>
    <s v="Rejected"/>
    <m/>
    <d v="2024-09-07T00:00:00"/>
  </r>
  <r>
    <s v="vitthal shinde (xy599)"/>
    <x v="14"/>
    <x v="62"/>
    <d v="1900-04-30T00:00:00"/>
    <x v="119"/>
    <s v="Implement"/>
    <s v="Rejected"/>
    <m/>
    <d v="2024-09-07T00:00:00"/>
  </r>
  <r>
    <s v="Tejas T Salunkhe (ur770)"/>
    <x v="14"/>
    <x v="19"/>
    <d v="1899-12-30T00:00:00"/>
    <x v="120"/>
    <s v="Task"/>
    <s v="Yet to start"/>
    <s v="NA"/>
    <s v="NA"/>
  </r>
  <r>
    <s v="Prasad Yesardekar (uh542)"/>
    <x v="18"/>
    <x v="23"/>
    <d v="1899-12-30T00:00:00"/>
    <x v="121"/>
    <s v="Implement_NA"/>
    <s v="Closed"/>
    <m/>
    <d v="2024-09-09T00:00:00"/>
  </r>
  <r>
    <s v="iram nazneen (wa667)"/>
    <x v="12"/>
    <x v="3"/>
    <d v="1899-12-30T00:00:00"/>
    <x v="122"/>
    <s v="Implement_NA"/>
    <s v="Closed"/>
    <m/>
    <d v="2024-09-09T00:00:00"/>
  </r>
  <r>
    <s v="Yogesh Yenorkar (vz001)"/>
    <x v="12"/>
    <x v="3"/>
    <m/>
    <x v="123"/>
    <s v="Implement_NA"/>
    <s v="Closed"/>
    <m/>
    <d v="2024-09-07T00:00:00"/>
  </r>
  <r>
    <s v="Prasad Yesardekar (uh542)"/>
    <x v="12"/>
    <x v="3"/>
    <d v="1899-12-30T00:00:00"/>
    <x v="124"/>
    <s v="Implement_NA"/>
    <s v="Closed"/>
    <m/>
    <d v="2024-09-09T00:00:00"/>
  </r>
  <r>
    <s v="Shubham U Pansare (so150)"/>
    <x v="12"/>
    <x v="3"/>
    <m/>
    <x v="125"/>
    <s v="Evaluate"/>
    <s v="Rejected"/>
    <m/>
    <d v="2024-09-09T00:00:00"/>
  </r>
  <r>
    <s v="Anjali Akuskar"/>
    <x v="12"/>
    <x v="3"/>
    <d v="1899-12-30T00:00:00"/>
    <x v="126"/>
    <s v="Implement"/>
    <s v="Closed"/>
    <m/>
    <d v="2024-08-22T00:00:00"/>
  </r>
  <r>
    <s v="Nileema Pailwan (mt618)"/>
    <x v="12"/>
    <x v="3"/>
    <d v="1899-12-30T00:00:00"/>
    <x v="127"/>
    <s v="Evaluate"/>
    <s v="Transferred to S/W team"/>
    <m/>
    <d v="2024-09-09T00:00:00"/>
  </r>
  <r>
    <s v="Nileema Pailwan (mt618)"/>
    <x v="12"/>
    <x v="3"/>
    <d v="1899-12-30T00:00:00"/>
    <x v="128"/>
    <s v="Implement"/>
    <s v="Transferred to S/W team"/>
    <m/>
    <d v="2024-09-09T00:00:00"/>
  </r>
  <r>
    <s v="Anushka P Gaikwad (wf298)"/>
    <x v="36"/>
    <x v="3"/>
    <n v="-2"/>
    <x v="129"/>
    <s v="Evaluate"/>
    <s v="On Track"/>
    <d v="2024-10-23T00:00:00"/>
    <m/>
  </r>
  <r>
    <s v="Nileema Pailwan (mt618)"/>
    <x v="12"/>
    <x v="3"/>
    <d v="1899-12-30T00:00:00"/>
    <x v="130"/>
    <s v="Implement"/>
    <s v="Transferred to S/W team"/>
    <m/>
    <m/>
  </r>
  <r>
    <s v="Nileema Pailwan (mt618)"/>
    <x v="12"/>
    <x v="3"/>
    <d v="1899-12-30T00:00:00"/>
    <x v="131"/>
    <s v="Evaluate"/>
    <s v="Deferred"/>
    <m/>
    <m/>
  </r>
  <r>
    <s v="iram nazneen (wa667)"/>
    <x v="12"/>
    <x v="3"/>
    <d v="1899-12-30T00:00:00"/>
    <x v="132"/>
    <s v="Evaluate"/>
    <s v="Closed"/>
    <m/>
    <d v="2024-08-01T00:00:00"/>
  </r>
  <r>
    <s v="iram nazneen (wa667)"/>
    <x v="12"/>
    <x v="3"/>
    <d v="1899-12-30T00:00:00"/>
    <x v="133"/>
    <s v="Evaluate"/>
    <s v="Rejected"/>
    <m/>
    <d v="2024-09-09T00:00:00"/>
  </r>
  <r>
    <s v="Tejas T Salunkhe (ur770)"/>
    <x v="14"/>
    <x v="19"/>
    <d v="1899-12-30T00:00:00"/>
    <x v="120"/>
    <s v="Task_NA"/>
    <s v="Yet to start"/>
    <s v="NA"/>
    <s v="NA"/>
  </r>
  <r>
    <s v="Prasad Yesardekar (uh542)"/>
    <x v="59"/>
    <x v="22"/>
    <d v="1899-12-30T00:00:00"/>
    <x v="121"/>
    <s v="Evaluate_NA"/>
    <s v="Closed"/>
    <m/>
    <d v="2024-09-09T00:00:00"/>
  </r>
  <r>
    <s v="iram nazneen (wa667)"/>
    <x v="12"/>
    <x v="3"/>
    <d v="1899-12-30T00:00:00"/>
    <x v="122"/>
    <s v="Evaluate_NA"/>
    <s v="Closed"/>
    <m/>
    <d v="2024-09-09T00:00:00"/>
  </r>
  <r>
    <s v="Yogesh Yenorkar (vz001)"/>
    <x v="12"/>
    <x v="3"/>
    <m/>
    <x v="123"/>
    <s v="Evaluate_NA"/>
    <s v="Closed"/>
    <m/>
    <d v="2024-09-07T00:00:00"/>
  </r>
  <r>
    <s v="Prasad Yesardekar (uh542)"/>
    <x v="12"/>
    <x v="3"/>
    <d v="1899-12-30T00:00:00"/>
    <x v="124"/>
    <s v="Evaluate_NA"/>
    <s v="Closed"/>
    <m/>
    <d v="2024-09-09T00:00:00"/>
  </r>
  <r>
    <s v="Shubham U Pansare (so150)"/>
    <x v="12"/>
    <x v="3"/>
    <m/>
    <x v="125"/>
    <s v="Implement"/>
    <s v="Rejected"/>
    <m/>
    <d v="2024-09-09T00:00:00"/>
  </r>
  <r>
    <s v="Anjali Akuskar"/>
    <x v="12"/>
    <x v="3"/>
    <d v="1899-12-30T00:00:00"/>
    <x v="126"/>
    <s v="Evaluate_NA"/>
    <s v="Closed"/>
    <m/>
    <d v="2024-09-09T00:00:00"/>
  </r>
  <r>
    <s v="Nileema Pailwan (mt618)"/>
    <x v="12"/>
    <x v="3"/>
    <d v="1899-12-30T00:00:00"/>
    <x v="127"/>
    <s v="Implement"/>
    <s v="Transferred to S/W team"/>
    <m/>
    <d v="2024-09-09T00:00:00"/>
  </r>
  <r>
    <s v="Nileema Pailwan (mt618)"/>
    <x v="12"/>
    <x v="3"/>
    <d v="1899-12-30T00:00:00"/>
    <x v="128"/>
    <s v="Evaluate"/>
    <s v="Transferred to S/W team"/>
    <m/>
    <d v="2024-09-09T00:00:00"/>
  </r>
  <r>
    <s v="Anushka P Gaikwad (wf298)"/>
    <x v="12"/>
    <x v="3"/>
    <d v="1899-12-30T00:00:00"/>
    <x v="129"/>
    <s v="Implement"/>
    <s v="Yet to start"/>
    <d v="2024-10-15T00:00:00"/>
    <m/>
  </r>
  <r>
    <s v="Nileema Pailwan (mt618)"/>
    <x v="12"/>
    <x v="3"/>
    <d v="1899-12-30T00:00:00"/>
    <x v="130"/>
    <s v="Evaluate"/>
    <s v="Transferred to S/W team"/>
    <m/>
    <m/>
  </r>
  <r>
    <s v="Nileema Pailwan (mt618)"/>
    <x v="12"/>
    <x v="3"/>
    <d v="1899-12-30T00:00:00"/>
    <x v="131"/>
    <s v="Implement"/>
    <s v="Deferred"/>
    <m/>
    <m/>
  </r>
  <r>
    <s v="iram nazneen (wa667)"/>
    <x v="12"/>
    <x v="3"/>
    <d v="1899-12-30T00:00:00"/>
    <x v="132"/>
    <s v="Implement"/>
    <s v="Closed"/>
    <m/>
    <d v="2024-08-08T00:00:00"/>
  </r>
  <r>
    <s v="iram nazneen (wa667)"/>
    <x v="12"/>
    <x v="3"/>
    <d v="1899-12-30T00:00:00"/>
    <x v="133"/>
    <s v="Implement"/>
    <s v="Rejected"/>
    <m/>
    <d v="2024-09-09T00:00:00"/>
  </r>
  <r>
    <s v="Swayangdipta sarkar (wa754)"/>
    <x v="60"/>
    <x v="20"/>
    <n v="-4.5"/>
    <x v="134"/>
    <s v="Implement"/>
    <s v="On Track"/>
    <d v="2024-09-30T00:00:00"/>
    <m/>
  </r>
  <r>
    <s v="sheetal Vishwakarma (wa663)"/>
    <x v="36"/>
    <x v="20"/>
    <d v="1900-01-27T00:00:00"/>
    <x v="135"/>
    <s v="Evaluate"/>
    <s v="On Track"/>
    <d v="2024-10-31T00:00:00"/>
    <m/>
  </r>
  <r>
    <s v="sheetal Vishwakarma (wa663)"/>
    <x v="12"/>
    <x v="32"/>
    <m/>
    <x v="135"/>
    <s v="Implement"/>
    <s v="Yet to start"/>
    <d v="2024-10-31T00:00:00"/>
    <m/>
  </r>
  <r>
    <s v="Harshada Borude (ur897)"/>
    <x v="14"/>
    <x v="71"/>
    <d v="1900-01-03T00:00:00"/>
    <x v="51"/>
    <s v="Evaluate"/>
    <s v="Yet to start"/>
    <m/>
    <m/>
  </r>
  <r>
    <s v="Harshada Borude (ur897)"/>
    <x v="14"/>
    <x v="72"/>
    <d v="1900-01-05T00:00:00"/>
    <x v="55"/>
    <s v="Implement"/>
    <s v="Yet to start"/>
    <m/>
    <m/>
  </r>
  <r>
    <s v="Harshada Borude (ur897)"/>
    <x v="14"/>
    <x v="72"/>
    <d v="1900-01-05T00:00:00"/>
    <x v="51"/>
    <s v="Implement"/>
    <s v="Yet to start"/>
    <m/>
    <m/>
  </r>
  <r>
    <s v="sumitkumar patil (wf330)"/>
    <x v="37"/>
    <x v="22"/>
    <d v="1900-01-26T00:00:00"/>
    <x v="136"/>
    <s v="Implement"/>
    <s v="On Track"/>
    <m/>
    <m/>
  </r>
  <r>
    <s v="aishwarya Jahagirdar (ac14v)"/>
    <x v="40"/>
    <x v="3"/>
    <m/>
    <x v="137"/>
    <s v="Implement"/>
    <s v="On Track"/>
    <s v="15-10-2024"/>
    <m/>
  </r>
  <r>
    <s v="aishwarya Jahagirdar (ac14v)"/>
    <x v="40"/>
    <x v="3"/>
    <m/>
    <x v="138"/>
    <s v="Implement"/>
    <s v="On Track"/>
    <s v="15-10-2024"/>
    <m/>
  </r>
  <r>
    <s v="Ashitosh Nilkanth (uh953)"/>
    <x v="14"/>
    <x v="19"/>
    <d v="1899-12-30T00:00:00"/>
    <x v="139"/>
    <s v="Implement"/>
    <s v="Yet to start"/>
    <d v="2024-11-20T00:00:0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0">
  <r>
    <n v="10415897"/>
    <x v="0"/>
    <x v="0"/>
    <d v="2024-08-28T00:00:00"/>
  </r>
  <r>
    <n v="13471500"/>
    <x v="0"/>
    <x v="0"/>
    <d v="2024-08-28T00:00:00"/>
  </r>
  <r>
    <n v="11000230"/>
    <x v="1"/>
    <x v="1"/>
    <d v="1899-12-30T00:00:00"/>
  </r>
  <r>
    <n v="11000230"/>
    <x v="0"/>
    <x v="2"/>
    <d v="1899-12-30T00:00:00"/>
  </r>
  <r>
    <n v="11094346"/>
    <x v="1"/>
    <x v="3"/>
    <d v="1899-12-30T00:00:00"/>
  </r>
  <r>
    <n v="12295210"/>
    <x v="1"/>
    <x v="4"/>
    <d v="1899-12-30T00:00:00"/>
  </r>
  <r>
    <n v="12450880"/>
    <x v="1"/>
    <x v="5"/>
    <d v="1899-12-30T00:00:00"/>
  </r>
  <r>
    <n v="12541182"/>
    <x v="1"/>
    <x v="6"/>
    <d v="2024-09-18T00:00:00"/>
  </r>
  <r>
    <n v="12582027"/>
    <x v="1"/>
    <x v="7"/>
    <d v="1899-12-30T00:00:00"/>
  </r>
  <r>
    <n v="12734184"/>
    <x v="1"/>
    <x v="8"/>
    <d v="1899-12-30T00:00:00"/>
  </r>
  <r>
    <n v="12748925"/>
    <x v="1"/>
    <x v="9"/>
    <d v="1899-12-30T00:00:00"/>
  </r>
  <r>
    <n v="12778031"/>
    <x v="1"/>
    <x v="10"/>
    <d v="1899-12-30T00:00:00"/>
  </r>
  <r>
    <n v="12878180"/>
    <x v="1"/>
    <x v="5"/>
    <d v="1899-12-30T00:00:00"/>
  </r>
  <r>
    <n v="12942266"/>
    <x v="1"/>
    <x v="10"/>
    <d v="2024-09-10T00:00:00"/>
  </r>
  <r>
    <n v="12942266"/>
    <x v="0"/>
    <x v="10"/>
    <d v="1899-12-30T00:00:00"/>
  </r>
  <r>
    <n v="12942271"/>
    <x v="1"/>
    <x v="10"/>
    <d v="1899-12-30T00:00:00"/>
  </r>
  <r>
    <n v="12942271"/>
    <x v="0"/>
    <x v="10"/>
    <d v="1899-12-30T00:00:00"/>
  </r>
  <r>
    <n v="13066431"/>
    <x v="1"/>
    <x v="11"/>
    <d v="1899-12-30T00:00:00"/>
  </r>
  <r>
    <n v="13066431"/>
    <x v="0"/>
    <x v="12"/>
    <d v="1899-12-30T00:00:00"/>
  </r>
  <r>
    <n v="13088591"/>
    <x v="1"/>
    <x v="4"/>
    <d v="1899-12-30T00:00:00"/>
  </r>
  <r>
    <n v="13117151"/>
    <x v="1"/>
    <x v="10"/>
    <d v="1899-12-30T00:00:00"/>
  </r>
  <r>
    <n v="13147882"/>
    <x v="1"/>
    <x v="10"/>
    <d v="1899-12-30T00:00:00"/>
  </r>
  <r>
    <n v="13147882"/>
    <x v="0"/>
    <x v="10"/>
    <d v="1899-12-30T00:00:00"/>
  </r>
  <r>
    <n v="13148021"/>
    <x v="1"/>
    <x v="13"/>
    <d v="1899-12-30T00:00:00"/>
  </r>
  <r>
    <n v="13148104"/>
    <x v="1"/>
    <x v="10"/>
    <d v="1899-12-30T00:00:00"/>
  </r>
  <r>
    <n v="13151029"/>
    <x v="1"/>
    <x v="14"/>
    <d v="2024-08-29T00:00:00"/>
  </r>
  <r>
    <n v="13151293"/>
    <x v="1"/>
    <x v="5"/>
    <d v="1899-12-30T00:00:00"/>
  </r>
  <r>
    <n v="13151293"/>
    <x v="0"/>
    <x v="15"/>
    <d v="1899-12-30T00:00:00"/>
  </r>
  <r>
    <n v="13153843"/>
    <x v="1"/>
    <x v="13"/>
    <d v="1899-12-30T00:00:00"/>
  </r>
  <r>
    <n v="13153851"/>
    <x v="1"/>
    <x v="13"/>
    <d v="1899-12-30T00:00:00"/>
  </r>
  <r>
    <n v="13153857"/>
    <x v="1"/>
    <x v="14"/>
    <d v="2024-08-29T00:00:00"/>
  </r>
  <r>
    <n v="13153883"/>
    <x v="1"/>
    <x v="14"/>
    <d v="2024-08-29T00:00:00"/>
  </r>
  <r>
    <n v="13153903"/>
    <x v="1"/>
    <x v="6"/>
    <d v="2024-09-18T00:00:00"/>
  </r>
  <r>
    <n v="13208634"/>
    <x v="1"/>
    <x v="6"/>
    <d v="2024-09-18T00:00:00"/>
  </r>
  <r>
    <n v="13334991"/>
    <x v="0"/>
    <x v="16"/>
    <d v="1899-12-30T00:00:00"/>
  </r>
  <r>
    <n v="14737918"/>
    <x v="1"/>
    <x v="17"/>
    <d v="1899-12-30T00:00:00"/>
  </r>
  <r>
    <n v="14737918"/>
    <x v="0"/>
    <x v="18"/>
    <d v="1899-12-30T00:00:00"/>
  </r>
  <r>
    <n v="13370665"/>
    <x v="0"/>
    <x v="9"/>
    <d v="1899-12-30T00:00:00"/>
  </r>
  <r>
    <n v="13370665"/>
    <x v="0"/>
    <x v="16"/>
    <d v="1899-12-30T00:00:00"/>
  </r>
  <r>
    <n v="13371135"/>
    <x v="1"/>
    <x v="16"/>
    <d v="1899-12-30T00:00:00"/>
  </r>
  <r>
    <n v="13751560"/>
    <x v="1"/>
    <x v="19"/>
    <d v="1899-12-30T00:00:00"/>
  </r>
  <r>
    <n v="13751560"/>
    <x v="0"/>
    <x v="19"/>
    <d v="1899-12-30T00:00:00"/>
  </r>
  <r>
    <n v="14026935"/>
    <x v="1"/>
    <x v="19"/>
    <d v="1899-12-30T00:00:00"/>
  </r>
  <r>
    <n v="14026935"/>
    <x v="0"/>
    <x v="19"/>
    <d v="1899-12-30T00:00:00"/>
  </r>
  <r>
    <n v="13371135"/>
    <x v="0"/>
    <x v="16"/>
    <d v="1899-12-30T00:00:00"/>
  </r>
  <r>
    <n v="13377807"/>
    <x v="1"/>
    <x v="19"/>
    <d v="2024-09-04T00:00:00"/>
  </r>
  <r>
    <n v="13377818"/>
    <x v="1"/>
    <x v="14"/>
    <d v="2024-08-29T00:00:00"/>
  </r>
  <r>
    <n v="13389252"/>
    <x v="1"/>
    <x v="20"/>
    <d v="2024-08-31T00:00:00"/>
  </r>
  <r>
    <n v="13389252"/>
    <x v="0"/>
    <x v="2"/>
    <d v="1899-12-30T00:00:00"/>
  </r>
  <r>
    <n v="14578077"/>
    <x v="1"/>
    <x v="14"/>
    <d v="2024-08-21T00:00:00"/>
  </r>
  <r>
    <n v="14578077"/>
    <x v="0"/>
    <x v="21"/>
    <d v="2024-09-18T00:00:00"/>
  </r>
  <r>
    <n v="13389810"/>
    <x v="1"/>
    <x v="2"/>
    <d v="2024-09-09T00:00:00"/>
  </r>
  <r>
    <n v="13389810"/>
    <x v="0"/>
    <x v="2"/>
    <d v="1899-12-30T00:00:00"/>
  </r>
  <r>
    <n v="14792929"/>
    <x v="1"/>
    <x v="19"/>
    <d v="1899-12-30T00:00:00"/>
  </r>
  <r>
    <n v="14792929"/>
    <x v="0"/>
    <x v="19"/>
    <d v="1899-12-30T00:00:00"/>
  </r>
  <r>
    <n v="13424248"/>
    <x v="1"/>
    <x v="22"/>
    <d v="2024-08-05T00:00:00"/>
  </r>
  <r>
    <n v="13424248"/>
    <x v="0"/>
    <x v="0"/>
    <d v="2024-08-30T00:00:00"/>
  </r>
  <r>
    <n v="13444612"/>
    <x v="1"/>
    <x v="5"/>
    <d v="1899-12-30T00:00:00"/>
  </r>
  <r>
    <n v="13530028"/>
    <x v="1"/>
    <x v="9"/>
    <d v="1899-12-30T00:00:00"/>
  </r>
  <r>
    <n v="13532541"/>
    <x v="1"/>
    <x v="16"/>
    <d v="1899-12-30T00:00:00"/>
  </r>
  <r>
    <n v="14118978"/>
    <x v="2"/>
    <x v="21"/>
    <d v="2024-09-09T00:00:00"/>
  </r>
  <r>
    <n v="13543919"/>
    <x v="1"/>
    <x v="8"/>
    <d v="1899-12-30T00:00:00"/>
  </r>
  <r>
    <n v="13543919"/>
    <x v="0"/>
    <x v="23"/>
    <d v="1899-12-30T00:00:00"/>
  </r>
  <r>
    <n v="13579065"/>
    <x v="1"/>
    <x v="24"/>
    <d v="2024-09-09T00:00:00"/>
  </r>
  <r>
    <n v="13579065"/>
    <x v="0"/>
    <x v="24"/>
    <d v="2024-09-11T00:00:00"/>
  </r>
  <r>
    <n v="13608762"/>
    <x v="1"/>
    <x v="13"/>
    <d v="1899-12-30T00:00:00"/>
  </r>
  <r>
    <n v="13665891"/>
    <x v="1"/>
    <x v="25"/>
    <d v="1899-12-30T00:00:00"/>
  </r>
  <r>
    <n v="13665944"/>
    <x v="1"/>
    <x v="26"/>
    <d v="2024-09-16T00:00:00"/>
  </r>
  <r>
    <n v="13334991"/>
    <x v="1"/>
    <x v="24"/>
    <d v="1899-12-30T00:00:00"/>
  </r>
  <r>
    <n v="13665944"/>
    <x v="0"/>
    <x v="27"/>
    <d v="1899-12-30T00:00:00"/>
  </r>
  <r>
    <n v="13665988"/>
    <x v="1"/>
    <x v="28"/>
    <d v="1899-12-30T00:00:00"/>
  </r>
  <r>
    <n v="13665988"/>
    <x v="0"/>
    <x v="12"/>
    <d v="1899-12-30T00:00:00"/>
  </r>
  <r>
    <n v="13718960"/>
    <x v="1"/>
    <x v="25"/>
    <d v="1899-12-30T00:00:00"/>
  </r>
  <r>
    <n v="13743222"/>
    <x v="2"/>
    <x v="29"/>
    <d v="2024-09-09T00:00:00"/>
  </r>
  <r>
    <n v="13358711"/>
    <x v="1"/>
    <x v="16"/>
    <d v="1899-12-30T00:00:00"/>
  </r>
  <r>
    <n v="13743222"/>
    <x v="0"/>
    <x v="29"/>
    <d v="1899-12-30T00:00:00"/>
  </r>
  <r>
    <n v="13751560"/>
    <x v="1"/>
    <x v="30"/>
    <d v="1899-12-30T00:00:00"/>
  </r>
  <r>
    <n v="13779220"/>
    <x v="1"/>
    <x v="31"/>
    <d v="1899-12-30T00:00:00"/>
  </r>
  <r>
    <n v="13850037"/>
    <x v="1"/>
    <x v="8"/>
    <d v="1899-12-30T00:00:00"/>
  </r>
  <r>
    <n v="13850037"/>
    <x v="0"/>
    <x v="23"/>
    <d v="1899-12-30T00:00:00"/>
  </r>
  <r>
    <n v="13868570"/>
    <x v="1"/>
    <x v="8"/>
    <d v="2024-09-09T00:00:00"/>
  </r>
  <r>
    <n v="14026935"/>
    <x v="0"/>
    <x v="30"/>
    <d v="1899-12-30T00:00:00"/>
  </r>
  <r>
    <n v="14063837"/>
    <x v="1"/>
    <x v="5"/>
    <d v="1899-12-30T00:00:00"/>
  </r>
  <r>
    <n v="14114528"/>
    <x v="1"/>
    <x v="19"/>
    <d v="2024-09-07T00:00:00"/>
  </r>
  <r>
    <n v="14114589"/>
    <x v="1"/>
    <x v="10"/>
    <d v="1899-12-30T00:00:00"/>
  </r>
  <r>
    <n v="14114589"/>
    <x v="0"/>
    <x v="10"/>
    <d v="1899-12-30T00:00:00"/>
  </r>
  <r>
    <n v="14114621"/>
    <x v="1"/>
    <x v="8"/>
    <d v="1899-12-30T00:00:00"/>
  </r>
  <r>
    <n v="14127834"/>
    <x v="1"/>
    <x v="8"/>
    <d v="1899-12-30T00:00:00"/>
  </r>
  <r>
    <n v="14127834"/>
    <x v="0"/>
    <x v="23"/>
    <d v="1899-12-30T00:00:00"/>
  </r>
  <r>
    <n v="14135946"/>
    <x v="1"/>
    <x v="32"/>
    <d v="1899-12-30T00:00:00"/>
  </r>
  <r>
    <n v="14135946"/>
    <x v="0"/>
    <x v="16"/>
    <d v="1899-12-30T00:00:00"/>
  </r>
  <r>
    <n v="14135947"/>
    <x v="1"/>
    <x v="32"/>
    <d v="1899-12-30T00:00:00"/>
  </r>
  <r>
    <n v="14135947"/>
    <x v="0"/>
    <x v="16"/>
    <d v="1899-12-30T00:00:00"/>
  </r>
  <r>
    <n v="14218829"/>
    <x v="1"/>
    <x v="16"/>
    <d v="1899-12-30T00:00:00"/>
  </r>
  <r>
    <n v="14329073"/>
    <x v="1"/>
    <x v="25"/>
    <d v="1899-12-30T00:00:00"/>
  </r>
  <r>
    <n v="14329077"/>
    <x v="1"/>
    <x v="18"/>
    <d v="1899-12-30T00:00:00"/>
  </r>
  <r>
    <n v="14345946"/>
    <x v="1"/>
    <x v="10"/>
    <d v="1899-12-30T00:00:00"/>
  </r>
  <r>
    <n v="14345946"/>
    <x v="0"/>
    <x v="9"/>
    <d v="1899-12-30T00:00:00"/>
  </r>
  <r>
    <n v="14363879"/>
    <x v="1"/>
    <x v="9"/>
    <d v="1899-12-30T00:00:00"/>
  </r>
  <r>
    <n v="14363879"/>
    <x v="0"/>
    <x v="9"/>
    <d v="1899-12-30T00:00:00"/>
  </r>
  <r>
    <n v="14364440"/>
    <x v="1"/>
    <x v="5"/>
    <d v="1899-12-30T00:00:00"/>
  </r>
  <r>
    <n v="14364440"/>
    <x v="0"/>
    <x v="15"/>
    <d v="1899-12-30T00:00:00"/>
  </r>
  <r>
    <n v="14364545"/>
    <x v="1"/>
    <x v="10"/>
    <d v="1899-12-30T00:00:00"/>
  </r>
  <r>
    <n v="14364545"/>
    <x v="0"/>
    <x v="10"/>
    <d v="1899-12-30T00:00:00"/>
  </r>
  <r>
    <n v="14364578"/>
    <x v="1"/>
    <x v="10"/>
    <d v="1899-12-30T00:00:00"/>
  </r>
  <r>
    <n v="14364578"/>
    <x v="0"/>
    <x v="10"/>
    <d v="1899-12-30T00:00:00"/>
  </r>
  <r>
    <n v="14395198"/>
    <x v="1"/>
    <x v="33"/>
    <d v="1899-12-30T00:00:00"/>
  </r>
  <r>
    <n v="14428693"/>
    <x v="1"/>
    <x v="33"/>
    <d v="1899-12-30T00:00:00"/>
  </r>
  <r>
    <n v="14447513"/>
    <x v="1"/>
    <x v="5"/>
    <d v="1899-12-30T00:00:00"/>
  </r>
  <r>
    <n v="14447513"/>
    <x v="0"/>
    <x v="16"/>
    <d v="1899-12-30T00:00:00"/>
  </r>
  <r>
    <n v="14447515"/>
    <x v="1"/>
    <x v="28"/>
    <d v="1899-12-30T00:00:00"/>
  </r>
  <r>
    <n v="14447515"/>
    <x v="0"/>
    <x v="12"/>
    <d v="1899-12-30T00:00:00"/>
  </r>
  <r>
    <n v="14447516"/>
    <x v="1"/>
    <x v="10"/>
    <d v="1899-12-30T00:00:00"/>
  </r>
  <r>
    <n v="14447516"/>
    <x v="0"/>
    <x v="10"/>
    <d v="1899-12-30T00:00:00"/>
  </r>
  <r>
    <n v="14447518"/>
    <x v="1"/>
    <x v="9"/>
    <d v="1899-12-30T00:00:00"/>
  </r>
  <r>
    <n v="14447518"/>
    <x v="0"/>
    <x v="18"/>
    <d v="1899-12-30T00:00:00"/>
  </r>
  <r>
    <n v="14447525"/>
    <x v="1"/>
    <x v="5"/>
    <d v="1899-12-30T00:00:00"/>
  </r>
  <r>
    <n v="14447585"/>
    <x v="1"/>
    <x v="9"/>
    <d v="1899-12-30T00:00:00"/>
  </r>
  <r>
    <n v="14447585"/>
    <x v="0"/>
    <x v="16"/>
    <d v="1899-12-30T00:00:00"/>
  </r>
  <r>
    <n v="14447586"/>
    <x v="1"/>
    <x v="8"/>
    <d v="1899-12-30T00:00:00"/>
  </r>
  <r>
    <n v="14447587"/>
    <x v="1"/>
    <x v="30"/>
    <d v="1899-12-30T00:00:00"/>
  </r>
  <r>
    <n v="14447590"/>
    <x v="1"/>
    <x v="34"/>
    <d v="1899-12-30T00:00:00"/>
  </r>
  <r>
    <n v="14447593"/>
    <x v="1"/>
    <x v="35"/>
    <d v="1899-12-30T00:00:00"/>
  </r>
  <r>
    <n v="14447594"/>
    <x v="1"/>
    <x v="36"/>
    <d v="1899-12-30T00:00:00"/>
  </r>
  <r>
    <n v="14528143"/>
    <x v="1"/>
    <x v="9"/>
    <d v="1899-12-30T00:00:00"/>
  </r>
  <r>
    <n v="14581908"/>
    <x v="1"/>
    <x v="6"/>
    <d v="2024-09-18T00:00:00"/>
  </r>
  <r>
    <n v="14581909"/>
    <x v="1"/>
    <x v="8"/>
    <d v="2024-08-30T00:00:00"/>
  </r>
  <r>
    <n v="14581909"/>
    <x v="0"/>
    <x v="8"/>
    <d v="1899-12-30T00:00:00"/>
  </r>
  <r>
    <n v="14581916"/>
    <x v="1"/>
    <x v="37"/>
    <d v="2024-08-30T00:00:00"/>
  </r>
  <r>
    <n v="14581916"/>
    <x v="0"/>
    <x v="37"/>
    <d v="1899-12-30T00:00:00"/>
  </r>
  <r>
    <n v="14578879"/>
    <x v="1"/>
    <x v="38"/>
    <d v="2024-08-26T00:00:00"/>
  </r>
  <r>
    <n v="14578879"/>
    <x v="0"/>
    <x v="26"/>
    <d v="2024-09-23T00:00:00"/>
  </r>
  <r>
    <n v="13151029"/>
    <x v="0"/>
    <x v="39"/>
    <d v="1899-12-30T00:00:00"/>
  </r>
  <r>
    <n v="13153857"/>
    <x v="0"/>
    <x v="8"/>
    <d v="1899-12-30T00:00:00"/>
  </r>
  <r>
    <n v="14329073"/>
    <x v="0"/>
    <x v="40"/>
    <d v="1899-12-30T00:00:00"/>
  </r>
  <r>
    <n v="14578102"/>
    <x v="1"/>
    <x v="41"/>
    <d v="2024-08-24T00:00:00"/>
  </r>
  <r>
    <n v="14578102"/>
    <x v="0"/>
    <x v="41"/>
    <d v="1899-12-30T00:00:00"/>
  </r>
  <r>
    <n v="14578099"/>
    <x v="1"/>
    <x v="42"/>
    <d v="2024-09-04T00:00:00"/>
  </r>
  <r>
    <n v="14578099"/>
    <x v="0"/>
    <x v="43"/>
    <d v="1899-12-30T00:00:00"/>
  </r>
  <r>
    <n v="13047716"/>
    <x v="1"/>
    <x v="26"/>
    <d v="1899-12-30T00:00:00"/>
  </r>
  <r>
    <n v="13047716"/>
    <x v="0"/>
    <x v="3"/>
    <d v="1899-12-30T00:00:00"/>
  </r>
  <r>
    <n v="14433401"/>
    <x v="1"/>
    <x v="5"/>
    <d v="1899-12-30T00:00:00"/>
  </r>
  <r>
    <n v="14433414"/>
    <x v="1"/>
    <x v="5"/>
    <d v="1899-12-30T00:00:00"/>
  </r>
  <r>
    <n v="14447525"/>
    <x v="0"/>
    <x v="23"/>
    <d v="1899-12-30T00:00:00"/>
  </r>
  <r>
    <n v="14118970"/>
    <x v="2"/>
    <x v="28"/>
    <d v="2024-09-09T00:00:00"/>
  </r>
  <r>
    <n v="14118970"/>
    <x v="0"/>
    <x v="28"/>
    <d v="2024-09-13T00:00:00"/>
  </r>
  <r>
    <n v="14329077"/>
    <x v="0"/>
    <x v="44"/>
    <d v="1899-12-30T00:00:00"/>
  </r>
  <r>
    <n v="14447590"/>
    <x v="0"/>
    <x v="45"/>
    <d v="1899-12-30T00:00:00"/>
  </r>
  <r>
    <n v="12541182"/>
    <x v="0"/>
    <x v="16"/>
    <d v="1899-12-30T00:00:00"/>
  </r>
  <r>
    <n v="13208634"/>
    <x v="0"/>
    <x v="16"/>
    <d v="1899-12-30T00:00:00"/>
  </r>
  <r>
    <n v="14447594"/>
    <x v="0"/>
    <x v="8"/>
    <d v="1899-12-30T00:00:00"/>
  </r>
  <r>
    <n v="14447593"/>
    <x v="0"/>
    <x v="46"/>
    <d v="1899-12-30T00:00:00"/>
  </r>
  <r>
    <n v="12748925"/>
    <x v="0"/>
    <x v="23"/>
    <d v="1899-12-30T00:00:00"/>
  </r>
  <r>
    <n v="14528143"/>
    <x v="0"/>
    <x v="23"/>
    <d v="1899-12-30T00:00:00"/>
  </r>
  <r>
    <n v="12874577"/>
    <x v="1"/>
    <x v="4"/>
    <d v="1899-12-30T00:00:00"/>
  </r>
  <r>
    <n v="14579642"/>
    <x v="0"/>
    <x v="43"/>
    <d v="2024-09-18T00:00:00"/>
  </r>
  <r>
    <n v="14578104"/>
    <x v="1"/>
    <x v="47"/>
    <d v="2024-08-23T00:00:00"/>
  </r>
  <r>
    <n v="14578104"/>
    <x v="0"/>
    <x v="48"/>
    <d v="2024-10-01T00:00:00"/>
  </r>
  <r>
    <n v="14581923"/>
    <x v="1"/>
    <x v="49"/>
    <d v="2024-08-25T00:00:00"/>
  </r>
  <r>
    <n v="14581923"/>
    <x v="0"/>
    <x v="49"/>
    <d v="2024-09-18T00:00:00"/>
  </r>
  <r>
    <n v="14584870"/>
    <x v="1"/>
    <x v="21"/>
    <d v="2024-09-11T00:00:00"/>
  </r>
  <r>
    <n v="14584870"/>
    <x v="0"/>
    <x v="50"/>
    <d v="1899-12-30T00:00:00"/>
  </r>
  <r>
    <n v="14433414"/>
    <x v="0"/>
    <x v="51"/>
    <d v="1899-12-30T00:00:00"/>
  </r>
  <r>
    <n v="12734184"/>
    <x v="0"/>
    <x v="52"/>
    <d v="1899-12-30T00:00:00"/>
  </r>
  <r>
    <n v="12582027"/>
    <x v="0"/>
    <x v="2"/>
    <d v="1899-12-30T00:00:00"/>
  </r>
  <r>
    <n v="13153883"/>
    <x v="0"/>
    <x v="8"/>
    <d v="1899-12-30T00:00:00"/>
  </r>
  <r>
    <n v="13377818"/>
    <x v="0"/>
    <x v="8"/>
    <d v="1899-12-30T00:00:00"/>
  </r>
  <r>
    <n v="13444612"/>
    <x v="0"/>
    <x v="53"/>
    <d v="1899-12-30T00:00:00"/>
  </r>
  <r>
    <n v="12874577"/>
    <x v="0"/>
    <x v="16"/>
    <d v="1899-12-30T00:00:00"/>
  </r>
  <r>
    <n v="13751560"/>
    <x v="0"/>
    <x v="54"/>
    <d v="1899-12-30T00:00:00"/>
  </r>
  <r>
    <n v="14447587"/>
    <x v="0"/>
    <x v="54"/>
    <d v="1899-12-30T00:00:00"/>
  </r>
  <r>
    <n v="14581908"/>
    <x v="0"/>
    <x v="25"/>
    <d v="1899-12-30T00:00:00"/>
  </r>
  <r>
    <n v="13153903"/>
    <x v="0"/>
    <x v="16"/>
    <d v="1899-12-30T00:00:00"/>
  </r>
  <r>
    <n v="13718960"/>
    <x v="0"/>
    <x v="40"/>
    <d v="1899-12-30T00:00:00"/>
  </r>
  <r>
    <n v="12295210"/>
    <x v="0"/>
    <x v="15"/>
    <d v="1899-12-30T00:00:00"/>
  </r>
  <r>
    <n v="13088591"/>
    <x v="0"/>
    <x v="15"/>
    <d v="1899-12-30T00:00:00"/>
  </r>
  <r>
    <n v="13148021"/>
    <x v="0"/>
    <x v="55"/>
    <d v="1899-12-30T00:00:00"/>
  </r>
  <r>
    <n v="13153843"/>
    <x v="0"/>
    <x v="55"/>
    <d v="1899-12-30T00:00:00"/>
  </r>
  <r>
    <n v="13153851"/>
    <x v="0"/>
    <x v="55"/>
    <d v="1899-12-30T00:00:00"/>
  </r>
  <r>
    <n v="13608762"/>
    <x v="0"/>
    <x v="55"/>
    <d v="2024-09-06T00:00:00"/>
  </r>
  <r>
    <n v="12363191"/>
    <x v="1"/>
    <x v="56"/>
    <d v="2024-08-22T00:00:00"/>
  </r>
  <r>
    <n v="13064164"/>
    <x v="1"/>
    <x v="57"/>
    <d v="1899-12-30T00:00:00"/>
  </r>
  <r>
    <n v="13895158"/>
    <x v="0"/>
    <x v="16"/>
    <d v="1899-12-30T00:00:00"/>
  </r>
  <r>
    <n v="13274796"/>
    <x v="0"/>
    <x v="0"/>
    <d v="2024-08-30T00:00:00"/>
  </r>
  <r>
    <n v="13337002"/>
    <x v="1"/>
    <x v="48"/>
    <d v="2024-09-23T00:00:00"/>
  </r>
  <r>
    <n v="13471498"/>
    <x v="1"/>
    <x v="48"/>
    <d v="2024-09-24T00:00:00"/>
  </r>
  <r>
    <n v="13514281"/>
    <x v="1"/>
    <x v="58"/>
    <d v="2024-10-18T00:00:00"/>
  </r>
  <r>
    <n v="13543932"/>
    <x v="1"/>
    <x v="48"/>
    <d v="2024-09-23T00:00:00"/>
  </r>
  <r>
    <n v="13895158"/>
    <x v="1"/>
    <x v="57"/>
    <d v="1899-12-30T00:00:00"/>
  </r>
  <r>
    <n v="14106681"/>
    <x v="1"/>
    <x v="20"/>
    <d v="2024-09-09T00:00:00"/>
  </r>
  <r>
    <n v="14106681"/>
    <x v="0"/>
    <x v="0"/>
    <d v="2024-08-30T00:00:00"/>
  </r>
  <r>
    <n v="14160848"/>
    <x v="1"/>
    <x v="48"/>
    <d v="2024-09-23T00:00:00"/>
  </r>
  <r>
    <n v="14186651"/>
    <x v="1"/>
    <x v="59"/>
    <d v="2024-08-03T00:00:00"/>
  </r>
  <r>
    <n v="14186651"/>
    <x v="0"/>
    <x v="14"/>
    <d v="2024-08-29T00:00:00"/>
  </r>
  <r>
    <n v="14328642"/>
    <x v="1"/>
    <x v="5"/>
    <d v="1899-12-30T00:00:00"/>
  </r>
  <r>
    <n v="14370434"/>
    <x v="0"/>
    <x v="23"/>
    <d v="1899-12-30T00:00:00"/>
  </r>
  <r>
    <n v="14447583"/>
    <x v="1"/>
    <x v="28"/>
    <d v="2024-09-20T00:00:00"/>
  </r>
  <r>
    <n v="14447583"/>
    <x v="0"/>
    <x v="60"/>
    <d v="1899-12-30T00:00:00"/>
  </r>
  <r>
    <n v="14632279"/>
    <x v="3"/>
    <x v="0"/>
    <d v="2024-09-10T00:00:00"/>
  </r>
  <r>
    <n v="13337002"/>
    <x v="0"/>
    <x v="61"/>
    <s v="NA"/>
  </r>
  <r>
    <n v="13543932"/>
    <x v="0"/>
    <x v="61"/>
    <s v="NA"/>
  </r>
  <r>
    <n v="14160848"/>
    <x v="0"/>
    <x v="61"/>
    <s v="NA"/>
  </r>
  <r>
    <n v="13471498"/>
    <x v="0"/>
    <x v="23"/>
    <d v="1899-12-30T00:00:00"/>
  </r>
  <r>
    <n v="14370434"/>
    <x v="1"/>
    <x v="48"/>
    <d v="2024-09-23T00:00:00"/>
  </r>
  <r>
    <n v="12363191"/>
    <x v="0"/>
    <x v="62"/>
    <d v="1899-12-30T00:00:00"/>
  </r>
  <r>
    <n v="14658135"/>
    <x v="3"/>
    <x v="62"/>
    <d v="1899-12-30T00:00:00"/>
  </r>
  <r>
    <n v="13064164"/>
    <x v="0"/>
    <x v="63"/>
    <d v="1899-12-30T00:00:00"/>
  </r>
  <r>
    <n v="14704682"/>
    <x v="4"/>
    <x v="62"/>
    <d v="1899-12-30T00:00:00"/>
  </r>
  <r>
    <n v="14328642"/>
    <x v="0"/>
    <x v="18"/>
    <d v="1899-12-30T00:00:00"/>
  </r>
  <r>
    <n v="14135953"/>
    <x v="0"/>
    <x v="31"/>
    <d v="1899-12-30T00:00:00"/>
  </r>
  <r>
    <n v="13117151"/>
    <x v="0"/>
    <x v="10"/>
    <d v="1899-12-30T00:00:00"/>
  </r>
  <r>
    <n v="13530028"/>
    <x v="0"/>
    <x v="9"/>
    <d v="1899-12-30T00:00:00"/>
  </r>
  <r>
    <n v="14433401"/>
    <x v="0"/>
    <x v="51"/>
    <d v="1899-12-30T00:00:00"/>
  </r>
  <r>
    <n v="12450880"/>
    <x v="0"/>
    <x v="64"/>
    <d v="1899-12-30T00:00:00"/>
  </r>
  <r>
    <n v="12778031"/>
    <x v="0"/>
    <x v="10"/>
    <d v="1899-12-30T00:00:00"/>
  </r>
  <r>
    <n v="12878180"/>
    <x v="0"/>
    <x v="64"/>
    <d v="1899-12-30T00:00:00"/>
  </r>
  <r>
    <n v="13148104"/>
    <x v="0"/>
    <x v="19"/>
    <d v="1899-12-30T00:00:00"/>
  </r>
  <r>
    <n v="13532541"/>
    <x v="0"/>
    <x v="16"/>
    <d v="1899-12-30T00:00:00"/>
  </r>
  <r>
    <n v="13665891"/>
    <x v="0"/>
    <x v="25"/>
    <d v="1899-12-30T00:00:00"/>
  </r>
  <r>
    <n v="13868570"/>
    <x v="0"/>
    <x v="8"/>
    <d v="2024-09-09T00:00:00"/>
  </r>
  <r>
    <n v="14063837"/>
    <x v="0"/>
    <x v="64"/>
    <d v="1899-12-30T00:00:00"/>
  </r>
  <r>
    <n v="14447586"/>
    <x v="0"/>
    <x v="8"/>
    <d v="1899-12-30T00:00:00"/>
  </r>
  <r>
    <n v="14119014"/>
    <x v="2"/>
    <x v="28"/>
    <d v="2024-09-09T00:00:00"/>
  </r>
  <r>
    <n v="14119014"/>
    <x v="0"/>
    <x v="28"/>
    <d v="2024-09-09T00:00:00"/>
  </r>
  <r>
    <n v="11094346"/>
    <x v="0"/>
    <x v="3"/>
    <d v="1899-12-30T00:00:00"/>
  </r>
  <r>
    <n v="13377807"/>
    <x v="0"/>
    <x v="19"/>
    <d v="2024-09-04T00:00:00"/>
  </r>
  <r>
    <n v="14118978"/>
    <x v="0"/>
    <x v="21"/>
    <d v="2024-09-09T00:00:00"/>
  </r>
  <r>
    <n v="13779220"/>
    <x v="0"/>
    <x v="65"/>
    <d v="1899-12-30T00:00:00"/>
  </r>
  <r>
    <n v="14114528"/>
    <x v="0"/>
    <x v="19"/>
    <d v="2024-09-07T00:00:00"/>
  </r>
  <r>
    <n v="14114621"/>
    <x v="0"/>
    <x v="8"/>
    <d v="1899-12-30T00:00:00"/>
  </r>
  <r>
    <n v="14218829"/>
    <x v="0"/>
    <x v="16"/>
    <d v="1899-12-30T00:00:00"/>
  </r>
  <r>
    <n v="14395198"/>
    <x v="0"/>
    <x v="3"/>
    <d v="1899-12-30T00:00:00"/>
  </r>
  <r>
    <n v="14428693"/>
    <x v="0"/>
    <x v="3"/>
    <d v="1899-12-30T00:00:00"/>
  </r>
  <r>
    <n v="14579642"/>
    <x v="1"/>
    <x v="43"/>
    <d v="2024-08-26T00:00:00"/>
  </r>
  <r>
    <n v="13274796"/>
    <x v="2"/>
    <x v="0"/>
    <d v="2024-09-04T00:00:00"/>
  </r>
  <r>
    <n v="13377821"/>
    <x v="1"/>
    <x v="19"/>
    <d v="2024-09-07T00:00:00"/>
  </r>
  <r>
    <n v="13377821"/>
    <x v="0"/>
    <x v="19"/>
    <d v="2024-09-07T00:00:00"/>
  </r>
  <r>
    <n v="14042361"/>
    <x v="3"/>
    <x v="31"/>
    <d v="1899-12-30T00:00:00"/>
  </r>
  <r>
    <n v="14369529"/>
    <x v="5"/>
    <x v="21"/>
    <d v="2024-09-09T00:00:00"/>
  </r>
  <r>
    <n v="13477734"/>
    <x v="5"/>
    <x v="21"/>
    <d v="2024-09-09T00:00:00"/>
  </r>
  <r>
    <n v="13480513"/>
    <x v="5"/>
    <x v="66"/>
    <d v="2024-09-07T00:00:00"/>
  </r>
  <r>
    <n v="14415486"/>
    <x v="5"/>
    <x v="21"/>
    <d v="2024-09-09T00:00:00"/>
  </r>
  <r>
    <n v="13186012"/>
    <x v="1"/>
    <x v="19"/>
    <d v="2024-09-09T00:00:00"/>
  </r>
  <r>
    <n v="13414130"/>
    <x v="0"/>
    <x v="67"/>
    <d v="2024-08-22T00:00:00"/>
  </r>
  <r>
    <n v="13590592"/>
    <x v="1"/>
    <x v="19"/>
    <d v="2024-09-09T00:00:00"/>
  </r>
  <r>
    <n v="14026238"/>
    <x v="0"/>
    <x v="19"/>
    <d v="2024-09-09T00:00:00"/>
  </r>
  <r>
    <n v="14186735"/>
    <x v="1"/>
    <x v="15"/>
    <d v="1899-12-30T00:00:00"/>
  </r>
  <r>
    <n v="14328635"/>
    <x v="0"/>
    <x v="19"/>
    <d v="1899-12-30T00:00:00"/>
  </r>
  <r>
    <n v="13404939"/>
    <x v="1"/>
    <x v="10"/>
    <d v="1899-12-30T00:00:00"/>
  </r>
  <r>
    <n v="14471704"/>
    <x v="1"/>
    <x v="68"/>
    <d v="2024-08-01T00:00:00"/>
  </r>
  <r>
    <n v="14521000"/>
    <x v="1"/>
    <x v="10"/>
    <s v="NA"/>
  </r>
  <r>
    <n v="14042361"/>
    <x v="4"/>
    <x v="19"/>
    <d v="1899-12-30T00:00:00"/>
  </r>
  <r>
    <n v="14369529"/>
    <x v="2"/>
    <x v="21"/>
    <d v="2024-09-09T00:00:00"/>
  </r>
  <r>
    <n v="13477734"/>
    <x v="2"/>
    <x v="21"/>
    <d v="2024-09-09T00:00:00"/>
  </r>
  <r>
    <n v="13480513"/>
    <x v="2"/>
    <x v="66"/>
    <d v="2024-09-07T00:00:00"/>
  </r>
  <r>
    <n v="14415486"/>
    <x v="2"/>
    <x v="21"/>
    <d v="2024-09-09T00:00:00"/>
  </r>
  <r>
    <n v="13186012"/>
    <x v="0"/>
    <x v="19"/>
    <d v="2024-09-09T00:00:00"/>
  </r>
  <r>
    <n v="13414130"/>
    <x v="2"/>
    <x v="21"/>
    <d v="2024-09-09T00:00:00"/>
  </r>
  <r>
    <n v="13590592"/>
    <x v="0"/>
    <x v="19"/>
    <d v="2024-09-09T00:00:00"/>
  </r>
  <r>
    <n v="14026238"/>
    <x v="1"/>
    <x v="19"/>
    <d v="2024-09-09T00:00:00"/>
  </r>
  <r>
    <n v="14186735"/>
    <x v="1"/>
    <x v="24"/>
    <d v="1899-12-30T00:00:00"/>
  </r>
  <r>
    <n v="14328635"/>
    <x v="1"/>
    <x v="19"/>
    <d v="1899-12-30T00:00:00"/>
  </r>
  <r>
    <n v="13404939"/>
    <x v="0"/>
    <x v="10"/>
    <d v="1899-12-30T00:00:00"/>
  </r>
  <r>
    <n v="14471704"/>
    <x v="0"/>
    <x v="69"/>
    <d v="2024-08-08T00:00:00"/>
  </r>
  <r>
    <n v="14521000"/>
    <x v="0"/>
    <x v="10"/>
    <s v="NA"/>
  </r>
  <r>
    <n v="14753799"/>
    <x v="0"/>
    <x v="9"/>
    <d v="1899-12-30T00:00:00"/>
  </r>
  <r>
    <n v="14672943"/>
    <x v="1"/>
    <x v="2"/>
    <d v="1899-12-30T00:00:00"/>
  </r>
  <r>
    <n v="14672943"/>
    <x v="0"/>
    <x v="2"/>
    <d v="1899-12-30T00:00:00"/>
  </r>
  <r>
    <n v="13751560"/>
    <x v="1"/>
    <x v="34"/>
    <d v="1899-12-30T00:00:00"/>
  </r>
  <r>
    <n v="13751560"/>
    <x v="0"/>
    <x v="45"/>
    <d v="1899-12-30T00:00:00"/>
  </r>
  <r>
    <n v="14655991"/>
    <x v="0"/>
    <x v="46"/>
    <d v="2024-10-01T00:00:00"/>
  </r>
  <r>
    <n v="14721405"/>
    <x v="0"/>
    <x v="70"/>
    <d v="1899-12-30T00:00:00"/>
  </r>
  <r>
    <n v="14721663"/>
    <x v="0"/>
    <x v="70"/>
    <d v="1899-12-30T00:00:00"/>
  </r>
  <r>
    <n v="13590634"/>
    <x v="0"/>
    <x v="16"/>
    <d v="1899-12-30T00:00:00"/>
  </r>
  <r>
    <n v="14846131"/>
    <x v="0"/>
    <x v="24"/>
    <d v="1899-12-30T00:00:00"/>
  </r>
  <r>
    <n v="14855733"/>
    <x v="0"/>
    <x v="25"/>
    <d v="1899-12-30T00:00:00"/>
  </r>
  <r>
    <n v="14186735"/>
    <x v="0"/>
    <x v="16"/>
    <d v="1899-12-30T00:00:00"/>
  </r>
  <r>
    <n v="14218829"/>
    <x v="0"/>
    <x v="19"/>
    <d v="1899-12-30T00:00:00"/>
  </r>
  <r>
    <n v="14858598"/>
    <x v="0"/>
    <x v="2"/>
    <d v="1899-12-30T00:00:00"/>
  </r>
  <r>
    <n v="14865132"/>
    <x v="1"/>
    <x v="9"/>
    <d v="1899-12-30T00:00:00"/>
  </r>
  <r>
    <n v="14865132"/>
    <x v="0"/>
    <x v="24"/>
    <d v="1899-12-30T00:00:00"/>
  </r>
  <r>
    <n v="14609280"/>
    <x v="0"/>
    <x v="2"/>
    <d v="1899-12-30T00:00:00"/>
  </r>
  <r>
    <n v="13079241"/>
    <x v="6"/>
    <x v="19"/>
    <d v="1899-12-30T00:00:00"/>
  </r>
  <r>
    <n v="13269831"/>
    <x v="6"/>
    <x v="19"/>
    <d v="1899-12-30T00:00:00"/>
  </r>
  <r>
    <n v="13325900"/>
    <x v="6"/>
    <x v="19"/>
    <d v="1899-12-30T00:00:00"/>
  </r>
  <r>
    <n v="13398302"/>
    <x v="6"/>
    <x v="19"/>
    <d v="1899-12-30T00:00:00"/>
  </r>
  <r>
    <n v="13703252"/>
    <x v="6"/>
    <x v="19"/>
    <d v="1899-12-30T00:00:00"/>
  </r>
  <r>
    <n v="14615781"/>
    <x v="6"/>
    <x v="19"/>
    <d v="1899-12-30T00:00:00"/>
  </r>
  <r>
    <n v="14632343"/>
    <x v="6"/>
    <x v="19"/>
    <d v="1899-12-30T00:00:00"/>
  </r>
  <r>
    <n v="14634159"/>
    <x v="6"/>
    <x v="19"/>
    <d v="1899-12-30T00:00:00"/>
  </r>
  <r>
    <n v="14724487"/>
    <x v="6"/>
    <x v="19"/>
    <d v="1899-12-30T00:00:00"/>
  </r>
  <r>
    <n v="14744133"/>
    <x v="1"/>
    <x v="19"/>
    <d v="1899-12-30T00:00:00"/>
  </r>
  <r>
    <n v="14792929"/>
    <x v="0"/>
    <x v="19"/>
    <d v="1899-12-30T00:00:00"/>
  </r>
  <r>
    <n v="14846246"/>
    <x v="1"/>
    <x v="19"/>
    <d v="1899-12-30T00:00:00"/>
  </r>
  <r>
    <n v="14846246"/>
    <x v="0"/>
    <x v="19"/>
    <d v="1899-12-30T00:00:00"/>
  </r>
  <r>
    <n v="14846247"/>
    <x v="1"/>
    <x v="19"/>
    <d v="1899-12-30T00:00:00"/>
  </r>
  <r>
    <n v="14846247"/>
    <x v="0"/>
    <x v="19"/>
    <d v="1899-12-30T00:00:00"/>
  </r>
  <r>
    <n v="14846250"/>
    <x v="6"/>
    <x v="19"/>
    <d v="1899-12-30T00:00:00"/>
  </r>
  <r>
    <n v="14860069"/>
    <x v="6"/>
    <x v="19"/>
    <d v="1899-12-30T00:00:00"/>
  </r>
  <r>
    <n v="14861427"/>
    <x v="1"/>
    <x v="19"/>
    <d v="2024-09-30T00:00:00"/>
  </r>
  <r>
    <n v="14861427"/>
    <x v="0"/>
    <x v="19"/>
    <d v="1899-12-30T00:00:00"/>
  </r>
  <r>
    <n v="14864868"/>
    <x v="6"/>
    <x v="19"/>
    <d v="1899-12-30T00:00:00"/>
  </r>
  <r>
    <n v="14869040"/>
    <x v="6"/>
    <x v="19"/>
    <d v="1899-12-30T00:00:00"/>
  </r>
  <r>
    <n v="8885160"/>
    <x v="6"/>
    <x v="19"/>
    <d v="1899-12-30T00:00:00"/>
  </r>
  <r>
    <n v="12502450"/>
    <x v="6"/>
    <x v="19"/>
    <d v="1899-12-30T00:00:00"/>
  </r>
  <r>
    <n v="12502471"/>
    <x v="6"/>
    <x v="19"/>
    <d v="1899-12-30T00:00:00"/>
  </r>
  <r>
    <n v="12502481"/>
    <x v="6"/>
    <x v="19"/>
    <d v="1899-12-30T00:00:00"/>
  </r>
  <r>
    <n v="12502483"/>
    <x v="6"/>
    <x v="19"/>
    <d v="1899-12-30T00:00:00"/>
  </r>
  <r>
    <n v="12502491"/>
    <x v="6"/>
    <x v="19"/>
    <d v="1899-12-30T00:00:00"/>
  </r>
  <r>
    <n v="12502546"/>
    <x v="6"/>
    <x v="19"/>
    <d v="1899-12-30T00:00:00"/>
  </r>
  <r>
    <n v="12502575"/>
    <x v="6"/>
    <x v="19"/>
    <d v="1899-12-30T00:00:00"/>
  </r>
  <r>
    <n v="12502631"/>
    <x v="6"/>
    <x v="19"/>
    <d v="1899-12-30T00:00:00"/>
  </r>
  <r>
    <n v="12502641"/>
    <x v="6"/>
    <x v="19"/>
    <d v="1899-12-30T00:00:00"/>
  </r>
  <r>
    <n v="12502657"/>
    <x v="6"/>
    <x v="19"/>
    <d v="1899-12-30T00:00:00"/>
  </r>
  <r>
    <n v="12502823"/>
    <x v="6"/>
    <x v="19"/>
    <d v="1899-12-30T00:00:00"/>
  </r>
  <r>
    <n v="12502831"/>
    <x v="6"/>
    <x v="19"/>
    <d v="1899-12-30T00:00:00"/>
  </r>
  <r>
    <n v="12502840"/>
    <x v="6"/>
    <x v="19"/>
    <d v="1899-12-30T00:00:00"/>
  </r>
  <r>
    <n v="12502848"/>
    <x v="6"/>
    <x v="19"/>
    <d v="1899-12-30T00:00:00"/>
  </r>
  <r>
    <n v="12502864"/>
    <x v="6"/>
    <x v="19"/>
    <d v="1899-12-30T00:00:00"/>
  </r>
  <r>
    <n v="12502877"/>
    <x v="6"/>
    <x v="19"/>
    <d v="1899-12-30T00:00:00"/>
  </r>
  <r>
    <n v="12502897"/>
    <x v="6"/>
    <x v="19"/>
    <d v="1899-12-30T00:00:00"/>
  </r>
  <r>
    <n v="12502906"/>
    <x v="6"/>
    <x v="19"/>
    <d v="1899-12-30T00:00:00"/>
  </r>
  <r>
    <n v="12502909"/>
    <x v="6"/>
    <x v="19"/>
    <d v="1899-12-30T00:00:00"/>
  </r>
  <r>
    <n v="12502934"/>
    <x v="6"/>
    <x v="19"/>
    <d v="1899-12-30T00:00:00"/>
  </r>
  <r>
    <n v="12502936"/>
    <x v="6"/>
    <x v="19"/>
    <d v="1899-12-30T00:00:00"/>
  </r>
  <r>
    <n v="12502982"/>
    <x v="6"/>
    <x v="19"/>
    <d v="1899-12-30T00:00:00"/>
  </r>
  <r>
    <n v="12933353"/>
    <x v="6"/>
    <x v="19"/>
    <d v="1899-12-30T00:00:00"/>
  </r>
  <r>
    <n v="13130251"/>
    <x v="6"/>
    <x v="19"/>
    <d v="1899-12-30T00:00:00"/>
  </r>
  <r>
    <n v="13129138"/>
    <x v="6"/>
    <x v="19"/>
    <d v="1899-12-30T00:00:00"/>
  </r>
  <r>
    <n v="13129388"/>
    <x v="6"/>
    <x v="19"/>
    <d v="1899-12-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B3AB50A-FC89-4438-B374-08AD2CC4981D}" name="PivotTable1" cacheId="2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3:K75" firstHeaderRow="1" firstDataRow="1" firstDataCol="1" rowPageCount="1" colPageCount="1"/>
  <pivotFields count="4">
    <pivotField dataField="1" showAll="0"/>
    <pivotField axis="axisPage" showAll="0">
      <items count="8">
        <item x="1"/>
        <item x="2"/>
        <item x="0"/>
        <item x="5"/>
        <item x="3"/>
        <item x="4"/>
        <item x="6"/>
        <item t="default"/>
      </items>
    </pivotField>
    <pivotField axis="axisRow" showAll="0">
      <items count="72">
        <item x="58"/>
        <item x="11"/>
        <item x="34"/>
        <item x="63"/>
        <item x="51"/>
        <item x="41"/>
        <item x="70"/>
        <item x="39"/>
        <item x="50"/>
        <item x="60"/>
        <item x="57"/>
        <item x="33"/>
        <item x="36"/>
        <item x="62"/>
        <item x="45"/>
        <item x="35"/>
        <item x="29"/>
        <item x="10"/>
        <item x="19"/>
        <item x="68"/>
        <item x="59"/>
        <item x="22"/>
        <item x="69"/>
        <item x="56"/>
        <item x="67"/>
        <item x="47"/>
        <item x="38"/>
        <item x="14"/>
        <item x="0"/>
        <item x="20"/>
        <item x="42"/>
        <item x="66"/>
        <item x="21"/>
        <item x="28"/>
        <item x="48"/>
        <item x="6"/>
        <item x="43"/>
        <item x="26"/>
        <item x="1"/>
        <item x="49"/>
        <item x="13"/>
        <item x="32"/>
        <item x="17"/>
        <item x="8"/>
        <item x="7"/>
        <item x="5"/>
        <item x="9"/>
        <item x="46"/>
        <item x="4"/>
        <item x="25"/>
        <item x="37"/>
        <item x="30"/>
        <item x="24"/>
        <item x="61"/>
        <item x="12"/>
        <item x="18"/>
        <item x="23"/>
        <item x="15"/>
        <item x="52"/>
        <item x="16"/>
        <item x="40"/>
        <item x="3"/>
        <item x="27"/>
        <item x="2"/>
        <item x="55"/>
        <item x="54"/>
        <item x="44"/>
        <item x="31"/>
        <item x="53"/>
        <item x="64"/>
        <item x="65"/>
        <item t="default"/>
      </items>
    </pivotField>
    <pivotField showAll="0"/>
  </pivotFields>
  <rowFields count="1">
    <field x="2"/>
  </rowFields>
  <rowItems count="7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t="grand">
      <x/>
    </i>
  </rowItems>
  <colItems count="1">
    <i/>
  </colItems>
  <pageFields count="1">
    <pageField fld="1" hier="-1"/>
  </pageFields>
  <dataFields count="1">
    <dataField name="Count of DCR ID - PTC" fld="0" subtotal="count" baseField="0" baseItem="0"/>
  </dataFields>
  <formats count="1">
    <format dxfId="137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6AED79-3847-4C8E-B717-DB345C12875A}" name="PivotTable2" cacheId="28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M2:O143" firstHeaderRow="0" firstDataRow="1" firstDataCol="1"/>
  <pivotFields count="9">
    <pivotField showAll="0"/>
    <pivotField dataField="1" showAll="0">
      <items count="62">
        <item x="1"/>
        <item x="4"/>
        <item x="6"/>
        <item x="7"/>
        <item x="8"/>
        <item x="5"/>
        <item x="10"/>
        <item x="11"/>
        <item x="9"/>
        <item x="3"/>
        <item x="0"/>
        <item x="2"/>
        <item x="14"/>
        <item x="36"/>
        <item x="22"/>
        <item x="38"/>
        <item x="33"/>
        <item x="44"/>
        <item x="13"/>
        <item x="24"/>
        <item x="37"/>
        <item x="26"/>
        <item x="28"/>
        <item x="30"/>
        <item x="34"/>
        <item x="31"/>
        <item x="40"/>
        <item x="39"/>
        <item x="32"/>
        <item x="47"/>
        <item x="18"/>
        <item x="55"/>
        <item x="23"/>
        <item x="35"/>
        <item x="15"/>
        <item x="60"/>
        <item x="25"/>
        <item x="17"/>
        <item x="19"/>
        <item x="59"/>
        <item x="46"/>
        <item x="45"/>
        <item x="48"/>
        <item x="41"/>
        <item x="16"/>
        <item x="42"/>
        <item x="43"/>
        <item x="53"/>
        <item x="20"/>
        <item x="29"/>
        <item x="50"/>
        <item x="51"/>
        <item x="49"/>
        <item x="52"/>
        <item x="58"/>
        <item x="56"/>
        <item x="21"/>
        <item x="54"/>
        <item x="27"/>
        <item x="57"/>
        <item x="12"/>
        <item t="default"/>
      </items>
    </pivotField>
    <pivotField dataField="1" showAll="0">
      <items count="74">
        <item x="1"/>
        <item x="6"/>
        <item x="11"/>
        <item x="12"/>
        <item x="8"/>
        <item x="16"/>
        <item x="4"/>
        <item x="9"/>
        <item x="7"/>
        <item x="10"/>
        <item x="15"/>
        <item x="5"/>
        <item x="14"/>
        <item x="0"/>
        <item x="2"/>
        <item x="13"/>
        <item x="19"/>
        <item x="71"/>
        <item x="72"/>
        <item x="64"/>
        <item x="29"/>
        <item x="41"/>
        <item x="44"/>
        <item x="43"/>
        <item x="31"/>
        <item x="46"/>
        <item x="45"/>
        <item x="42"/>
        <item x="34"/>
        <item x="35"/>
        <item x="23"/>
        <item x="47"/>
        <item x="20"/>
        <item x="48"/>
        <item x="50"/>
        <item x="26"/>
        <item x="56"/>
        <item x="53"/>
        <item x="22"/>
        <item x="54"/>
        <item x="52"/>
        <item x="38"/>
        <item x="27"/>
        <item x="49"/>
        <item x="18"/>
        <item x="51"/>
        <item x="39"/>
        <item x="36"/>
        <item x="59"/>
        <item x="40"/>
        <item x="30"/>
        <item x="28"/>
        <item x="37"/>
        <item x="70"/>
        <item x="66"/>
        <item x="67"/>
        <item x="58"/>
        <item x="32"/>
        <item x="17"/>
        <item x="60"/>
        <item x="62"/>
        <item x="55"/>
        <item x="24"/>
        <item x="33"/>
        <item x="57"/>
        <item x="61"/>
        <item x="65"/>
        <item x="63"/>
        <item x="69"/>
        <item x="25"/>
        <item x="68"/>
        <item x="21"/>
        <item x="3"/>
        <item t="default"/>
      </items>
    </pivotField>
    <pivotField showAll="0"/>
    <pivotField axis="axisRow" showAll="0">
      <items count="141">
        <item x="0"/>
        <item x="2"/>
        <item x="3"/>
        <item x="4"/>
        <item x="100"/>
        <item x="5"/>
        <item x="6"/>
        <item x="7"/>
        <item x="8"/>
        <item x="9"/>
        <item x="10"/>
        <item x="95"/>
        <item x="11"/>
        <item x="12"/>
        <item x="13"/>
        <item x="91"/>
        <item x="101"/>
        <item x="14"/>
        <item x="15"/>
        <item x="16"/>
        <item x="17"/>
        <item x="18"/>
        <item x="19"/>
        <item x="20"/>
        <item x="21"/>
        <item x="22"/>
        <item x="23"/>
        <item x="24"/>
        <item x="25"/>
        <item x="26"/>
        <item x="125"/>
        <item x="27"/>
        <item x="103"/>
        <item x="28"/>
        <item x="104"/>
        <item x="50"/>
        <item x="30"/>
        <item x="31"/>
        <item x="32"/>
        <item x="33"/>
        <item x="119"/>
        <item x="34"/>
        <item x="36"/>
        <item x="131"/>
        <item x="126"/>
        <item x="37"/>
        <item x="38"/>
        <item x="105"/>
        <item x="1"/>
        <item x="122"/>
        <item x="123"/>
        <item x="106"/>
        <item x="39"/>
        <item x="40"/>
        <item x="42"/>
        <item x="107"/>
        <item x="43"/>
        <item x="127"/>
        <item x="139"/>
        <item x="44"/>
        <item x="45"/>
        <item x="46"/>
        <item x="47"/>
        <item x="48"/>
        <item x="49"/>
        <item x="51"/>
        <item x="52"/>
        <item x="53"/>
        <item x="54"/>
        <item x="102"/>
        <item x="128"/>
        <item x="55"/>
        <item x="120"/>
        <item x="56"/>
        <item x="108"/>
        <item x="57"/>
        <item x="58"/>
        <item x="59"/>
        <item x="94"/>
        <item x="41"/>
        <item x="118"/>
        <item x="60"/>
        <item x="61"/>
        <item x="62"/>
        <item x="117"/>
        <item x="109"/>
        <item x="110"/>
        <item x="129"/>
        <item x="63"/>
        <item x="130"/>
        <item x="111"/>
        <item x="64"/>
        <item x="65"/>
        <item x="66"/>
        <item x="67"/>
        <item x="68"/>
        <item x="69"/>
        <item x="70"/>
        <item x="121"/>
        <item x="112"/>
        <item x="71"/>
        <item x="124"/>
        <item x="72"/>
        <item x="92"/>
        <item x="93"/>
        <item x="73"/>
        <item x="74"/>
        <item x="75"/>
        <item x="76"/>
        <item x="77"/>
        <item x="113"/>
        <item x="78"/>
        <item x="79"/>
        <item x="80"/>
        <item x="81"/>
        <item x="82"/>
        <item x="83"/>
        <item x="132"/>
        <item x="133"/>
        <item x="84"/>
        <item x="35"/>
        <item x="90"/>
        <item x="89"/>
        <item x="97"/>
        <item x="88"/>
        <item x="96"/>
        <item x="85"/>
        <item x="86"/>
        <item x="87"/>
        <item x="98"/>
        <item x="99"/>
        <item x="114"/>
        <item x="136"/>
        <item x="115"/>
        <item x="135"/>
        <item x="116"/>
        <item x="137"/>
        <item x="138"/>
        <item x="29"/>
        <item x="134"/>
        <item t="default"/>
      </items>
    </pivotField>
    <pivotField showAll="0"/>
    <pivotField showAll="0"/>
    <pivotField showAll="0"/>
    <pivotField showAll="0"/>
  </pivotFields>
  <rowFields count="1">
    <field x="4"/>
  </rowFields>
  <rowItems count="1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t="grand">
      <x/>
    </i>
  </rowItems>
  <colFields count="1">
    <field x="-2"/>
  </colFields>
  <colItems count="2">
    <i>
      <x/>
    </i>
    <i i="1">
      <x v="1"/>
    </i>
  </colItems>
  <dataFields count="2">
    <dataField name="Sum of Estimated Hrs" fld="2" baseField="4" baseItem="0" numFmtId="167"/>
    <dataField name="Sum of Actual Efforts (Hrs)" fld="1" baseField="4" baseItem="0" numFmtId="167"/>
  </dataFields>
  <formats count="6">
    <format dxfId="1364">
      <pivotArea outline="0" collapsedLevelsAreSubtotals="1" fieldPosition="0"/>
    </format>
    <format dxfId="1365">
      <pivotArea outline="0" collapsedLevelsAreSubtotals="1" fieldPosition="0"/>
    </format>
    <format dxfId="1366">
      <pivotArea dataOnly="0" labelOnly="1" fieldPosition="0">
        <references count="1">
          <reference field="4"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367">
      <pivotArea dataOnly="0" labelOnly="1" fieldPosition="0">
        <references count="1">
          <reference field="4"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368">
      <pivotArea dataOnly="0" labelOnly="1" fieldPosition="0">
        <references count="1">
          <reference field="4" count="4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reference>
        </references>
      </pivotArea>
    </format>
    <format dxfId="1369">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8D9ACD8-CD44-42BD-83B6-ED2CECF26EB1}" name="PivotTable1" cacheId="28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J131" firstHeaderRow="1" firstDataRow="2" firstDataCol="1"/>
  <pivotFields count="21">
    <pivotField showAll="0"/>
    <pivotField showAll="0"/>
    <pivotField showAll="0"/>
    <pivotField showAll="0"/>
    <pivotField showAll="0"/>
    <pivotField showAll="0"/>
    <pivotField showAll="0"/>
    <pivotField showAll="0"/>
    <pivotField axis="axisRow" showAll="0">
      <items count="127">
        <item x="0"/>
        <item x="1"/>
        <item x="2"/>
        <item x="95"/>
        <item x="3"/>
        <item x="4"/>
        <item x="5"/>
        <item x="6"/>
        <item x="7"/>
        <item x="8"/>
        <item x="91"/>
        <item x="9"/>
        <item x="10"/>
        <item x="11"/>
        <item x="87"/>
        <item x="96"/>
        <item x="12"/>
        <item x="13"/>
        <item x="14"/>
        <item x="15"/>
        <item x="16"/>
        <item x="17"/>
        <item x="18"/>
        <item x="19"/>
        <item x="20"/>
        <item x="21"/>
        <item x="22"/>
        <item x="23"/>
        <item x="24"/>
        <item x="112"/>
        <item x="25"/>
        <item x="110"/>
        <item x="26"/>
        <item x="97"/>
        <item x="28"/>
        <item x="29"/>
        <item x="30"/>
        <item x="111"/>
        <item x="31"/>
        <item x="33"/>
        <item x="115"/>
        <item x="122"/>
        <item x="34"/>
        <item x="35"/>
        <item x="98"/>
        <item x="119"/>
        <item x="120"/>
        <item x="99"/>
        <item x="36"/>
        <item x="37"/>
        <item x="39"/>
        <item x="100"/>
        <item x="40"/>
        <item x="113"/>
        <item x="41"/>
        <item x="42"/>
        <item x="43"/>
        <item x="44"/>
        <item x="45"/>
        <item x="46"/>
        <item x="47"/>
        <item x="48"/>
        <item x="49"/>
        <item x="50"/>
        <item x="101"/>
        <item x="123"/>
        <item x="51"/>
        <item x="52"/>
        <item x="102"/>
        <item x="53"/>
        <item x="54"/>
        <item x="55"/>
        <item x="90"/>
        <item x="38"/>
        <item x="108"/>
        <item x="56"/>
        <item x="57"/>
        <item x="58"/>
        <item x="103"/>
        <item x="104"/>
        <item x="114"/>
        <item x="59"/>
        <item x="124"/>
        <item x="105"/>
        <item x="60"/>
        <item x="61"/>
        <item x="62"/>
        <item x="63"/>
        <item x="64"/>
        <item x="65"/>
        <item x="66"/>
        <item x="118"/>
        <item x="107"/>
        <item x="67"/>
        <item x="121"/>
        <item x="68"/>
        <item x="88"/>
        <item x="89"/>
        <item x="69"/>
        <item x="70"/>
        <item x="71"/>
        <item x="72"/>
        <item x="73"/>
        <item x="106"/>
        <item x="74"/>
        <item x="75"/>
        <item x="76"/>
        <item x="77"/>
        <item x="78"/>
        <item x="79"/>
        <item x="116"/>
        <item x="117"/>
        <item x="80"/>
        <item x="32"/>
        <item x="86"/>
        <item x="85"/>
        <item x="92"/>
        <item x="84"/>
        <item x="109"/>
        <item x="81"/>
        <item x="82"/>
        <item x="83"/>
        <item x="93"/>
        <item x="94"/>
        <item x="27"/>
        <item x="125"/>
        <item t="default"/>
      </items>
    </pivotField>
    <pivotField showAll="0"/>
    <pivotField showAll="0"/>
    <pivotField showAll="0"/>
    <pivotField showAll="0"/>
    <pivotField showAll="0"/>
    <pivotField showAll="0"/>
    <pivotField axis="axisCol" dataField="1" showAll="0">
      <items count="9">
        <item x="0"/>
        <item x="3"/>
        <item x="5"/>
        <item x="4"/>
        <item x="2"/>
        <item x="6"/>
        <item x="7"/>
        <item x="1"/>
        <item t="default"/>
      </items>
    </pivotField>
    <pivotField showAll="0"/>
    <pivotField showAll="0"/>
    <pivotField showAll="0"/>
    <pivotField showAll="0"/>
    <pivotField showAll="0"/>
  </pivotFields>
  <rowFields count="1">
    <field x="8"/>
  </rowFields>
  <rowItems count="12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15"/>
  </colFields>
  <colItems count="9">
    <i>
      <x/>
    </i>
    <i>
      <x v="1"/>
    </i>
    <i>
      <x v="2"/>
    </i>
    <i>
      <x v="3"/>
    </i>
    <i>
      <x v="4"/>
    </i>
    <i>
      <x v="5"/>
    </i>
    <i>
      <x v="6"/>
    </i>
    <i>
      <x v="7"/>
    </i>
    <i t="grand">
      <x/>
    </i>
  </colItems>
  <dataFields count="1">
    <dataField name="Count of DCR Status" fld="15" subtotal="count" baseField="0" baseItem="0" numFmtId="1"/>
  </dataFields>
  <formats count="6">
    <format dxfId="1358">
      <pivotArea outline="0" collapsedLevelsAreSubtotals="1" fieldPosition="0"/>
    </format>
    <format dxfId="1359">
      <pivotArea dataOnly="0" labelOnly="1" fieldPosition="0">
        <references count="1">
          <reference field="8" count="48">
            <x v="0"/>
            <x v="1"/>
            <x v="2"/>
            <x v="3"/>
            <x v="4"/>
            <x v="5"/>
            <x v="6"/>
            <x v="7"/>
            <x v="8"/>
            <x v="9"/>
            <x v="10"/>
            <x v="11"/>
            <x v="12"/>
            <x v="13"/>
            <x v="14"/>
            <x v="15"/>
            <x v="16"/>
            <x v="17"/>
            <x v="18"/>
            <x v="19"/>
            <x v="20"/>
            <x v="21"/>
            <x v="22"/>
            <x v="23"/>
            <x v="24"/>
            <x v="25"/>
            <x v="26"/>
            <x v="27"/>
            <x v="28"/>
            <x v="29"/>
            <x v="30"/>
            <x v="31"/>
            <x v="32"/>
            <x v="33"/>
            <x v="34"/>
            <x v="35"/>
            <x v="36"/>
            <x v="37"/>
            <x v="38"/>
            <x v="39"/>
            <x v="40"/>
            <x v="41"/>
            <x v="42"/>
            <x v="43"/>
            <x v="44"/>
            <x v="45"/>
            <x v="46"/>
            <x v="47"/>
          </reference>
        </references>
      </pivotArea>
    </format>
    <format dxfId="1360">
      <pivotArea dataOnly="0" labelOnly="1" fieldPosition="0">
        <references count="1">
          <reference field="8" count="48">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reference>
        </references>
      </pivotArea>
    </format>
    <format dxfId="1361">
      <pivotArea dataOnly="0" labelOnly="1" fieldPosition="0">
        <references count="1">
          <reference field="8" count="29">
            <x v="96"/>
            <x v="97"/>
            <x v="98"/>
            <x v="99"/>
            <x v="100"/>
            <x v="101"/>
            <x v="102"/>
            <x v="103"/>
            <x v="104"/>
            <x v="105"/>
            <x v="106"/>
            <x v="107"/>
            <x v="108"/>
            <x v="109"/>
            <x v="110"/>
            <x v="111"/>
            <x v="112"/>
            <x v="113"/>
            <x v="114"/>
            <x v="115"/>
            <x v="116"/>
            <x v="117"/>
            <x v="118"/>
            <x v="119"/>
            <x v="120"/>
            <x v="121"/>
            <x v="122"/>
            <x v="123"/>
            <x v="124"/>
          </reference>
        </references>
      </pivotArea>
    </format>
    <format dxfId="1362">
      <pivotArea dataOnly="0" labelOnly="1" grandRow="1" outline="0" fieldPosition="0"/>
    </format>
    <format dxfId="1363">
      <pivotArea dataOnly="0" labelOnly="1" fieldPosition="0">
        <references count="1">
          <reference field="8" count="1">
            <x v="1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89F41AC-49EB-441D-81E2-F5074A329D9A}" name="PivotTable3" cacheId="2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4:BI97" firstHeaderRow="1" firstDataRow="2" firstDataCol="1" rowPageCount="2" colPageCount="1"/>
  <pivotFields count="65">
    <pivotField showAll="0"/>
    <pivotField showAll="0"/>
    <pivotField showAll="0"/>
    <pivotField showAll="0"/>
    <pivotField showAll="0"/>
    <pivotField showAll="0"/>
    <pivotField showAll="0"/>
    <pivotField showAll="0"/>
    <pivotField axis="axisRow" dataField="1" showAll="0">
      <items count="140">
        <item x="0"/>
        <item x="2"/>
        <item x="3"/>
        <item x="4"/>
        <item x="99"/>
        <item x="5"/>
        <item x="6"/>
        <item x="7"/>
        <item x="8"/>
        <item x="9"/>
        <item x="10"/>
        <item x="94"/>
        <item x="11"/>
        <item x="12"/>
        <item x="13"/>
        <item x="90"/>
        <item x="100"/>
        <item x="14"/>
        <item x="15"/>
        <item x="16"/>
        <item x="17"/>
        <item x="18"/>
        <item x="19"/>
        <item x="20"/>
        <item x="21"/>
        <item x="22"/>
        <item x="23"/>
        <item x="24"/>
        <item x="25"/>
        <item x="26"/>
        <item x="124"/>
        <item x="27"/>
        <item x="102"/>
        <item x="28"/>
        <item x="103"/>
        <item x="30"/>
        <item x="31"/>
        <item x="32"/>
        <item x="33"/>
        <item x="118"/>
        <item x="34"/>
        <item x="36"/>
        <item x="130"/>
        <item x="125"/>
        <item x="37"/>
        <item x="38"/>
        <item x="104"/>
        <item x="1"/>
        <item x="121"/>
        <item x="122"/>
        <item x="105"/>
        <item x="39"/>
        <item x="40"/>
        <item x="42"/>
        <item x="106"/>
        <item x="43"/>
        <item x="126"/>
        <item x="138"/>
        <item x="44"/>
        <item x="45"/>
        <item x="46"/>
        <item x="47"/>
        <item x="48"/>
        <item x="49"/>
        <item x="50"/>
        <item x="51"/>
        <item x="52"/>
        <item x="53"/>
        <item x="101"/>
        <item x="127"/>
        <item x="54"/>
        <item x="119"/>
        <item x="55"/>
        <item x="107"/>
        <item x="56"/>
        <item x="57"/>
        <item x="58"/>
        <item x="93"/>
        <item x="41"/>
        <item x="117"/>
        <item x="59"/>
        <item x="60"/>
        <item x="61"/>
        <item x="116"/>
        <item x="108"/>
        <item x="109"/>
        <item x="128"/>
        <item x="62"/>
        <item x="129"/>
        <item x="110"/>
        <item x="63"/>
        <item x="64"/>
        <item x="65"/>
        <item x="66"/>
        <item x="67"/>
        <item x="68"/>
        <item x="69"/>
        <item x="120"/>
        <item x="111"/>
        <item x="70"/>
        <item x="123"/>
        <item x="71"/>
        <item x="91"/>
        <item x="92"/>
        <item x="72"/>
        <item x="73"/>
        <item x="74"/>
        <item x="75"/>
        <item x="76"/>
        <item x="112"/>
        <item x="77"/>
        <item x="78"/>
        <item x="79"/>
        <item x="80"/>
        <item x="81"/>
        <item x="82"/>
        <item x="131"/>
        <item x="132"/>
        <item x="83"/>
        <item x="35"/>
        <item x="89"/>
        <item x="88"/>
        <item x="96"/>
        <item x="87"/>
        <item x="95"/>
        <item x="84"/>
        <item x="85"/>
        <item x="86"/>
        <item x="97"/>
        <item x="98"/>
        <item x="113"/>
        <item x="135"/>
        <item x="114"/>
        <item x="134"/>
        <item x="115"/>
        <item x="136"/>
        <item x="137"/>
        <item x="29"/>
        <item x="133"/>
        <item t="default"/>
      </items>
    </pivotField>
    <pivotField showAll="0"/>
    <pivotField showAll="0"/>
    <pivotField axis="axisPage" multipleItemSelectionAllowed="1" showAll="0">
      <items count="7">
        <item h="1" x="1"/>
        <item h="1" x="2"/>
        <item x="0"/>
        <item x="5"/>
        <item h="1" x="3"/>
        <item h="1" x="4"/>
        <item t="default"/>
      </items>
    </pivotField>
    <pivotField showAll="0"/>
    <pivotField showAll="0"/>
    <pivotField showAll="0"/>
    <pivotField axis="axisPage" multipleItemSelectionAllowed="1" showAll="0">
      <items count="9">
        <item x="1"/>
        <item h="1" x="0"/>
        <item h="1" x="5"/>
        <item x="4"/>
        <item x="3"/>
        <item h="1" x="6"/>
        <item h="1" x="7"/>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9">
        <item x="11"/>
        <item x="39"/>
        <item x="57"/>
        <item x="47"/>
        <item x="28"/>
        <item x="16"/>
        <item x="13"/>
        <item x="53"/>
        <item x="44"/>
        <item x="36"/>
        <item x="21"/>
        <item x="0"/>
        <item x="19"/>
        <item x="40"/>
        <item x="34"/>
        <item x="56"/>
        <item x="22"/>
        <item x="27"/>
        <item x="45"/>
        <item x="6"/>
        <item x="41"/>
        <item x="54"/>
        <item x="37"/>
        <item x="1"/>
        <item x="46"/>
        <item x="14"/>
        <item x="31"/>
        <item x="17"/>
        <item x="8"/>
        <item x="7"/>
        <item x="5"/>
        <item x="9"/>
        <item x="33"/>
        <item x="4"/>
        <item x="25"/>
        <item x="35"/>
        <item x="29"/>
        <item x="24"/>
        <item x="55"/>
        <item x="12"/>
        <item x="32"/>
        <item x="23"/>
        <item x="43"/>
        <item x="15"/>
        <item x="49"/>
        <item x="18"/>
        <item x="38"/>
        <item x="3"/>
        <item x="26"/>
        <item x="20"/>
        <item x="52"/>
        <item x="51"/>
        <item x="42"/>
        <item x="30"/>
        <item x="50"/>
        <item x="48"/>
        <item x="2"/>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92">
    <i>
      <x v="1"/>
    </i>
    <i>
      <x v="2"/>
    </i>
    <i>
      <x v="3"/>
    </i>
    <i>
      <x v="4"/>
    </i>
    <i>
      <x v="5"/>
    </i>
    <i>
      <x v="6"/>
    </i>
    <i>
      <x v="7"/>
    </i>
    <i>
      <x v="8"/>
    </i>
    <i>
      <x v="9"/>
    </i>
    <i>
      <x v="11"/>
    </i>
    <i>
      <x v="12"/>
    </i>
    <i>
      <x v="15"/>
    </i>
    <i>
      <x v="16"/>
    </i>
    <i>
      <x v="17"/>
    </i>
    <i>
      <x v="18"/>
    </i>
    <i>
      <x v="19"/>
    </i>
    <i>
      <x v="21"/>
    </i>
    <i>
      <x v="22"/>
    </i>
    <i>
      <x v="23"/>
    </i>
    <i>
      <x v="25"/>
    </i>
    <i>
      <x v="26"/>
    </i>
    <i>
      <x v="27"/>
    </i>
    <i>
      <x v="28"/>
    </i>
    <i>
      <x v="29"/>
    </i>
    <i>
      <x v="31"/>
    </i>
    <i>
      <x v="33"/>
    </i>
    <i>
      <x v="34"/>
    </i>
    <i>
      <x v="35"/>
    </i>
    <i>
      <x v="36"/>
    </i>
    <i>
      <x v="38"/>
    </i>
    <i>
      <x v="40"/>
    </i>
    <i>
      <x v="41"/>
    </i>
    <i>
      <x v="45"/>
    </i>
    <i>
      <x v="46"/>
    </i>
    <i>
      <x v="50"/>
    </i>
    <i>
      <x v="51"/>
    </i>
    <i>
      <x v="52"/>
    </i>
    <i>
      <x v="53"/>
    </i>
    <i>
      <x v="54"/>
    </i>
    <i>
      <x v="57"/>
    </i>
    <i>
      <x v="58"/>
    </i>
    <i>
      <x v="59"/>
    </i>
    <i>
      <x v="60"/>
    </i>
    <i>
      <x v="61"/>
    </i>
    <i>
      <x v="62"/>
    </i>
    <i>
      <x v="63"/>
    </i>
    <i>
      <x v="64"/>
    </i>
    <i>
      <x v="65"/>
    </i>
    <i>
      <x v="66"/>
    </i>
    <i>
      <x v="68"/>
    </i>
    <i>
      <x v="70"/>
    </i>
    <i>
      <x v="72"/>
    </i>
    <i>
      <x v="75"/>
    </i>
    <i>
      <x v="80"/>
    </i>
    <i>
      <x v="81"/>
    </i>
    <i>
      <x v="82"/>
    </i>
    <i>
      <x v="83"/>
    </i>
    <i>
      <x v="84"/>
    </i>
    <i>
      <x v="86"/>
    </i>
    <i>
      <x v="87"/>
    </i>
    <i>
      <x v="89"/>
    </i>
    <i>
      <x v="95"/>
    </i>
    <i>
      <x v="96"/>
    </i>
    <i>
      <x v="98"/>
    </i>
    <i>
      <x v="99"/>
    </i>
    <i>
      <x v="101"/>
    </i>
    <i>
      <x v="102"/>
    </i>
    <i>
      <x v="103"/>
    </i>
    <i>
      <x v="105"/>
    </i>
    <i>
      <x v="107"/>
    </i>
    <i>
      <x v="109"/>
    </i>
    <i>
      <x v="111"/>
    </i>
    <i>
      <x v="113"/>
    </i>
    <i>
      <x v="114"/>
    </i>
    <i>
      <x v="115"/>
    </i>
    <i>
      <x v="118"/>
    </i>
    <i>
      <x v="120"/>
    </i>
    <i>
      <x v="121"/>
    </i>
    <i>
      <x v="122"/>
    </i>
    <i>
      <x v="123"/>
    </i>
    <i>
      <x v="124"/>
    </i>
    <i>
      <x v="125"/>
    </i>
    <i>
      <x v="126"/>
    </i>
    <i>
      <x v="127"/>
    </i>
    <i>
      <x v="129"/>
    </i>
    <i>
      <x v="131"/>
    </i>
    <i>
      <x v="133"/>
    </i>
    <i>
      <x v="135"/>
    </i>
    <i>
      <x v="136"/>
    </i>
    <i>
      <x v="137"/>
    </i>
    <i>
      <x v="138"/>
    </i>
    <i t="grand">
      <x/>
    </i>
  </rowItems>
  <colFields count="1">
    <field x="41"/>
  </colFields>
  <colItems count="35">
    <i>
      <x v="1"/>
    </i>
    <i>
      <x v="2"/>
    </i>
    <i>
      <x v="3"/>
    </i>
    <i>
      <x v="4"/>
    </i>
    <i>
      <x v="5"/>
    </i>
    <i>
      <x v="6"/>
    </i>
    <i>
      <x v="15"/>
    </i>
    <i>
      <x v="18"/>
    </i>
    <i>
      <x v="20"/>
    </i>
    <i>
      <x v="22"/>
    </i>
    <i>
      <x v="26"/>
    </i>
    <i>
      <x v="28"/>
    </i>
    <i>
      <x v="31"/>
    </i>
    <i>
      <x v="32"/>
    </i>
    <i>
      <x v="34"/>
    </i>
    <i>
      <x v="35"/>
    </i>
    <i>
      <x v="38"/>
    </i>
    <i>
      <x v="39"/>
    </i>
    <i>
      <x v="40"/>
    </i>
    <i>
      <x v="41"/>
    </i>
    <i>
      <x v="42"/>
    </i>
    <i>
      <x v="43"/>
    </i>
    <i>
      <x v="44"/>
    </i>
    <i>
      <x v="45"/>
    </i>
    <i>
      <x v="46"/>
    </i>
    <i>
      <x v="47"/>
    </i>
    <i>
      <x v="48"/>
    </i>
    <i>
      <x v="49"/>
    </i>
    <i>
      <x v="50"/>
    </i>
    <i>
      <x v="51"/>
    </i>
    <i>
      <x v="54"/>
    </i>
    <i>
      <x v="55"/>
    </i>
    <i>
      <x v="56"/>
    </i>
    <i>
      <x v="57"/>
    </i>
    <i t="grand">
      <x/>
    </i>
  </colItems>
  <pageFields count="2">
    <pageField fld="11" hier="-1"/>
    <pageField fld="15" hier="-1"/>
  </pageFields>
  <dataFields count="1">
    <dataField name="Count of DCR ID - PTC" fld="8" subtotal="count" baseField="8" baseItem="0" numFmtId="1"/>
  </dataFields>
  <formats count="6">
    <format dxfId="1352">
      <pivotArea grandRow="1" outline="0" collapsedLevelsAreSubtotals="1" fieldPosition="0"/>
    </format>
    <format dxfId="1353">
      <pivotArea dataOnly="0" labelOnly="1" fieldPosition="0">
        <references count="1">
          <reference field="8" count="50">
            <x v="0"/>
            <x v="1"/>
            <x v="2"/>
            <x v="3"/>
            <x v="4"/>
            <x v="5"/>
            <x v="6"/>
            <x v="7"/>
            <x v="8"/>
            <x v="9"/>
            <x v="11"/>
            <x v="12"/>
            <x v="15"/>
            <x v="16"/>
            <x v="17"/>
            <x v="18"/>
            <x v="19"/>
            <x v="21"/>
            <x v="22"/>
            <x v="23"/>
            <x v="25"/>
            <x v="26"/>
            <x v="27"/>
            <x v="28"/>
            <x v="29"/>
            <x v="31"/>
            <x v="32"/>
            <x v="33"/>
            <x v="34"/>
            <x v="35"/>
            <x v="36"/>
            <x v="38"/>
            <x v="40"/>
            <x v="41"/>
            <x v="43"/>
            <x v="44"/>
            <x v="45"/>
            <x v="46"/>
            <x v="47"/>
            <x v="48"/>
            <x v="49"/>
            <x v="50"/>
            <x v="51"/>
            <x v="52"/>
            <x v="53"/>
            <x v="54"/>
            <x v="57"/>
            <x v="58"/>
            <x v="59"/>
            <x v="60"/>
          </reference>
        </references>
      </pivotArea>
    </format>
    <format dxfId="1354">
      <pivotArea dataOnly="0" labelOnly="1" fieldPosition="0">
        <references count="1">
          <reference field="8" count="50">
            <x v="61"/>
            <x v="62"/>
            <x v="63"/>
            <x v="64"/>
            <x v="65"/>
            <x v="66"/>
            <x v="68"/>
            <x v="70"/>
            <x v="71"/>
            <x v="72"/>
            <x v="73"/>
            <x v="75"/>
            <x v="77"/>
            <x v="78"/>
            <x v="79"/>
            <x v="80"/>
            <x v="81"/>
            <x v="82"/>
            <x v="83"/>
            <x v="84"/>
            <x v="85"/>
            <x v="86"/>
            <x v="87"/>
            <x v="89"/>
            <x v="95"/>
            <x v="96"/>
            <x v="97"/>
            <x v="98"/>
            <x v="99"/>
            <x v="100"/>
            <x v="101"/>
            <x v="102"/>
            <x v="103"/>
            <x v="105"/>
            <x v="107"/>
            <x v="109"/>
            <x v="111"/>
            <x v="113"/>
            <x v="114"/>
            <x v="115"/>
            <x v="116"/>
            <x v="118"/>
            <x v="119"/>
            <x v="120"/>
            <x v="121"/>
            <x v="122"/>
            <x v="123"/>
            <x v="124"/>
            <x v="125"/>
            <x v="126"/>
          </reference>
        </references>
      </pivotArea>
    </format>
    <format dxfId="1355">
      <pivotArea dataOnly="0" labelOnly="1" fieldPosition="0">
        <references count="1">
          <reference field="8" count="12">
            <x v="127"/>
            <x v="128"/>
            <x v="129"/>
            <x v="130"/>
            <x v="131"/>
            <x v="132"/>
            <x v="133"/>
            <x v="134"/>
            <x v="135"/>
            <x v="136"/>
            <x v="137"/>
            <x v="138"/>
          </reference>
        </references>
      </pivotArea>
    </format>
    <format dxfId="1356">
      <pivotArea dataOnly="0" labelOnly="1" grandRow="1" outline="0" fieldPosition="0"/>
    </format>
    <format dxfId="135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E6D4BA7-A819-44C6-BB18-7E27C4568196}" name="PivotTable2" cacheId="2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X145" firstHeaderRow="1" firstDataRow="2" firstDataCol="1" rowPageCount="2" colPageCount="1"/>
  <pivotFields count="65">
    <pivotField showAll="0"/>
    <pivotField showAll="0"/>
    <pivotField showAll="0"/>
    <pivotField showAll="0"/>
    <pivotField showAll="0"/>
    <pivotField showAll="0"/>
    <pivotField showAll="0"/>
    <pivotField showAll="0"/>
    <pivotField axis="axisRow" dataField="1" showAll="0">
      <items count="140">
        <item x="0"/>
        <item x="2"/>
        <item x="3"/>
        <item x="4"/>
        <item x="99"/>
        <item x="5"/>
        <item x="6"/>
        <item x="7"/>
        <item x="8"/>
        <item x="9"/>
        <item x="10"/>
        <item x="94"/>
        <item x="11"/>
        <item x="12"/>
        <item x="13"/>
        <item x="90"/>
        <item x="100"/>
        <item x="14"/>
        <item x="15"/>
        <item x="16"/>
        <item x="17"/>
        <item x="18"/>
        <item x="19"/>
        <item x="20"/>
        <item x="21"/>
        <item x="22"/>
        <item x="23"/>
        <item x="24"/>
        <item x="25"/>
        <item x="26"/>
        <item x="124"/>
        <item x="27"/>
        <item x="102"/>
        <item x="28"/>
        <item x="103"/>
        <item x="30"/>
        <item x="31"/>
        <item x="32"/>
        <item x="33"/>
        <item x="118"/>
        <item x="34"/>
        <item x="36"/>
        <item x="130"/>
        <item x="125"/>
        <item x="37"/>
        <item x="38"/>
        <item x="104"/>
        <item x="1"/>
        <item x="121"/>
        <item x="122"/>
        <item x="105"/>
        <item x="39"/>
        <item x="40"/>
        <item x="42"/>
        <item x="106"/>
        <item x="43"/>
        <item x="126"/>
        <item x="138"/>
        <item x="44"/>
        <item x="45"/>
        <item x="46"/>
        <item x="47"/>
        <item x="48"/>
        <item x="49"/>
        <item x="50"/>
        <item x="51"/>
        <item x="52"/>
        <item x="53"/>
        <item x="101"/>
        <item x="127"/>
        <item x="54"/>
        <item x="119"/>
        <item x="55"/>
        <item x="107"/>
        <item x="56"/>
        <item x="57"/>
        <item x="58"/>
        <item x="93"/>
        <item x="41"/>
        <item x="117"/>
        <item x="59"/>
        <item x="60"/>
        <item x="61"/>
        <item x="116"/>
        <item x="108"/>
        <item x="109"/>
        <item x="128"/>
        <item x="62"/>
        <item x="129"/>
        <item x="110"/>
        <item x="63"/>
        <item x="64"/>
        <item x="65"/>
        <item x="66"/>
        <item x="67"/>
        <item x="68"/>
        <item x="69"/>
        <item x="120"/>
        <item x="111"/>
        <item x="70"/>
        <item x="123"/>
        <item x="71"/>
        <item x="91"/>
        <item x="92"/>
        <item x="72"/>
        <item x="73"/>
        <item x="74"/>
        <item x="75"/>
        <item x="76"/>
        <item x="112"/>
        <item x="77"/>
        <item x="78"/>
        <item x="79"/>
        <item x="80"/>
        <item x="81"/>
        <item x="82"/>
        <item x="131"/>
        <item x="132"/>
        <item x="83"/>
        <item x="35"/>
        <item x="89"/>
        <item x="88"/>
        <item x="96"/>
        <item x="87"/>
        <item x="95"/>
        <item x="84"/>
        <item x="85"/>
        <item x="86"/>
        <item x="97"/>
        <item x="98"/>
        <item x="113"/>
        <item x="135"/>
        <item x="114"/>
        <item x="134"/>
        <item x="115"/>
        <item x="136"/>
        <item x="137"/>
        <item x="29"/>
        <item x="133"/>
        <item t="default"/>
      </items>
    </pivotField>
    <pivotField showAll="0"/>
    <pivotField showAll="0"/>
    <pivotField axis="axisPage" multipleItemSelectionAllowed="1" showAll="0">
      <items count="7">
        <item x="1"/>
        <item x="2"/>
        <item x="0"/>
        <item x="5"/>
        <item x="3"/>
        <item x="4"/>
        <item t="default"/>
      </items>
    </pivotField>
    <pivotField showAll="0"/>
    <pivotField showAll="0"/>
    <pivotField showAll="0"/>
    <pivotField axis="axisPage" multipleItemSelectionAllowed="1" showAll="0">
      <items count="9">
        <item x="1"/>
        <item x="0"/>
        <item x="5"/>
        <item x="4"/>
        <item x="3"/>
        <item x="6"/>
        <item x="7"/>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23">
        <item x="19"/>
        <item x="20"/>
        <item x="7"/>
        <item x="21"/>
        <item x="5"/>
        <item x="18"/>
        <item x="14"/>
        <item x="10"/>
        <item x="15"/>
        <item x="9"/>
        <item x="0"/>
        <item x="4"/>
        <item x="8"/>
        <item x="13"/>
        <item x="11"/>
        <item x="17"/>
        <item x="6"/>
        <item x="3"/>
        <item x="16"/>
        <item x="12"/>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1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1">
    <field x="45"/>
  </colFields>
  <colItems count="23">
    <i>
      <x/>
    </i>
    <i>
      <x v="1"/>
    </i>
    <i>
      <x v="2"/>
    </i>
    <i>
      <x v="3"/>
    </i>
    <i>
      <x v="4"/>
    </i>
    <i>
      <x v="5"/>
    </i>
    <i>
      <x v="6"/>
    </i>
    <i>
      <x v="7"/>
    </i>
    <i>
      <x v="8"/>
    </i>
    <i>
      <x v="9"/>
    </i>
    <i>
      <x v="10"/>
    </i>
    <i>
      <x v="11"/>
    </i>
    <i>
      <x v="12"/>
    </i>
    <i>
      <x v="13"/>
    </i>
    <i>
      <x v="14"/>
    </i>
    <i>
      <x v="15"/>
    </i>
    <i>
      <x v="16"/>
    </i>
    <i>
      <x v="17"/>
    </i>
    <i>
      <x v="18"/>
    </i>
    <i>
      <x v="19"/>
    </i>
    <i>
      <x v="20"/>
    </i>
    <i>
      <x v="21"/>
    </i>
    <i t="grand">
      <x/>
    </i>
  </colItems>
  <pageFields count="2">
    <pageField fld="11" hier="-1"/>
    <pageField fld="15" hier="-1"/>
  </pageFields>
  <dataFields count="1">
    <dataField name="Count of DCR ID - PTC" fld="8" subtotal="count" baseField="8" baseItem="0" numFmtId="1"/>
  </dataFields>
  <formats count="11">
    <format dxfId="1341">
      <pivotArea collapsedLevelsAreSubtotals="1" fieldPosition="0">
        <references count="1">
          <reference field="8" count="35">
            <x v="0"/>
            <x v="1"/>
            <x v="2"/>
            <x v="3"/>
            <x v="4"/>
            <x v="5"/>
            <x v="6"/>
            <x v="7"/>
            <x v="8"/>
            <x v="9"/>
            <x v="10"/>
            <x v="11"/>
            <x v="12"/>
            <x v="13"/>
            <x v="14"/>
            <x v="15"/>
            <x v="16"/>
            <x v="17"/>
            <x v="18"/>
            <x v="19"/>
            <x v="20"/>
            <x v="21"/>
            <x v="22"/>
            <x v="23"/>
            <x v="24"/>
            <x v="25"/>
            <x v="26"/>
            <x v="27"/>
            <x v="28"/>
            <x v="29"/>
            <x v="30"/>
            <x v="31"/>
            <x v="32"/>
            <x v="33"/>
            <x v="34"/>
          </reference>
        </references>
      </pivotArea>
    </format>
    <format dxfId="1342">
      <pivotArea dataOnly="0" labelOnly="1" fieldPosition="0">
        <references count="1">
          <reference field="8"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343">
      <pivotArea dataOnly="0" labelOnly="1" fieldPosition="0">
        <references count="1">
          <reference field="8"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344">
      <pivotArea dataOnly="0" labelOnly="1" fieldPosition="0">
        <references count="1">
          <reference field="8" count="39">
            <x v="100"/>
            <x v="101"/>
            <x v="102"/>
            <x v="103"/>
            <x v="104"/>
            <x v="105"/>
            <x v="106"/>
            <x v="107"/>
            <x v="108"/>
            <x v="109"/>
            <x v="110"/>
            <x v="111"/>
            <x v="112"/>
            <x v="113"/>
            <x v="114"/>
            <x v="115"/>
            <x v="116"/>
            <x v="117"/>
            <x v="118"/>
            <x v="119"/>
            <x v="120"/>
            <x v="121"/>
            <x v="122"/>
            <x v="123"/>
            <x v="124"/>
            <x v="125"/>
            <x v="126"/>
            <x v="127"/>
            <x v="128"/>
            <x v="129"/>
            <x v="130"/>
            <x v="131"/>
            <x v="132"/>
            <x v="133"/>
            <x v="134"/>
            <x v="135"/>
            <x v="136"/>
            <x v="137"/>
            <x v="138"/>
          </reference>
        </references>
      </pivotArea>
    </format>
    <format dxfId="1345">
      <pivotArea dataOnly="0" labelOnly="1" grandRow="1" outline="0" fieldPosition="0"/>
    </format>
    <format dxfId="1346">
      <pivotArea grandRow="1" outline="0" collapsedLevelsAreSubtotals="1" fieldPosition="0"/>
    </format>
    <format dxfId="1347">
      <pivotArea outline="0" collapsedLevelsAreSubtotals="1" fieldPosition="0"/>
    </format>
    <format dxfId="1348">
      <pivotArea dataOnly="0" labelOnly="1" fieldPosition="0">
        <references count="1">
          <reference field="8"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349">
      <pivotArea dataOnly="0" labelOnly="1" fieldPosition="0">
        <references count="1">
          <reference field="8"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350">
      <pivotArea dataOnly="0" labelOnly="1" fieldPosition="0">
        <references count="1">
          <reference field="8" count="39">
            <x v="100"/>
            <x v="101"/>
            <x v="102"/>
            <x v="103"/>
            <x v="104"/>
            <x v="105"/>
            <x v="106"/>
            <x v="107"/>
            <x v="108"/>
            <x v="109"/>
            <x v="110"/>
            <x v="111"/>
            <x v="112"/>
            <x v="113"/>
            <x v="114"/>
            <x v="115"/>
            <x v="116"/>
            <x v="117"/>
            <x v="118"/>
            <x v="119"/>
            <x v="120"/>
            <x v="121"/>
            <x v="122"/>
            <x v="123"/>
            <x v="124"/>
            <x v="125"/>
            <x v="126"/>
            <x v="127"/>
            <x v="128"/>
            <x v="129"/>
            <x v="130"/>
            <x v="131"/>
            <x v="132"/>
            <x v="133"/>
            <x v="134"/>
            <x v="135"/>
            <x v="136"/>
            <x v="137"/>
            <x v="138"/>
          </reference>
        </references>
      </pivotArea>
    </format>
    <format dxfId="1351">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4ED5984-00E6-4EAA-89B4-9D3899717E37}" name="Tracker6" displayName="Tracker6" ref="A1:CJ282" totalsRowShown="0" headerRowDxfId="1078" dataDxfId="1077" headerRowBorderDxfId="1075" tableBorderDxfId="1076" headerRowCellStyle="Normal 4">
  <autoFilter ref="A1:CJ282" xr:uid="{B9CF71B7-B21F-4378-AC50-D7564045B983}">
    <filterColumn colId="0">
      <filters>
        <filter val="Indumathi M (wf309)"/>
        <filter val="Shraddha T"/>
        <filter val="Yashnwanth/Sheetal"/>
        <filter val="Yashwanth Polisetti (ac06u)/Sheetal"/>
        <filter val="zameer shaik (au51w)"/>
      </filters>
    </filterColumn>
    <filterColumn colId="10">
      <filters>
        <filter val="Implement"/>
      </filters>
    </filterColumn>
    <filterColumn colId="14">
      <filters>
        <filter val="At Risk"/>
        <filter val="On Track"/>
        <filter val="Yet to start"/>
      </filters>
    </filterColumn>
  </autoFilter>
  <tableColumns count="88">
    <tableColumn id="1" xr3:uid="{08894060-4D37-4215-B252-2872724E2C64}" name="DCR Owner" dataDxfId="1073" totalsRowDxfId="1074"/>
    <tableColumn id="3" xr3:uid="{232B64AB-8716-4387-BAB3-3159F92C7F81}" name="Actual Efforts (Hrs)" dataDxfId="1071" totalsRowDxfId="1072"/>
    <tableColumn id="4" xr3:uid="{D6AAA26B-7390-45D2-AD81-DE1AAE9A50E4}" name="Estimated Hrs" dataDxfId="1070"/>
    <tableColumn id="5" xr3:uid="{5EBBAD6F-765C-43B4-8726-8494555FAA26}" name="Remaining Hrs" dataDxfId="1068" totalsRowDxfId="1069"/>
    <tableColumn id="6" xr3:uid="{73480430-8604-4C66-8F13-5BD4F0B39E92}" name="Type of Content" dataDxfId="1066" totalsRowDxfId="1067"/>
    <tableColumn id="7" xr3:uid="{649C27B7-710C-4361-AF16-FCEB6AA4BC68}" name="DCR Phase" dataDxfId="1064" totalsRowDxfId="1065"/>
    <tableColumn id="8" xr3:uid="{464FE36B-6A2C-4556-B5E0-BFF1F2766804}" name="Required by Phase" dataDxfId="1062" totalsRowDxfId="1063"/>
    <tableColumn id="9" xr3:uid="{AFED6311-7673-4106-BA9F-7FB35D4EDD94}" name="DCR ID - PTC" dataDxfId="1060" totalsRowDxfId="1061"/>
    <tableColumn id="10" xr3:uid="{DC91A732-65CE-47B8-8EAF-D5851D98A3DE}" name="PRCRID" dataDxfId="1058" totalsRowDxfId="1059"/>
    <tableColumn id="11" xr3:uid="{D603AECC-7B3A-4691-B027-579F9DD6B64E}" name="Summary" dataDxfId="1056" totalsRowDxfId="1057"/>
    <tableColumn id="12" xr3:uid="{94BA320D-AA03-482D-8E5A-3BC5ECF704E8}" name="PRCRState" dataDxfId="1054" totalsRowDxfId="1055"/>
    <tableColumn id="13" xr3:uid="{A88B47E2-E50F-4EF3-912C-7AA7B61E3573}" name="DCR State" dataDxfId="1052" totalsRowDxfId="1053"/>
    <tableColumn id="14" xr3:uid="{E30DCA9C-469D-4EEF-959C-939E764F770D}" name="Internal Owner" dataDxfId="1050" totalsRowDxfId="1051"/>
    <tableColumn id="15" xr3:uid="{FC4183E5-7202-4DAB-BD66-C745B5BAE74A}" name="Comments (Daily)" dataDxfId="1048" totalsRowDxfId="1049"/>
    <tableColumn id="16" xr3:uid="{67F159D7-4C00-4700-8C96-876F3E23051B}" name="At Risk" dataDxfId="1046" totalsRowDxfId="1047"/>
    <tableColumn id="17" xr3:uid="{0C998427-CD38-40B0-8A19-2BBE17186EDF}" name="BT Start" dataDxfId="1044" totalsRowDxfId="1045"/>
    <tableColumn id="18" xr3:uid="{DED34C39-357F-4CD0-B517-75292CDF1626}" name="BT end" dataDxfId="1042" totalsRowDxfId="1043"/>
    <tableColumn id="19" xr3:uid="{2D0C0A2B-276F-40CB-9A20-05818AAF2249}" name="DDP Completion" dataDxfId="1040" totalsRowDxfId="1041"/>
    <tableColumn id="20" xr3:uid="{EA242600-B83E-45A1-BBC1-0D71BC02E4DC}" name="Pre OBD Planned" dataDxfId="1038" totalsRowDxfId="1039"/>
    <tableColumn id="21" xr3:uid="{5C83B62F-038F-491B-A812-AC62E246978D}" name="OBD Planned " dataDxfId="1036" totalsRowDxfId="1037"/>
    <tableColumn id="22" xr3:uid="{7DD1A48A-2352-4A27-B0ED-853AA24E3438}" name="Feedback Awaited" dataDxfId="1034" totalsRowDxfId="1035"/>
    <tableColumn id="23" xr3:uid="{9579FC81-7364-4FE3-97DD-BC2108B79931}" name="Responsible" dataDxfId="1032" totalsRowDxfId="1033"/>
    <tableColumn id="24" xr3:uid="{44701FD8-A8AD-4077-98A0-D51B54974ADD}" name="Last communication sent on" dataDxfId="1030" totalsRowDxfId="1031"/>
    <tableColumn id="25" xr3:uid="{22369A3B-C44E-472C-8D3E-BE1926A05A68}" name="Sub-Task" dataDxfId="1028" totalsRowDxfId="1029"/>
    <tableColumn id="26" xr3:uid="{B757DB75-DB89-46BF-AF1A-F9D509EEEAF2}" name="Sub-Activity" dataDxfId="1026" totalsRowDxfId="1027"/>
    <tableColumn id="27" xr3:uid="{E7C075D9-7C7C-41C2-AB89-B9020D1882F5}" name="Used Hours" dataDxfId="1024" totalsRowDxfId="1025"/>
    <tableColumn id="28" xr3:uid="{5432F4CB-5547-48B5-8524-3B3CE58B7811}" name="Sprint" dataDxfId="1022" totalsRowDxfId="1023"/>
    <tableColumn id="29" xr3:uid="{E9BE7CC3-65FD-4315-96E8-67E35EEAAA81}" name="Deadline Date as per tagged phase/ Commit Date" dataDxfId="1020" totalsRowDxfId="1021"/>
    <tableColumn id="30" xr3:uid="{07D93021-CDCF-4C93-A6B8-EBB613CB7254}" name="Tag" dataDxfId="1018" totalsRowDxfId="1019"/>
    <tableColumn id="31" xr3:uid="{566F0E2E-3884-41A1-9DAE-9C2637AF87A7}" name="CQ Priority" dataDxfId="1016" totalsRowDxfId="1017"/>
    <tableColumn id="32" xr3:uid="{D398A582-4FB8-4F34-B108-320956B9F2AB}" name="Internal Priority" dataDxfId="1014" totalsRowDxfId="1015"/>
    <tableColumn id="33" xr3:uid="{2129DB81-9DCF-4757-A4D4-08866E67721B}" name="Actual Assigned Date" dataDxfId="1012" totalsRowDxfId="1013"/>
    <tableColumn id="34" xr3:uid="{C97E87E5-2030-4856-8883-D5350F1E676D}" name="Assigned Date_x000a_&lt;dd-mm-yyyy&gt;" dataDxfId="1010" totalsRowDxfId="1011"/>
    <tableColumn id="35" xr3:uid="{31DA8254-6060-4FC0-BE51-377CA7FC028A}" name="PRCR Stage" dataDxfId="1008" totalsRowDxfId="1009"/>
    <tableColumn id="36" xr3:uid="{F377EB92-4B84-41A9-8F03-7BD137035595}" name="DCRType" dataDxfId="1006" totalsRowDxfId="1007"/>
    <tableColumn id="37" xr3:uid="{B1C7221D-AAB6-4892-9FC2-2778188DCFD4}" name="Need Date" dataDxfId="1004" totalsRowDxfId="1005"/>
    <tableColumn id="38" xr3:uid="{497909E5-6020-41B6-B40E-851C15376D4F}" name="DCR Project" dataDxfId="1002" totalsRowDxfId="1003"/>
    <tableColumn id="39" xr3:uid="{77AA4357-7849-4B29-AD4F-CA1F6D7F4919}" name="PRCR Submission date" dataDxfId="1000" totalsRowDxfId="1001"/>
    <tableColumn id="40" xr3:uid="{9076120B-EE51-4120-B97E-F88696DF98FE}" name="Actual Start Date_x000a_&lt;dd-mm-yyyy&gt;" dataDxfId="998" totalsRowDxfId="999"/>
    <tableColumn id="41" xr3:uid="{409504A5-29A4-44A7-ADE4-F2535E4656BB}" name="Planned Start Date_x000a_&lt;dd-mm-yyyy&gt;" dataDxfId="996" totalsRowDxfId="997"/>
    <tableColumn id="42" xr3:uid="{8E37270E-2CE1-4665-8AAD-65E213F3B121}" name="Planned Completion Date_x000a_&lt;dd-mm-yyyy&gt;" dataDxfId="995"/>
    <tableColumn id="43" xr3:uid="{40C40A79-776B-4F2D-B4E8-C19559AED179}" name="Comments for OTD missed_x000a_OR_x000a_for date change" dataDxfId="993" totalsRowDxfId="994"/>
    <tableColumn id="44" xr3:uid="{5084C618-6700-47F2-BFF0-7B3077953535}" name="Initial estimated efforts" dataDxfId="991" totalsRowDxfId="992"/>
    <tableColumn id="45" xr3:uid="{ED1854A4-9604-41E9-823C-B0AC1F364F00}" name="Actual Hrs" dataDxfId="989" totalsRowDxfId="990"/>
    <tableColumn id="46" xr3:uid="{8A27FED7-8FA6-4A42-ADE7-5F1F2BA7F907}" name="Actual Cmpln Date_x000a_&lt;dd-mm-yyyy&gt;" dataDxfId="987" totalsRowDxfId="988"/>
    <tableColumn id="47" xr3:uid="{3C27A399-A37B-42A2-BC7A-AB32CEA96510}" name="Actual L2 Sent Date" dataDxfId="985" totalsRowDxfId="986"/>
    <tableColumn id="48" xr3:uid="{56204430-600A-4575-BB4B-E5888A377F02}" name="L2 received Date" dataDxfId="983" totalsRowDxfId="984"/>
    <tableColumn id="49" xr3:uid="{65CA979B-DEA8-4EFA-8077-EAEE248F3B7B}" name="L2 sent to" dataDxfId="981" totalsRowDxfId="982"/>
    <tableColumn id="50" xr3:uid="{E48E375D-D523-4F94-834D-847065FBE747}" name="CR/Qr Updated _x000a_(Y/N)" dataDxfId="979" totalsRowDxfId="980"/>
    <tableColumn id="51" xr3:uid="{29FB8A91-C65E-4031-A263-49EEA910E857}" name="_x000a_Biz Type" dataDxfId="977" totalsRowDxfId="978"/>
    <tableColumn id="52" xr3:uid="{52ED9BFA-0FD3-4929-9E22-088C4F49BAC3}" name="SubSystem" dataDxfId="975" totalsRowDxfId="976"/>
    <tableColumn id="53" xr3:uid="{8E2F7400-89E8-4DFB-B13E-BB101647899B}" name="Reason for delay(Red Diamond)_x000a_Applicable if release date is over" dataDxfId="973" totalsRowDxfId="974"/>
    <tableColumn id="54" xr3:uid="{C9B90857-D5DB-4312-B3BD-48ABD02D4176}" name="Reason for PRCR Assignment after freeze date/ Submission deadline" dataDxfId="971" totalsRowDxfId="972"/>
    <tableColumn id="55" xr3:uid="{C323071F-2041-4214-AC05-7565A6D40407}" name="Work Packet ID" dataDxfId="969" totalsRowDxfId="970"/>
    <tableColumn id="56" xr3:uid="{F8CFA166-BA58-4956-B739-883BCFDB5FC0}" name="WP Status" dataDxfId="967" totalsRowDxfId="968"/>
    <tableColumn id="57" xr3:uid="{C71B4F9E-8674-4ED1-A487-EB8549FA13D6}" name="Actual CCB Date" dataDxfId="965" totalsRowDxfId="966"/>
    <tableColumn id="58" xr3:uid="{212CA587-6F5F-48A3-B049-612081EDE93E}" name="Actual DRB date" dataDxfId="963" totalsRowDxfId="964"/>
    <tableColumn id="59" xr3:uid="{465A1457-0F4B-471D-8572-DA271A33E81C}" name="Planned CCB date" dataDxfId="961" totalsRowDxfId="962"/>
    <tableColumn id="60" xr3:uid="{D6B6CE5F-A720-4A83-A065-FD8FCD288A5A}" name="Planned DRB Date" dataDxfId="959" totalsRowDxfId="960"/>
    <tableColumn id="61" xr3:uid="{993F30B8-173D-4796-87F8-475110E2241F}" name="Planned L2 Date" dataDxfId="957" totalsRowDxfId="958"/>
    <tableColumn id="62" xr3:uid="{1A291152-5B0E-4212-9570-142A119E3982}" name="Current Activity" dataDxfId="955" totalsRowDxfId="956"/>
    <tableColumn id="63" xr3:uid="{D59F07A3-19EA-4DC2-AE85-559D5D950459}" name="Reminder1 Date" dataDxfId="953" totalsRowDxfId="954"/>
    <tableColumn id="64" xr3:uid="{767792D8-B845-45BC-800D-ACFC7480B31A}" name="Reminder2 Date" dataDxfId="951" totalsRowDxfId="952"/>
    <tableColumn id="65" xr3:uid="{E3DFB76B-23FE-41B3-8B3A-A7040F402B5E}" name="Reminder3 Date" dataDxfId="949" totalsRowDxfId="950"/>
    <tableColumn id="66" xr3:uid="{613C3BB6-3617-42C8-977D-D7CE05F3797C}" name="Impacted components" dataDxfId="948"/>
    <tableColumn id="67" xr3:uid="{9ACB0995-1286-4975-9130-5EB3E624E40A}" name="Actual Estimated efforts" dataDxfId="946" totalsRowDxfId="947"/>
    <tableColumn id="68" xr3:uid="{EECC7F28-2AF5-435B-A7E4-B77EE0D9C8D5}" name="Sub Activity" dataDxfId="944" totalsRowDxfId="945"/>
    <tableColumn id="69" xr3:uid="{C47042EA-BC2F-441E-99C3-5FED52D226D3}" name="DCR Type" dataDxfId="942" totalsRowDxfId="943"/>
    <tableColumn id="70" xr3:uid="{43C6BA4F-1677-40E7-AF8B-37C055495C6B}" name="Complexity" dataDxfId="940" totalsRowDxfId="941"/>
    <tableColumn id="71" xr3:uid="{439686E9-E235-4BF5-AE78-3A88247EE73D}" name="Scope" dataDxfId="938" totalsRowDxfId="939"/>
    <tableColumn id="72" xr3:uid="{E674A688-E215-4B69-99C2-F57BB7E4D449}" name="VnV completion date" dataDxfId="936" totalsRowDxfId="937"/>
    <tableColumn id="73" xr3:uid="{B1D2F318-020E-4AA2-B24A-D9D19376AD62}" name="Support Required from team" dataDxfId="934" totalsRowDxfId="935"/>
    <tableColumn id="74" xr3:uid="{F1C8C550-D2B4-4C66-9B3C-6DE925F7F685}" name="Support Required by date" dataDxfId="932" totalsRowDxfId="933"/>
    <tableColumn id="75" xr3:uid="{F293D610-C78C-4DF8-921B-A0C96D114EA7}" name="Agreement with LOB for pushing to next release. (Yes/ No/NA)" dataDxfId="930" totalsRowDxfId="931"/>
    <tableColumn id="76" xr3:uid="{3A467C54-63C6-4DA0-8F64-F9664F7E2C92}" name="Expected completion Dt? (if Delayed)" dataDxfId="928" totalsRowDxfId="929"/>
    <tableColumn id="77" xr3:uid="{6695B85B-3043-4F9C-A208-DFBD808FBC27}" name="Test bench Booked (Yes/No/NA)" dataDxfId="926" totalsRowDxfId="927"/>
    <tableColumn id="78" xr3:uid="{B78D891C-8AC6-4085-AC6A-3E8D5D3DBED4}" name="Planned Quarter (Q# YYYY)" dataDxfId="924" totalsRowDxfId="925"/>
    <tableColumn id="79" xr3:uid="{C2CDDAC1-D5F0-4940-99C3-D83894223C6A}" name="Reasons for delay" dataDxfId="922" totalsRowDxfId="923"/>
    <tableColumn id="80" xr3:uid="{811C885C-90A8-47BA-BD43-32CF4E13F379}" name="Mitigation Plan" dataDxfId="920" totalsRowDxfId="921"/>
    <tableColumn id="81" xr3:uid="{667CC722-C583-467A-B3FB-5E93E44E479C}" name="% completed till today2" dataDxfId="918" totalsRowDxfId="919"/>
    <tableColumn id="82" xr3:uid="{1536855F-7B37-406B-B673-CC63BDACBA31}" name="Confidence level" dataDxfId="916" totalsRowDxfId="917"/>
    <tableColumn id="2" xr3:uid="{3992D79C-63C6-40EE-8BA7-5A3DF8A6F9E6}" name="PEER _x000a_Planned date" dataDxfId="915"/>
    <tableColumn id="83" xr3:uid="{005652FF-7260-4DEA-B957-0D6BEB5FBDA9}" name="CCB_x000a_Planned date2" dataDxfId="914"/>
    <tableColumn id="84" xr3:uid="{2F35AE84-FA25-44A4-9804-E042A9D6517F}" name="DRB/L2_x000a_Planned date3" dataDxfId="913"/>
    <tableColumn id="85" xr3:uid="{DDB99822-D869-4E2D-916C-129D219751CE}" name="OBD FORUM_x000a_PLANNED DATE" dataDxfId="912"/>
    <tableColumn id="86" xr3:uid="{A97D364B-D896-43EC-84F8-13CB7A539EC5}" name="Component Owner" dataDxfId="911"/>
    <tableColumn id="87" xr3:uid="{64E641D5-A4B7-425D-99CB-6DC4F0FE75E7}" name="Authoring required" dataDxfId="910"/>
    <tableColumn id="90" xr3:uid="{50856714-93BE-4895-B28B-CEBF42EB7159}" name="Current status" dataDxfId="908" totalsRowDxfId="909"/>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34" displayName="Table34" ref="A1:E7" totalsRowShown="0" headerRowDxfId="907" dataDxfId="906" headerRowBorderDxfId="904" tableBorderDxfId="905" totalsRowBorderDxfId="903">
  <autoFilter ref="A1:E7" xr:uid="{00000000-0009-0000-0100-000002000000}"/>
  <tableColumns count="5">
    <tableColumn id="1" xr3:uid="{00000000-0010-0000-0000-000001000000}" name="Sheet Name" dataDxfId="902"/>
    <tableColumn id="2" xr3:uid="{00000000-0010-0000-0000-000002000000}" name="What to update?" dataDxfId="901"/>
    <tableColumn id="3" xr3:uid="{00000000-0010-0000-0000-000003000000}" name="When to update?" dataDxfId="900"/>
    <tableColumn id="4" xr3:uid="{00000000-0010-0000-0000-000004000000}" name="Impact" dataDxfId="899"/>
    <tableColumn id="5" xr3:uid="{00000000-0010-0000-0000-000005000000}" name="Responsibility" dataDxfId="898"/>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4" displayName="Table4" ref="A11:E22" totalsRowShown="0" headerRowDxfId="897" headerRowBorderDxfId="895" tableBorderDxfId="896" totalsRowBorderDxfId="894">
  <autoFilter ref="A11:E22" xr:uid="{00000000-0009-0000-0100-000003000000}"/>
  <tableColumns count="5">
    <tableColumn id="1" xr3:uid="{00000000-0010-0000-0100-000001000000}" name="Version Details" dataDxfId="893"/>
    <tableColumn id="2" xr3:uid="{00000000-0010-0000-0100-000002000000}" name="Reason for Change" dataDxfId="892"/>
    <tableColumn id="3" xr3:uid="{00000000-0010-0000-0100-000003000000}" name="Author" dataDxfId="891"/>
    <tableColumn id="4" xr3:uid="{00000000-0010-0000-0100-000004000000}" name="Approver" dataDxfId="890"/>
    <tableColumn id="5" xr3:uid="{00000000-0010-0000-0100-000005000000}" name="Approval Date" dataDxfId="889"/>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9CF71B7-B21F-4378-AC50-D7564045B983}" name="Tracker" displayName="Tracker" ref="A1:CK259" totalsRowShown="0" headerRowDxfId="733" dataDxfId="732" headerRowBorderDxfId="730" tableBorderDxfId="731" headerRowCellStyle="Normal 4">
  <autoFilter ref="A1:CK259" xr:uid="{B9CF71B7-B21F-4378-AC50-D7564045B983}"/>
  <tableColumns count="89">
    <tableColumn id="1" xr3:uid="{50BFCA79-9581-4F43-A68E-61C8B2A4DF71}" name="DCR Owner" dataDxfId="728" totalsRowDxfId="729"/>
    <tableColumn id="3" xr3:uid="{D050558B-8DAB-46B5-9C53-21FCD6A37718}" name="Actual Efforts (Hrs)" dataDxfId="726" totalsRowDxfId="727"/>
    <tableColumn id="4" xr3:uid="{EDB12CC1-0FC1-4D25-9183-CB36DD22EC90}" name="Estimated Hrs" dataDxfId="725"/>
    <tableColumn id="5" xr3:uid="{A37C1FC3-62C8-47BA-99C2-484636934832}" name="Remaining Hrs" dataDxfId="723" totalsRowDxfId="724"/>
    <tableColumn id="6" xr3:uid="{CA111735-4EA4-490A-98D4-86E4302DBB1F}" name="Type of Content" dataDxfId="722"/>
    <tableColumn id="7" xr3:uid="{DF9DF5B7-3977-44E5-A8BB-39708F139006}" name="DCR Phase" dataDxfId="720" totalsRowDxfId="721"/>
    <tableColumn id="8" xr3:uid="{F844F4B6-4C90-4550-AB0B-8936D21697CF}" name="Required by Phase" dataDxfId="719"/>
    <tableColumn id="9" xr3:uid="{A8BEBBAD-221E-4D7A-B720-3CB31F098D27}" name="DCR ID - PTC" dataDxfId="717" totalsRowDxfId="718"/>
    <tableColumn id="10" xr3:uid="{988E742E-BAD6-4E61-AA21-26D3B8E7C3FE}" name="PRCRID" dataDxfId="715" totalsRowDxfId="716"/>
    <tableColumn id="11" xr3:uid="{914DC430-BD6D-4B39-92CB-30E9C4D564F2}" name="Summary" dataDxfId="713" totalsRowDxfId="714"/>
    <tableColumn id="12" xr3:uid="{29A31FD4-7DAF-4A9B-8BD8-3C64CB2A291A}" name="PRCRState" dataDxfId="711" totalsRowDxfId="712"/>
    <tableColumn id="13" xr3:uid="{33BE336D-1EDF-4DD8-AC54-E59CD0D27FE2}" name="DCR State" dataDxfId="709" totalsRowDxfId="710"/>
    <tableColumn id="14" xr3:uid="{1C03E667-2BC5-45C4-9408-34E3BF1C9B5A}" name="Internal Owner" dataDxfId="708"/>
    <tableColumn id="15" xr3:uid="{918C4166-4CB1-4C38-AE23-118F573FCA42}" name="Comments (Daily)" dataDxfId="706" totalsRowDxfId="707"/>
    <tableColumn id="16" xr3:uid="{8CD212CB-3579-4C61-8685-4D376A226128}" name="At Risk" dataDxfId="704" totalsRowDxfId="705"/>
    <tableColumn id="17" xr3:uid="{684B5DCE-E6C4-4EAA-B196-C05B8D117711}" name="BT Start" dataDxfId="703"/>
    <tableColumn id="18" xr3:uid="{7D1D550F-6ADB-4416-AE6B-4E499334F3F0}" name="BT end" dataDxfId="702"/>
    <tableColumn id="19" xr3:uid="{AFD668FB-010B-4BB9-8868-5E7F65630E3E}" name="DDP Completion" dataDxfId="701"/>
    <tableColumn id="20" xr3:uid="{CD992871-3C23-45E6-A83B-7494D34EECA2}" name="Pre OBD Planned" dataDxfId="700"/>
    <tableColumn id="21" xr3:uid="{62AC72CE-EB66-4160-A05F-1A15B4A28184}" name="OBD Planned " dataDxfId="699"/>
    <tableColumn id="22" xr3:uid="{F6042C31-87B6-4744-8AA5-09B86114D827}" name="Feedback Awaited" dataDxfId="698"/>
    <tableColumn id="23" xr3:uid="{943635A3-7061-4914-B29E-3430BC66AE3B}" name="Responsible" dataDxfId="697"/>
    <tableColumn id="24" xr3:uid="{41EBBB2E-C50B-4132-A5B8-AAE8904F572D}" name="Last communication sent on" dataDxfId="696"/>
    <tableColumn id="25" xr3:uid="{63E7F76D-0076-4E52-8D8E-BF3D5408DAB5}" name="Sub-Task" dataDxfId="695">
      <calculatedColumnFormula>4+8+8+8+10+0.25+0.15+2</calculatedColumnFormula>
    </tableColumn>
    <tableColumn id="26" xr3:uid="{5ABA3A0E-24D7-4153-A76E-46EA29518CD3}" name="Sub-Activity" dataDxfId="694"/>
    <tableColumn id="27" xr3:uid="{AF40ADC2-A990-4AA4-931A-38B36E9791C0}" name="Used Hours" dataDxfId="693"/>
    <tableColumn id="28" xr3:uid="{34FD1DDF-5C12-427B-B990-26FF1AC2C2D8}" name="Sprint" dataDxfId="691" totalsRowDxfId="692"/>
    <tableColumn id="29" xr3:uid="{A5D9F6BE-5AA9-4836-ABE0-072875F46991}" name="Deadline Date as per tagged phase/ Commit Date" dataDxfId="689" totalsRowDxfId="690"/>
    <tableColumn id="30" xr3:uid="{6DEC8863-1D7B-42DD-8BA4-17ABC639CDB9}" name="Tag" dataDxfId="687" totalsRowDxfId="688"/>
    <tableColumn id="31" xr3:uid="{FDBEA6D1-99C1-4FBA-ADCB-7C885709CAFF}" name="CQ Priority" dataDxfId="685" totalsRowDxfId="686"/>
    <tableColumn id="32" xr3:uid="{D1683E41-EE4C-415B-BFEB-8DBA450E38FD}" name="Internal Priority" dataDxfId="684"/>
    <tableColumn id="33" xr3:uid="{4A596794-0E04-45BF-8AC1-84E127FEC960}" name="Actual Assigned Date" dataDxfId="683"/>
    <tableColumn id="34" xr3:uid="{218C6658-8591-41D4-95BF-EEA7BC49C7F4}" name="Assigned Date_x000a_&lt;dd-mm-yyyy&gt;" dataDxfId="681" totalsRowDxfId="682"/>
    <tableColumn id="35" xr3:uid="{C169ED03-7FF0-4E87-8A1B-AD6EA2EEBD16}" name="PRCR Stage" dataDxfId="679" totalsRowDxfId="680"/>
    <tableColumn id="36" xr3:uid="{70AA7A98-E8F5-46C9-9077-B005E502BA8F}" name="DCRType" dataDxfId="677" totalsRowDxfId="678"/>
    <tableColumn id="37" xr3:uid="{CAFD5842-5881-40F8-94E1-B804F7A29CBE}" name="Need Date" dataDxfId="675" totalsRowDxfId="676"/>
    <tableColumn id="38" xr3:uid="{E807B155-A9A6-4BF4-9317-BA515B2CB83B}" name="DCR Project" dataDxfId="673" totalsRowDxfId="674"/>
    <tableColumn id="39" xr3:uid="{9EF55631-8B66-411C-9BD0-063B51295D54}" name="PRCR Submission date" dataDxfId="671" totalsRowDxfId="672"/>
    <tableColumn id="40" xr3:uid="{952C0A9A-8037-444E-868A-EFDC29572567}" name="Actual Start Date_x000a_&lt;dd-mm-yyyy&gt;" dataDxfId="670"/>
    <tableColumn id="41" xr3:uid="{B854F3F6-486E-4E51-8C9E-5CD5F8EAE9A9}" name="Planned Start Date_x000a_&lt;dd-mm-yyyy&gt;" dataDxfId="669"/>
    <tableColumn id="42" xr3:uid="{A450DD31-05BC-4026-B1B8-E481876B8AC4}" name="Planned Completion Date_x000a_&lt;dd-mm-yyyy&gt;" dataDxfId="668">
      <calculatedColumnFormula>N4</calculatedColumnFormula>
    </tableColumn>
    <tableColumn id="43" xr3:uid="{84F82086-BBD8-48FC-93B2-9F0671325CEA}" name="Comments for OTD missed_x000a_OR_x000a_for date change" dataDxfId="667"/>
    <tableColumn id="44" xr3:uid="{93544F1E-54AE-4583-AD80-42441593EF5F}" name="Initial estimated efforts" dataDxfId="666"/>
    <tableColumn id="45" xr3:uid="{70F3BA90-5550-4E6E-8C27-797438FBBCA0}" name="Actual Hrs" dataDxfId="665"/>
    <tableColumn id="46" xr3:uid="{E6D76324-560C-4050-BF9A-6168C6D6FFA0}" name="Actual Cmpln Date_x000a_&lt;dd-mm-yyyy&gt;" dataDxfId="664"/>
    <tableColumn id="47" xr3:uid="{5AD29C54-2F06-43B1-8AB4-C8C3291441A1}" name="Actual L2 Sent Date" dataDxfId="663">
      <calculatedColumnFormula>4+8+8+8+10+0.25+0.15+2</calculatedColumnFormula>
    </tableColumn>
    <tableColumn id="48" xr3:uid="{B379B311-A4C4-4988-9519-EF3BC0F36C55}" name="L2 received Date" dataDxfId="662"/>
    <tableColumn id="49" xr3:uid="{4E2C63E5-9CEC-41F4-86BD-AB055FEBA574}" name="L2 sent to" dataDxfId="661"/>
    <tableColumn id="50" xr3:uid="{C0C3BA8E-7FDD-4C7F-B433-9CD6B30D1CEF}" name="CR/Qr Updated _x000a_(Y/N)" dataDxfId="660"/>
    <tableColumn id="51" xr3:uid="{FCF9FDB5-B49E-46B7-8E38-CF4C42A39CF1}" name="_x000a_Biz Type" dataDxfId="659"/>
    <tableColumn id="52" xr3:uid="{BC87CC25-0F58-4FD5-8827-B75C31372A14}" name="SubSystem" dataDxfId="657" totalsRowDxfId="658"/>
    <tableColumn id="53" xr3:uid="{1B9E03EE-D5FF-4845-9DDA-5B06D9153FFC}" name="Reason for delay(Red Diamond)_x000a_Applicable if release date is over" dataDxfId="656"/>
    <tableColumn id="54" xr3:uid="{F2324741-4D7D-4B65-97B0-F36E21D4B460}" name="Reason for PRCR Assignment after freeze date/ Submission deadline" dataDxfId="655"/>
    <tableColumn id="55" xr3:uid="{7853A699-F38A-448F-825A-7177C157E94C}" name="Work Packet ID" dataDxfId="654"/>
    <tableColumn id="56" xr3:uid="{41EB119C-F5AF-4D4D-98BD-ACBE1782DBCD}" name="WP Status" dataDxfId="653"/>
    <tableColumn id="57" xr3:uid="{02FE6953-159B-430C-B1C3-88B8A785218D}" name="Actual CCB Date" dataDxfId="652"/>
    <tableColumn id="58" xr3:uid="{FD6C5047-D4E7-49B4-9555-1E5A788C2470}" name="Actual DRB date" dataDxfId="651">
      <calculatedColumnFormula>4+8+8+8+10+0.25+0.15+2</calculatedColumnFormula>
    </tableColumn>
    <tableColumn id="59" xr3:uid="{C14BD1DC-032B-49D9-ADBD-67D44BCF7A36}" name="Planned CCB date" dataDxfId="650"/>
    <tableColumn id="60" xr3:uid="{524BF39C-371D-4323-B63C-FC7958E90564}" name="Planned DRB Date" dataDxfId="649"/>
    <tableColumn id="61" xr3:uid="{3662E796-2C5E-43BF-9A83-08B1455FC135}" name="Planned L2 Date" dataDxfId="648"/>
    <tableColumn id="62" xr3:uid="{1653353D-7C93-4C6A-BE50-0D6FB2049C37}" name="Current Activity" dataDxfId="647"/>
    <tableColumn id="63" xr3:uid="{C902F5A6-7E2F-4086-9E42-351A60B80C9A}" name="Reminder1 Date" dataDxfId="646"/>
    <tableColumn id="64" xr3:uid="{A9B9118B-C012-4F09-979D-A57138C8B104}" name="Reminder2 Date" dataDxfId="645"/>
    <tableColumn id="65" xr3:uid="{71E555D3-A3AE-4846-9B9E-747B308214A3}" name="Reminder3 Date" dataDxfId="644"/>
    <tableColumn id="66" xr3:uid="{6300899F-F360-495E-A9BB-002612EAE254}" name="Impacted components" dataDxfId="643"/>
    <tableColumn id="67" xr3:uid="{8BBC0DDE-0AAA-4AE5-808B-B643FCC19F69}" name="Actual Estimated efforts" dataDxfId="642"/>
    <tableColumn id="68" xr3:uid="{D13AE6E9-E079-49DC-9BC3-C08F25DFDE72}" name="Sub Activity" dataDxfId="641"/>
    <tableColumn id="69" xr3:uid="{0C59EB5D-AE98-4691-A868-8D492D430844}" name="DCR Type" dataDxfId="640">
      <calculatedColumnFormula>4+8+8+8+10+0.25+0.15+2</calculatedColumnFormula>
    </tableColumn>
    <tableColumn id="70" xr3:uid="{7ABE9C66-EEC7-4ACF-8324-F33A56BB3900}" name="Complexity" dataDxfId="639"/>
    <tableColumn id="71" xr3:uid="{28BFC46B-9975-4AC4-96BD-B773D8F05D08}" name="Scope" dataDxfId="638"/>
    <tableColumn id="72" xr3:uid="{B0A17F4A-06A5-4564-9DF7-CEAD35B337B6}" name="VnV completion date" dataDxfId="637"/>
    <tableColumn id="73" xr3:uid="{9BDE8AF6-3A8F-445C-82BA-D664D34D2253}" name="Support Required from team" dataDxfId="636"/>
    <tableColumn id="74" xr3:uid="{8298D254-9350-4EDD-862D-CCC647BE8500}" name="Support Required by date" dataDxfId="635"/>
    <tableColumn id="75" xr3:uid="{465EB831-7DCD-4FE9-A52D-9C17E97B97F8}" name="Agreement with LOB for pushing to next release. (Yes/ No/NA)" dataDxfId="634"/>
    <tableColumn id="76" xr3:uid="{B5A8551D-B7CE-4760-B256-064F483B2272}" name="Expected completion Dt? (if Delayed)" dataDxfId="633"/>
    <tableColumn id="77" xr3:uid="{E1222C30-5B4B-4D23-95F6-AED1F3F65D99}" name="Test bench Booked (Yes/No/NA)" dataDxfId="632"/>
    <tableColumn id="78" xr3:uid="{B1B8E4A0-1D50-401E-93EA-996FC861BA65}" name="Planned Quarter (Q# YYYY)" dataDxfId="631"/>
    <tableColumn id="79" xr3:uid="{5155C317-1728-45B2-B9B9-39E6FCFE0194}" name="Reasons for delay" dataDxfId="630"/>
    <tableColumn id="80" xr3:uid="{C973A355-3EDD-4F8C-B30D-7B44D6992B65}" name="Mitigation Plan" dataDxfId="629">
      <calculatedColumnFormula>4+8+8+8+10+0.25+0.15+2</calculatedColumnFormula>
    </tableColumn>
    <tableColumn id="81" xr3:uid="{B7DEC3AE-627A-4324-B59C-0534B8EE6AFB}" name="% completed till today2" dataDxfId="628"/>
    <tableColumn id="82" xr3:uid="{C2E1682E-B434-43C1-9674-EE162740B9A4}" name="Confidence level" dataDxfId="627"/>
    <tableColumn id="2" xr3:uid="{A61CE84D-9AD9-46B8-B517-032EA44E4CD8}" name="PEER _x000a_Planned date" dataDxfId="626"/>
    <tableColumn id="83" xr3:uid="{C23A90D5-26FB-410E-B833-72352BBD0253}" name="CCB_x000a_Planned date2" dataDxfId="625"/>
    <tableColumn id="84" xr3:uid="{10085911-2233-4088-A43E-7E31581A3FF9}" name="DRB/L2_x000a_Planned date3" dataDxfId="624"/>
    <tableColumn id="85" xr3:uid="{1A3407C1-CA42-4543-8D1B-2F45026D2D87}" name="OBD FORUM_x000a_PLANNED DATE" dataDxfId="623"/>
    <tableColumn id="86" xr3:uid="{6B997A34-7B92-409A-A419-6604EBF09F1F}" name="Component Owner" dataDxfId="622"/>
    <tableColumn id="87" xr3:uid="{344B1B0C-0473-4AAE-8DA3-2A8C7E021E48}" name="Authoring required" dataDxfId="621"/>
    <tableColumn id="90" xr3:uid="{DE854626-E512-4C15-9409-BF3C06D41040}" name="Current status" dataDxfId="620"/>
    <tableColumn id="88" xr3:uid="{D15D7E18-DD1F-4650-B6BA-2B7C7102BC9E}" name="Review Type" dataDxfId="61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AC46D96-E5AB-49A6-A4FF-5388A67C107E}" name="Tracker7" displayName="Tracker7" ref="A1:CJ41" totalsRowShown="0" headerRowDxfId="474" dataDxfId="473" headerRowBorderDxfId="471" tableBorderDxfId="472" headerRowCellStyle="Normal 4">
  <autoFilter ref="A1:CJ41" xr:uid="{B9CF71B7-B21F-4378-AC50-D7564045B983}"/>
  <tableColumns count="88">
    <tableColumn id="1" xr3:uid="{855873C1-DD87-4D6E-A578-7018B535D63E}" name="DCR Owner" dataDxfId="469" totalsRowDxfId="470"/>
    <tableColumn id="3" xr3:uid="{2AC28F47-63F5-4856-B388-7F5D075FA1E4}" name="Actual Efforts (Hrs)" dataDxfId="467" totalsRowDxfId="468"/>
    <tableColumn id="4" xr3:uid="{BA008A23-EBA3-43CA-AF00-9F9BB37C7D56}" name="Estimated Hrs" dataDxfId="466"/>
    <tableColumn id="5" xr3:uid="{15F94EBD-78B3-4817-98AA-24C19DA7BE24}" name="Remaining Hrs" dataDxfId="464" totalsRowDxfId="465"/>
    <tableColumn id="6" xr3:uid="{750A4F0D-D12F-4A81-9700-F4FCF9E1E5A1}" name="Type of Content" dataDxfId="462" totalsRowDxfId="463"/>
    <tableColumn id="7" xr3:uid="{B78F37D5-C698-4B44-99D1-4D9FD9E9E155}" name="DCR Phase" dataDxfId="460" totalsRowDxfId="461"/>
    <tableColumn id="8" xr3:uid="{7256D4A8-E376-4071-9482-ECFBAC88974D}" name="Required by Phase" dataDxfId="458" totalsRowDxfId="459"/>
    <tableColumn id="9" xr3:uid="{1B1B46E0-D5F3-42F0-BE05-55B25310CD8B}" name="DCR ID - PTC" dataDxfId="456" totalsRowDxfId="457"/>
    <tableColumn id="10" xr3:uid="{5D2E9561-5D0A-44BD-8AFC-C43304A62CC6}" name="PRCRID" dataDxfId="454" totalsRowDxfId="455"/>
    <tableColumn id="11" xr3:uid="{4D19ACE5-7B34-426A-AF16-7C26E3B4F213}" name="Summary" dataDxfId="452" totalsRowDxfId="453"/>
    <tableColumn id="12" xr3:uid="{2FFCC104-158D-47D2-91F4-A03DB907E2DD}" name="PRCRState" dataDxfId="450" totalsRowDxfId="451"/>
    <tableColumn id="13" xr3:uid="{EFBCD741-3D9C-40E0-86D9-0BE55F211137}" name="DCR State" dataDxfId="448" totalsRowDxfId="449"/>
    <tableColumn id="14" xr3:uid="{F3ADC098-8D1E-4DBE-9381-EA67283AE709}" name="Internal Owner" dataDxfId="446" totalsRowDxfId="447"/>
    <tableColumn id="15" xr3:uid="{6AEE84AE-091F-4FA5-93C8-BF2883EB2BCE}" name="Comments (Daily)" dataDxfId="444" totalsRowDxfId="445"/>
    <tableColumn id="16" xr3:uid="{5AAA8B64-7B0A-4E29-93F2-3DD9026FE985}" name="At Risk" dataDxfId="442" totalsRowDxfId="443"/>
    <tableColumn id="17" xr3:uid="{C57E74D6-399D-4D9E-AB17-8220CD92E1B6}" name="BT Start" dataDxfId="440" totalsRowDxfId="441"/>
    <tableColumn id="18" xr3:uid="{24E4D141-E7EB-4E07-8DB3-000D7CEF9988}" name="BT end" dataDxfId="438" totalsRowDxfId="439"/>
    <tableColumn id="19" xr3:uid="{1087D772-575D-45CE-8237-C21405CB98EA}" name="DDP Completion" dataDxfId="436" totalsRowDxfId="437"/>
    <tableColumn id="20" xr3:uid="{FB86C7F0-2165-4676-818B-2C2B7919D627}" name="Pre OBD Planned" dataDxfId="434" totalsRowDxfId="435"/>
    <tableColumn id="21" xr3:uid="{E03D9119-0723-4A9A-9851-4C856DB7F9AC}" name="OBD Planned " dataDxfId="432" totalsRowDxfId="433"/>
    <tableColumn id="22" xr3:uid="{FE3FEAD3-EFB4-4791-8075-A9789F94A4FC}" name="Feedback Awaited" dataDxfId="430" totalsRowDxfId="431"/>
    <tableColumn id="23" xr3:uid="{55EFAF06-800F-4F30-B295-60ABDC0A9BA8}" name="Responsible" dataDxfId="428" totalsRowDxfId="429"/>
    <tableColumn id="24" xr3:uid="{07709F4B-0EB5-4D06-9694-C5BFB2B24C58}" name="Last communication sent on" dataDxfId="426" totalsRowDxfId="427"/>
    <tableColumn id="25" xr3:uid="{0B6096A3-7A86-4658-BB02-FA66C11D4890}" name="Sub-Task" dataDxfId="424" totalsRowDxfId="425"/>
    <tableColumn id="26" xr3:uid="{C29D4BB5-B49C-4268-95D4-C741C58BA7A4}" name="Sub-Activity" dataDxfId="422" totalsRowDxfId="423"/>
    <tableColumn id="27" xr3:uid="{E7AFF727-F4A2-4C69-9BDD-C479F59D55F4}" name="Used Hours" dataDxfId="420" totalsRowDxfId="421"/>
    <tableColumn id="28" xr3:uid="{8DA82E75-5E54-4C93-B5C8-63F4270DA25B}" name="Sprint" dataDxfId="418" totalsRowDxfId="419"/>
    <tableColumn id="29" xr3:uid="{8D7E521F-E329-433D-87B2-4135D2B6298F}" name="Deadline Date as per tagged phase/ Commit Date" dataDxfId="416" totalsRowDxfId="417"/>
    <tableColumn id="30" xr3:uid="{2F6008AF-E501-42E6-99C0-D3D21DDB6BA8}" name="Tag" dataDxfId="414" totalsRowDxfId="415"/>
    <tableColumn id="31" xr3:uid="{48F6489E-080D-49FE-8588-F50A7584466A}" name="CQ Priority" dataDxfId="412" totalsRowDxfId="413"/>
    <tableColumn id="32" xr3:uid="{81F96590-BA68-4A63-87DE-00C848CE1FCB}" name="Internal Priority" dataDxfId="410" totalsRowDxfId="411"/>
    <tableColumn id="33" xr3:uid="{79666A30-97D3-456F-85B4-C740DA8F8983}" name="Actual Assigned Date" dataDxfId="408" totalsRowDxfId="409"/>
    <tableColumn id="34" xr3:uid="{D3C9EDF5-F43D-4C36-80CC-627FBFD58D3D}" name="Assigned Date_x000a_&lt;dd-mm-yyyy&gt;" dataDxfId="406" totalsRowDxfId="407"/>
    <tableColumn id="35" xr3:uid="{63C77D20-67F7-4EAA-8C70-28ABCD31E8B9}" name="PRCR Stage" dataDxfId="404" totalsRowDxfId="405"/>
    <tableColumn id="36" xr3:uid="{7A51CD78-EC1F-4C11-9E72-6EA3759CA678}" name="DCRType" dataDxfId="402" totalsRowDxfId="403"/>
    <tableColumn id="37" xr3:uid="{AE3DF931-ACD1-4183-AE20-B18184E8C890}" name="Need Date" dataDxfId="400" totalsRowDxfId="401"/>
    <tableColumn id="38" xr3:uid="{136F6001-8E26-4B17-86EB-922C264CC60B}" name="DCR Project" dataDxfId="398" totalsRowDxfId="399"/>
    <tableColumn id="39" xr3:uid="{5DAC9686-221A-4E8B-9939-F55D72262EDB}" name="PRCR Submission date" dataDxfId="396" totalsRowDxfId="397"/>
    <tableColumn id="40" xr3:uid="{00A6F9EF-8FFD-4B06-A8CC-F47510A3ACFE}" name="Actual Start Date_x000a_&lt;dd-mm-yyyy&gt;" dataDxfId="394" totalsRowDxfId="395"/>
    <tableColumn id="41" xr3:uid="{364DF417-521E-4522-81F8-FA06B93AC64C}" name="Planned Start Date_x000a_&lt;dd-mm-yyyy&gt;" dataDxfId="392" totalsRowDxfId="393"/>
    <tableColumn id="42" xr3:uid="{92E2C468-7E18-4F92-A4C0-342463BB3810}" name="Planned Completion Date_x000a_&lt;dd-mm-yyyy&gt;" dataDxfId="391">
      <calculatedColumnFormula>VLOOKUP(Tracker7[[#This Row],[DCR ID - PTC]],'STLA (2)'!$B:$W,21,FALSE)</calculatedColumnFormula>
    </tableColumn>
    <tableColumn id="43" xr3:uid="{6FFB615A-EEDE-4D69-8C49-A78A51D6C32D}" name="Comments for OTD missed_x000a_OR_x000a_for date change" dataDxfId="389" totalsRowDxfId="390"/>
    <tableColumn id="44" xr3:uid="{5C57F0CA-DA7E-4543-9308-91A55DEA358B}" name="Initial estimated efforts" dataDxfId="387" totalsRowDxfId="388"/>
    <tableColumn id="45" xr3:uid="{41D37E4D-0E8F-4E03-A1AC-DB3E414C81E5}" name="Actual Hrs" dataDxfId="385" totalsRowDxfId="386"/>
    <tableColumn id="46" xr3:uid="{8030C82A-8ED3-497D-853F-F0BAF67C5994}" name="Actual Cmpln Date_x000a_&lt;dd-mm-yyyy&gt;" dataDxfId="383" totalsRowDxfId="384"/>
    <tableColumn id="47" xr3:uid="{D9EF3A38-721A-43D9-AEA0-9AD16D765757}" name="Actual L2 Sent Date" dataDxfId="381" totalsRowDxfId="382"/>
    <tableColumn id="48" xr3:uid="{CE96DECE-1088-469C-8AE6-401AC73A1D9B}" name="L2 received Date" dataDxfId="379" totalsRowDxfId="380"/>
    <tableColumn id="49" xr3:uid="{71876832-BC42-4590-91EA-FD321E673399}" name="L2 sent to" dataDxfId="377" totalsRowDxfId="378"/>
    <tableColumn id="50" xr3:uid="{00FB1E90-F553-453B-A6D2-06A4F535914F}" name="CR/Qr Updated _x000a_(Y/N)" dataDxfId="375" totalsRowDxfId="376"/>
    <tableColumn id="51" xr3:uid="{11CA9030-AE1A-4670-B5ED-230626413B1C}" name="_x000a_Biz Type" dataDxfId="373" totalsRowDxfId="374"/>
    <tableColumn id="52" xr3:uid="{8AB9E872-B8AB-488D-B2B5-8A8C110BFEF0}" name="SubSystem" dataDxfId="371" totalsRowDxfId="372"/>
    <tableColumn id="53" xr3:uid="{8ECB37FF-8EF1-446C-8E5E-3C2B3EA5DC65}" name="Reason for delay(Red Diamond)_x000a_Applicable if release date is over" dataDxfId="369" totalsRowDxfId="370"/>
    <tableColumn id="54" xr3:uid="{40B38E1D-F175-4533-93F0-B00A27F95EEF}" name="Reason for PRCR Assignment after freeze date/ Submission deadline" dataDxfId="367" totalsRowDxfId="368"/>
    <tableColumn id="55" xr3:uid="{4FCA8C26-27F2-4660-920B-1DBE31B7EA1D}" name="Work Packet ID" dataDxfId="365" totalsRowDxfId="366"/>
    <tableColumn id="56" xr3:uid="{1FD4B1F8-8C69-4BB0-9B5B-0D388C675DC1}" name="WP Status" dataDxfId="363" totalsRowDxfId="364"/>
    <tableColumn id="57" xr3:uid="{D5337430-D470-4E90-B2E0-DA9D9329138E}" name="Actual CCB Date" dataDxfId="361" totalsRowDxfId="362"/>
    <tableColumn id="58" xr3:uid="{E80D78DF-D527-453C-9B96-A253C882D687}" name="Actual DRB date" dataDxfId="359" totalsRowDxfId="360"/>
    <tableColumn id="59" xr3:uid="{D2F7A097-BB46-4737-BBC5-B7F1004418DC}" name="Planned CCB date" dataDxfId="357" totalsRowDxfId="358"/>
    <tableColumn id="60" xr3:uid="{D2EFAEDC-4D1A-488E-A0A1-59F248D79A6D}" name="Planned DRB Date" dataDxfId="355" totalsRowDxfId="356"/>
    <tableColumn id="61" xr3:uid="{6B4D19AC-C272-4ACC-87BF-B3BCAAEABA94}" name="Planned L2 Date" dataDxfId="353" totalsRowDxfId="354"/>
    <tableColumn id="62" xr3:uid="{F1108358-2A6E-4290-8ED0-B41B12884117}" name="Current Activity" dataDxfId="351" totalsRowDxfId="352"/>
    <tableColumn id="63" xr3:uid="{FCA6F849-6674-463C-B2AE-BD78F9D725AE}" name="Reminder1 Date" dataDxfId="349" totalsRowDxfId="350"/>
    <tableColumn id="64" xr3:uid="{15370BFF-46F6-431D-AC7B-DB9450B63047}" name="Reminder2 Date" dataDxfId="347" totalsRowDxfId="348"/>
    <tableColumn id="65" xr3:uid="{54C29140-A23F-404D-9AD5-7181295D7B42}" name="Reminder3 Date" dataDxfId="345" totalsRowDxfId="346"/>
    <tableColumn id="66" xr3:uid="{8367C1EF-EAC1-430B-84E9-C8CD30B238B1}" name="Impacted components" dataDxfId="344"/>
    <tableColumn id="67" xr3:uid="{457F69DB-104D-4ABE-94BA-0963A20E4E38}" name="Actual Estimated efforts" dataDxfId="342" totalsRowDxfId="343"/>
    <tableColumn id="68" xr3:uid="{F4ED53B5-44BD-4C96-B9E6-4C5C17846C55}" name="Sub Activity" dataDxfId="340" totalsRowDxfId="341"/>
    <tableColumn id="69" xr3:uid="{C840DDDF-0A9C-4E2F-A2F4-B740FDA94487}" name="DCR Type" dataDxfId="338" totalsRowDxfId="339"/>
    <tableColumn id="70" xr3:uid="{BF44100D-2CDF-4B9A-A63D-096E4603E41E}" name="Complexity" dataDxfId="336" totalsRowDxfId="337"/>
    <tableColumn id="71" xr3:uid="{B746A306-3834-4A5B-8217-66AF5BC6C257}" name="Scope" dataDxfId="334" totalsRowDxfId="335"/>
    <tableColumn id="72" xr3:uid="{647D456B-B9A9-402A-A15B-D43D903D626C}" name="VnV completion date" dataDxfId="332" totalsRowDxfId="333"/>
    <tableColumn id="73" xr3:uid="{8129879D-9ED2-47D3-8CA1-7C23BC46ED37}" name="Support Required from team" dataDxfId="330" totalsRowDxfId="331"/>
    <tableColumn id="74" xr3:uid="{DCDDB24C-3F22-4E18-991D-E5E83089B702}" name="Support Required by date" dataDxfId="328" totalsRowDxfId="329"/>
    <tableColumn id="75" xr3:uid="{C05AEAEA-9E2B-4AF1-AE22-A066D53FA941}" name="Agreement with LOB for pushing to next release. (Yes/ No/NA)" dataDxfId="326" totalsRowDxfId="327"/>
    <tableColumn id="76" xr3:uid="{BB9CB12B-C7E5-4926-8B08-4D34A1E6D521}" name="Expected completion Dt? (if Delayed)" dataDxfId="324" totalsRowDxfId="325"/>
    <tableColumn id="77" xr3:uid="{64B871F5-3EAF-4667-9ECA-925D305F1193}" name="Test bench Booked (Yes/No/NA)" dataDxfId="322" totalsRowDxfId="323"/>
    <tableColumn id="78" xr3:uid="{104919F5-FCBF-4972-9F51-021862F60790}" name="Planned Quarter (Q# YYYY)" dataDxfId="320" totalsRowDxfId="321"/>
    <tableColumn id="79" xr3:uid="{F674A116-D986-4096-8B55-0D78977CCBDF}" name="Reasons for delay" dataDxfId="318" totalsRowDxfId="319"/>
    <tableColumn id="80" xr3:uid="{F34E7D56-B409-413C-9552-4FC796318A4B}" name="Mitigation Plan" dataDxfId="316" totalsRowDxfId="317"/>
    <tableColumn id="81" xr3:uid="{E9A9519F-AAC9-4433-8E77-CD9AE4FFB5E8}" name="% completed till today2" dataDxfId="314" totalsRowDxfId="315"/>
    <tableColumn id="82" xr3:uid="{238EA95E-EE69-42AB-9FC9-4C6CA712CFAC}" name="Confidence level" dataDxfId="312" totalsRowDxfId="313"/>
    <tableColumn id="2" xr3:uid="{DA5BA15A-68BC-4673-B569-0F31C29DFADD}" name="PEER _x000a_Planned date" dataDxfId="311">
      <calculatedColumnFormula>VLOOKUP(Tracker7[[#This Row],[DCR ID - PTC]],'STLA (2)'!$B:$W,18,FALSE)</calculatedColumnFormula>
    </tableColumn>
    <tableColumn id="83" xr3:uid="{84B053A5-FA4A-4936-8688-5BFFF1056AE3}" name="CCB_x000a_Planned date2" dataDxfId="310">
      <calculatedColumnFormula>VLOOKUP(Tracker7[[#This Row],[DCR ID - PTC]],'STLA (2)'!$B:$W,19,FALSE)</calculatedColumnFormula>
    </tableColumn>
    <tableColumn id="84" xr3:uid="{5279A860-457C-4CCA-944E-F22CED37BC10}" name="DRB/L2_x000a_Planned date3" dataDxfId="309">
      <calculatedColumnFormula>VLOOKUP(Tracker7[[#This Row],[DCR ID - PTC]],'STLA (2)'!$B:$W,20,FALSE)</calculatedColumnFormula>
    </tableColumn>
    <tableColumn id="85" xr3:uid="{CC65D188-52ED-4AED-817B-C335E9872D12}" name="OBD FORUM_x000a_PLANNED DATE" dataDxfId="308"/>
    <tableColumn id="86" xr3:uid="{B8EB93B8-AA07-411E-82E0-140704303839}" name="Component Owner" dataDxfId="307"/>
    <tableColumn id="87" xr3:uid="{CAEEF4F0-51B8-4EEE-A3D5-DA07D6265FCB}" name="Authoring required" dataDxfId="306"/>
    <tableColumn id="90" xr3:uid="{2093B206-B5A7-4D77-AC58-770EF1CE2A91}" name="Current status" dataDxfId="304" totalsRowDxfId="305"/>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785FFF-E831-4AB4-89ED-8289ECC45767}" name="Tracker2" displayName="Tracker2" ref="A1:CI32" totalsRowShown="0" headerRowDxfId="223" dataDxfId="222" headerRowBorderDxfId="220" tableBorderDxfId="221" headerRowCellStyle="Normal 4">
  <autoFilter ref="A1:CI32" xr:uid="{877ECA91-9869-4446-A42E-03A5FD31FC3B}">
    <filterColumn colId="0">
      <filters>
        <filter val="Shraddha M"/>
      </filters>
    </filterColumn>
  </autoFilter>
  <tableColumns count="87">
    <tableColumn id="1" xr3:uid="{2590EA42-706D-4713-957F-A2FA8C686EF0}" name="DCR Owner" dataDxfId="218" totalsRowDxfId="219"/>
    <tableColumn id="3" xr3:uid="{4B92330F-ED88-4013-A8F0-9E9A744862D1}" name="Actual Efforts (Hrs)" dataDxfId="216" totalsRowDxfId="217"/>
    <tableColumn id="4" xr3:uid="{1CD1A12D-C792-4DB2-A2C9-FDF9D15D6F83}" name="Estimated Hrs" dataDxfId="215"/>
    <tableColumn id="5" xr3:uid="{9B314787-BD25-4566-BD0E-330197D3309A}" name="Remaining Hrs" dataDxfId="213" totalsRowDxfId="214"/>
    <tableColumn id="6" xr3:uid="{C198AC08-F49D-46FD-A298-2689DDDE7506}" name="Type of Contenet" dataDxfId="211" totalsRowDxfId="212">
      <calculatedColumnFormula>2+3+1.5+1.5+2.5+3+4+4+4</calculatedColumnFormula>
    </tableColumn>
    <tableColumn id="7" xr3:uid="{9F5BEEA3-3C0C-4723-A340-B73E9D3BE4BB}" name="DCR Phase" dataDxfId="209" totalsRowDxfId="210"/>
    <tableColumn id="8" xr3:uid="{F0ED76C2-400A-4536-8262-9A397FD851EC}" name="Required by Phase" dataDxfId="207" totalsRowDxfId="208"/>
    <tableColumn id="9" xr3:uid="{982A19F4-4243-4D2A-A3B5-7062AFDB3DC7}" name="_x000a_DCR ID - PTC" dataDxfId="205" totalsRowDxfId="206"/>
    <tableColumn id="10" xr3:uid="{69B89A59-7B28-4E4E-ACAF-82F9B99AE246}" name="PRCRID" dataDxfId="203" totalsRowDxfId="204">
      <calculatedColumnFormula>Tracker2[[#This Row],[
DCR ID - PTC]]</calculatedColumnFormula>
    </tableColumn>
    <tableColumn id="11" xr3:uid="{1F1DDDA3-7B89-4133-97D0-32CBBBB44072}" name="Summary" dataDxfId="201" totalsRowDxfId="202"/>
    <tableColumn id="12" xr3:uid="{402FDDD5-292D-4109-8844-D9740AC24E14}" name="PRCRState" dataDxfId="199" totalsRowDxfId="200"/>
    <tableColumn id="13" xr3:uid="{AD9C7A2A-351E-4878-92BB-DFF9E2565327}" name="DCR State" dataDxfId="197" totalsRowDxfId="198"/>
    <tableColumn id="14" xr3:uid="{9BE8EA59-5375-415D-8DFE-AAF803478B47}" name="Internal Owner" dataDxfId="195" totalsRowDxfId="196">
      <calculatedColumnFormula>7+4+3+6+1</calculatedColumnFormula>
    </tableColumn>
    <tableColumn id="15" xr3:uid="{054CC40F-786E-4A1D-9DAF-9248F411ECCC}" name="Comments (Daily)" dataDxfId="193" totalsRowDxfId="194"/>
    <tableColumn id="16" xr3:uid="{D1222CE5-7C26-49C0-A3D4-2C4974F44DBB}" name="At Risk" dataDxfId="191" totalsRowDxfId="192"/>
    <tableColumn id="17" xr3:uid="{BC2D7355-3F51-4553-9194-D83DAA452DFA}" name="BT Start" dataDxfId="189" totalsRowDxfId="190"/>
    <tableColumn id="18" xr3:uid="{862CC40C-6588-4B0C-866A-D6A65C3EC48A}" name="BT end" dataDxfId="187" totalsRowDxfId="188"/>
    <tableColumn id="19" xr3:uid="{FC002DD1-E25D-403D-9E05-499DCDE9C1FF}" name="DDP Completion" dataDxfId="185" totalsRowDxfId="186"/>
    <tableColumn id="20" xr3:uid="{160C9D59-3B48-4920-B0AA-C5E3EFA44EA5}" name="Pre OBD Planned" dataDxfId="183" totalsRowDxfId="184"/>
    <tableColumn id="21" xr3:uid="{12BA8F2B-31BC-4C4F-BAA0-27291D436A4B}" name="OBD Planned " dataDxfId="181" totalsRowDxfId="182"/>
    <tableColumn id="22" xr3:uid="{09CC5933-F33B-40A0-983E-7D6950391557}" name="Feedback Awaited" dataDxfId="179" totalsRowDxfId="180"/>
    <tableColumn id="23" xr3:uid="{42B03E0D-C33B-4364-AF57-59DAAA7FFCA7}" name="Responsible" dataDxfId="177" totalsRowDxfId="178"/>
    <tableColumn id="24" xr3:uid="{8A67371C-8849-4218-9F11-8AAE3E41039D}" name="Last communication sent on" dataDxfId="175" totalsRowDxfId="176"/>
    <tableColumn id="25" xr3:uid="{C90FF2A3-48F8-49B1-8822-A2CAAF1CD9FC}" name="Sub-Task" dataDxfId="173" totalsRowDxfId="174"/>
    <tableColumn id="26" xr3:uid="{4A6AA03C-95F5-4EF3-9211-6854E67B4E63}" name="Sub-Activity" dataDxfId="171" totalsRowDxfId="172"/>
    <tableColumn id="27" xr3:uid="{88B9C490-4A07-4A7E-931F-CF470A0B3C5C}" name="Used Hours" dataDxfId="169" totalsRowDxfId="170"/>
    <tableColumn id="28" xr3:uid="{E7D40F3E-218B-4162-9618-27D679E0D346}" name="Sprint" dataDxfId="167" totalsRowDxfId="168"/>
    <tableColumn id="29" xr3:uid="{CEF0E0BC-BAD3-4655-844C-D43E7A8AF801}" name="Deadline Date as per tagged phase/ Commit Date" dataDxfId="165" totalsRowDxfId="166"/>
    <tableColumn id="30" xr3:uid="{D5101B28-E258-40A4-B08E-C14A3EBDF8AD}" name="Tag" dataDxfId="163" totalsRowDxfId="164"/>
    <tableColumn id="31" xr3:uid="{A8FCB9E2-64E0-4E0B-92CF-810658720B71}" name="CQ Priority" dataDxfId="161" totalsRowDxfId="162"/>
    <tableColumn id="32" xr3:uid="{94F6578D-0128-49B8-A2FC-1AD157C289C4}" name="Internal Priority" dataDxfId="159" totalsRowDxfId="160"/>
    <tableColumn id="33" xr3:uid="{4B00F60F-2217-468F-B530-E01E80EBF544}" name="Actual Assigned Date" dataDxfId="157" totalsRowDxfId="158"/>
    <tableColumn id="34" xr3:uid="{16296124-82C0-4226-A8BB-20D199BE6160}" name="Assigned Date_x000a_&lt;dd-mm-yyyy&gt;" dataDxfId="155" totalsRowDxfId="156"/>
    <tableColumn id="35" xr3:uid="{52AA307F-AEC6-4E58-B99D-5692E2F50CF7}" name="PRCR Stage" dataDxfId="153" totalsRowDxfId="154"/>
    <tableColumn id="36" xr3:uid="{16A81B12-D083-42F4-8746-8950B704F9BA}" name="DCRType" dataDxfId="151" totalsRowDxfId="152"/>
    <tableColumn id="37" xr3:uid="{91390B75-DE5F-4B95-B537-FCCB89EBF110}" name="Need Date" dataDxfId="149" totalsRowDxfId="150"/>
    <tableColumn id="38" xr3:uid="{563D89D4-0664-4088-B847-F027F3844BB2}" name="DCR Project" dataDxfId="147" totalsRowDxfId="148"/>
    <tableColumn id="39" xr3:uid="{0FCDB1C8-DFC8-4474-B804-4106644885B1}" name="PRCR Submission date" dataDxfId="145" totalsRowDxfId="146"/>
    <tableColumn id="40" xr3:uid="{E0F7D426-687E-4F70-9FAB-224978E77FDD}" name="Actual Start Date_x000a_&lt;dd-mm-yyyy&gt;" dataDxfId="143" totalsRowDxfId="144"/>
    <tableColumn id="41" xr3:uid="{0B6CD57C-693F-4923-A912-CBE77838D8DE}" name="Planned Start Date_x000a_&lt;dd-mm-yyyy&gt;" dataDxfId="141" totalsRowDxfId="142"/>
    <tableColumn id="42" xr3:uid="{75CD2703-E7C7-4BB5-9292-5BAD98BD617E}" name="Planned Completion Date_x000a_&lt;dd-mm-yyyy&gt;" dataDxfId="140"/>
    <tableColumn id="43" xr3:uid="{5B5979C8-8400-457A-98BA-352DBA28B3B8}" name="Comments for OTD missed_x000a_OR_x000a_for date change" dataDxfId="138" totalsRowDxfId="139"/>
    <tableColumn id="44" xr3:uid="{9C543C4C-63DF-4410-8862-FA4E3AEAC8EA}" name="Initial estimated efforts" dataDxfId="136" totalsRowDxfId="137"/>
    <tableColumn id="45" xr3:uid="{EC5F06AE-1C1F-4E4F-85C5-7FB2C0E82241}" name="Actual Hrs" dataDxfId="134" totalsRowDxfId="135"/>
    <tableColumn id="46" xr3:uid="{02A69482-741B-4AD9-AFDA-5919C3D8D650}" name="Actual Cmpln Date_x000a_&lt;dd-mm-yyyy&gt;" dataDxfId="132" totalsRowDxfId="133"/>
    <tableColumn id="47" xr3:uid="{B5DBD9E5-D3CE-4EC4-959A-93C975748223}" name="Actual L2 Sent Date" dataDxfId="130" totalsRowDxfId="131"/>
    <tableColumn id="48" xr3:uid="{2A1C7958-6E28-4608-83F5-DBFD545FBC26}" name="L2 received Date" dataDxfId="128" totalsRowDxfId="129"/>
    <tableColumn id="49" xr3:uid="{6D28E3F3-0BFD-4CC8-8201-821567E12508}" name="L2 sent to" dataDxfId="126" totalsRowDxfId="127"/>
    <tableColumn id="50" xr3:uid="{BB409E52-FA49-4BEA-B73C-28CD64B3F9E3}" name="CR/Qr Updated _x000a_(Y/N)" dataDxfId="124" totalsRowDxfId="125"/>
    <tableColumn id="51" xr3:uid="{641D3E9B-DDD5-4EF4-98EA-B94E70FF1BBF}" name="_x000a_Biz Type" dataDxfId="122" totalsRowDxfId="123"/>
    <tableColumn id="52" xr3:uid="{D635E7CB-43BA-465D-8210-DFFDAFE6ECD0}" name="SubSystem" dataDxfId="120" totalsRowDxfId="121"/>
    <tableColumn id="53" xr3:uid="{8115AD0C-B4A5-4A77-9147-495B6A3F9EB3}" name="Reason for delay(Red Diamond)_x000a_Applicable if release date is over" dataDxfId="118" totalsRowDxfId="119"/>
    <tableColumn id="54" xr3:uid="{7CBD406E-EC91-4CDF-BAA7-BB4358BC4424}" name="Reason for PRCR Assignment after freeze date/ Submission deadline" dataDxfId="116" totalsRowDxfId="117"/>
    <tableColumn id="55" xr3:uid="{4F592772-F2ED-4384-86F9-B556B07D18B4}" name="Work Packet ID" dataDxfId="114" totalsRowDxfId="115"/>
    <tableColumn id="56" xr3:uid="{F2FE3AAB-404E-4FFB-A40D-1404F175F3E8}" name="WP Status" dataDxfId="112" totalsRowDxfId="113"/>
    <tableColumn id="57" xr3:uid="{623EDF07-1FC7-4C93-BD75-271F76CD7277}" name="Actual CCB Date" dataDxfId="110" totalsRowDxfId="111"/>
    <tableColumn id="58" xr3:uid="{1F61D697-CD13-4B55-9AD5-04E3E2F2736D}" name="Actual DRB date" dataDxfId="108" totalsRowDxfId="109"/>
    <tableColumn id="59" xr3:uid="{80631DF6-DC95-4293-9F3F-C6DCBA6D833E}" name="Planned CCB date" dataDxfId="106" totalsRowDxfId="107"/>
    <tableColumn id="60" xr3:uid="{226411B2-7D48-47A9-8402-F76A9DA919CE}" name="Planned DRB Date" dataDxfId="104" totalsRowDxfId="105"/>
    <tableColumn id="61" xr3:uid="{E2153D9E-2C18-47A2-9A20-75CC109C66BB}" name="Planned L2 Date" dataDxfId="102" totalsRowDxfId="103"/>
    <tableColumn id="62" xr3:uid="{84E17565-2389-478D-A3DA-982BED29058A}" name="Current Activity" dataDxfId="100" totalsRowDxfId="101"/>
    <tableColumn id="63" xr3:uid="{CAD5724B-B38F-4CD1-BAC3-6CB769D0EF25}" name="Reminder1 Date" dataDxfId="98" totalsRowDxfId="99"/>
    <tableColumn id="64" xr3:uid="{F2BF2297-34C9-437B-A533-05011158DCD9}" name="Reminder2 Date" dataDxfId="96" totalsRowDxfId="97"/>
    <tableColumn id="65" xr3:uid="{F9279851-8774-4C23-8C30-4374B4B1B731}" name="Reminder3 Date" dataDxfId="94" totalsRowDxfId="95"/>
    <tableColumn id="66" xr3:uid="{25335B88-76C4-42EF-BBC1-149AE68A581F}" name="Impacted Components" dataDxfId="93"/>
    <tableColumn id="67" xr3:uid="{86D7DFDA-9478-4520-87B9-156B2B83C34A}" name="Actual Estimated efforts" dataDxfId="91" totalsRowDxfId="92"/>
    <tableColumn id="68" xr3:uid="{613B6508-D091-4937-AD6B-CE661C832B35}" name="Sub Activity" dataDxfId="89" totalsRowDxfId="90"/>
    <tableColumn id="69" xr3:uid="{0C84EE51-B2E8-497F-A86A-0A3E2358140C}" name="DCR Type" dataDxfId="87" totalsRowDxfId="88"/>
    <tableColumn id="70" xr3:uid="{112A0E1E-BD3A-4B38-AEEB-D41D758E71B9}" name="Complexity" dataDxfId="85" totalsRowDxfId="86"/>
    <tableColumn id="71" xr3:uid="{E16B8EB3-BC24-40AD-A990-A49BB020B753}" name="Scope" dataDxfId="83" totalsRowDxfId="84"/>
    <tableColumn id="72" xr3:uid="{45BA2385-7C76-4C52-B294-6D7E8C802B6B}" name="VnV completion date" dataDxfId="81" totalsRowDxfId="82"/>
    <tableColumn id="73" xr3:uid="{F75223E5-0CFB-46C8-8FEC-E51F7D977F77}" name="Support Required from team" dataDxfId="79" totalsRowDxfId="80"/>
    <tableColumn id="74" xr3:uid="{F0DBF4BD-6AA8-4473-804A-B58B934CCDD6}" name="Support Required by date" dataDxfId="77" totalsRowDxfId="78"/>
    <tableColumn id="75" xr3:uid="{D334CB97-0C2C-4AEE-8F0E-166CB8EA9EDD}" name="Agreement with LOB for pushing to next release. (Yes/ No/NA)" dataDxfId="75" totalsRowDxfId="76"/>
    <tableColumn id="76" xr3:uid="{D37659BB-993C-4D06-84E1-479AD4774D21}" name="Expected completion Dt? (if Delayed)" dataDxfId="73" totalsRowDxfId="74"/>
    <tableColumn id="77" xr3:uid="{3F8B392B-8382-4A5B-B3FA-B70B9889D78E}" name="Test bench Booked (Yes/No/NA)" dataDxfId="71" totalsRowDxfId="72"/>
    <tableColumn id="78" xr3:uid="{DFFD9518-1AC2-4D47-A60C-2FEF85BF0314}" name="Planned Quarter (Q# YYYY)" dataDxfId="69" totalsRowDxfId="70"/>
    <tableColumn id="79" xr3:uid="{E005B557-2057-4856-A51E-E2FB1254A7F8}" name="Reasons for delay" dataDxfId="67" totalsRowDxfId="68"/>
    <tableColumn id="80" xr3:uid="{A4DDBE50-5B1A-4493-83A4-BA68C7627F8A}" name="Mitigation Plan" dataDxfId="65" totalsRowDxfId="66"/>
    <tableColumn id="81" xr3:uid="{FCC4989A-2BCA-443F-A8CD-4633B015E219}" name="% completed till today2" dataDxfId="63" totalsRowDxfId="64"/>
    <tableColumn id="82" xr3:uid="{A93B581D-3880-467F-94F2-7E42F3CD851D}" name="Confidence level" dataDxfId="61" totalsRowDxfId="62"/>
    <tableColumn id="2" xr3:uid="{B37F7498-0966-4DCC-B54D-C966F8691294}" name="Planned Peer review dates" dataDxfId="60"/>
    <tableColumn id="89" xr3:uid="{02EDB10A-ECD9-4A51-B2EB-64503BA65B03}" name="Planned CCB Review" dataDxfId="59"/>
    <tableColumn id="83" xr3:uid="{1D765D41-7BB7-42EE-81B0-2A995E3AA48D}" name="Planned DRB/L2 Review send date" dataDxfId="58"/>
    <tableColumn id="84" xr3:uid="{E46B2AF5-5071-4BE0-A504-00893AE61AE1}" name="Component Owner" dataDxfId="57"/>
    <tableColumn id="85" xr3:uid="{F62801A5-C9E3-45AB-AC01-8178762CB31B}" name="Authoring Required" dataDxfId="56"/>
    <tableColumn id="86" xr3:uid="{AAF92061-5CF8-4BAB-9353-28BFD8506BED}" name="Remarks" dataDxfId="55"/>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3" dT="2026-04-28T13:31:23.36" personId="{605761AD-E25F-4BC8-96A1-575CEB7F759D}" id="{92B69696-580D-4965-82F3-19B886C03B2E}">
    <text>Urgent delivery needed for May 22</text>
  </threadedComment>
  <threadedComment ref="R19" dT="2026-05-06T10:32:58.14" personId="{70C06E16-CA94-4F9E-875C-825726BC9D30}" id="{5C952A20-E7AE-4306-AA3B-E04A12653712}">
    <text>This is tentative, estimation can be changed based on analysis &amp; feature sim</text>
  </threadedComment>
  <threadedComment ref="R25" dT="2026-05-14T11:38:39.47" personId="{811A7B02-7C7E-49D8-A829-AB6311F1B586}" id="{5CB6B45B-D4F4-4C4B-8A05-E0471AF4FF9A}">
    <text>10</text>
  </threadedComment>
  <threadedComment ref="T25" dT="2026-05-14T11:40:19.09" personId="{811A7B02-7C7E-49D8-A829-AB6311F1B586}" id="{A20C4E11-E8DB-40D1-B17B-4CF7CE049D6B}">
    <text>20</text>
  </threadedComment>
  <threadedComment ref="R30" dT="2026-05-14T11:30:35.56" personId="{811A7B02-7C7E-49D8-A829-AB6311F1B586}" id="{215534DF-21AA-4C8B-B0EF-D0BA299B2BCF}">
    <text>20</text>
  </threadedComment>
  <threadedComment ref="T30" dT="2026-05-14T11:33:51.12" personId="{811A7B02-7C7E-49D8-A829-AB6311F1B586}" id="{79001B7C-DF50-4621-B485-F40D1D1D33EE}">
    <text>90</text>
  </threadedComment>
  <threadedComment ref="C32" dT="2026-04-28T13:31:03.62" personId="{605761AD-E25F-4BC8-96A1-575CEB7F759D}" id="{5F49120B-8E72-4098-B3D6-F1198D0ACA0D}">
    <text>Urgent delivery needed for May 22</text>
  </threadedComment>
  <threadedComment ref="R35" dT="2026-05-06T11:13:18.53" personId="{70C06E16-CA94-4F9E-875C-825726BC9D30}" id="{44ED33F0-1B4D-49C4-A66E-DA66CD183DAD}">
    <text xml:space="preserve">Out of 2 req, 1 is straight forward. For 2nd requirement need discussions </text>
  </threadedComment>
  <threadedComment ref="R42" dT="2026-05-14T11:38:01.04" personId="{811A7B02-7C7E-49D8-A829-AB6311F1B586}" id="{425D6E42-821E-46CD-BD41-6142F8A0B5DA}">
    <text>20</text>
  </threadedComment>
  <threadedComment ref="T42" dT="2026-05-14T11:39:54.16" personId="{811A7B02-7C7E-49D8-A829-AB6311F1B586}" id="{0C92502C-A71A-416D-B530-03D0570989E5}">
    <text>50</text>
  </threadedComment>
  <threadedComment ref="R43" dT="2026-05-14T11:37:34.10" personId="{811A7B02-7C7E-49D8-A829-AB6311F1B586}" id="{FEA40463-9CB0-498B-BCA5-7B72FC72AF25}">
    <text>30 Eval, 30 iDFMEA</text>
  </threadedComment>
  <threadedComment ref="T43" dT="2026-05-14T11:39:26.10" personId="{811A7B02-7C7E-49D8-A829-AB6311F1B586}" id="{0BA04B67-B5D8-4325-B528-F73EE9B3519A}">
    <text>100</text>
  </threadedComment>
  <threadedComment ref="R67" dT="2026-05-14T11:30:20.25" personId="{811A7B02-7C7E-49D8-A829-AB6311F1B586}" id="{CA8F486D-34F2-4B47-BA20-A67EADA38D1A}">
    <text xml:space="preserve">10
</text>
  </threadedComment>
  <threadedComment ref="T67" dT="2026-05-14T11:33:27.68" personId="{811A7B02-7C7E-49D8-A829-AB6311F1B586}" id="{645A8F4F-E0D4-4F4E-88DE-23FC5BFADECA}">
    <text>20</text>
  </threadedComment>
  <threadedComment ref="R68" dT="2026-05-14T11:37:47.43" personId="{811A7B02-7C7E-49D8-A829-AB6311F1B586}" id="{574B09A3-E1CE-4F6D-88ED-F3AA72BF01B5}">
    <text>10</text>
  </threadedComment>
  <threadedComment ref="T68" dT="2026-05-14T11:39:40.37" personId="{811A7B02-7C7E-49D8-A829-AB6311F1B586}" id="{63A6B571-3CCB-4AA6-9FE7-B9E2C92217F8}">
    <text>20</text>
  </threadedComment>
  <threadedComment ref="R70" dT="2026-05-14T11:30:59.02" personId="{811A7B02-7C7E-49D8-A829-AB6311F1B586}" id="{64B4F490-CD24-4651-A8B3-859ACE088F3D}">
    <text>40</text>
  </threadedComment>
  <threadedComment ref="R70" dT="2026-05-18T06:26:05.02" personId="{811A7B02-7C7E-49D8-A829-AB6311F1B586}" id="{C0958943-4D70-4447-AB34-6DF2D4F0D497}" parentId="{64B4F490-CD24-4651-A8B3-859ACE088F3D}">
    <text>Revised to 45 after Snehal's feedback</text>
  </threadedComment>
  <threadedComment ref="S70" dT="2026-05-14T11:31:22.14" personId="{811A7B02-7C7E-49D8-A829-AB6311F1B586}" id="{4C416033-58DE-4B17-AFF1-D307CD895F51}">
    <text>10</text>
  </threadedComment>
  <threadedComment ref="T70" dT="2026-05-14T11:33:15.02" personId="{811A7B02-7C7E-49D8-A829-AB6311F1B586}" id="{DE47E97C-0297-4C75-9A62-ECC1A089904B}">
    <text>50</text>
  </threadedComment>
  <threadedComment ref="T88" dT="2026-05-14T11:34:24.48" personId="{811A7B02-7C7E-49D8-A829-AB6311F1B586}" id="{E7F0CD95-361E-4750-ABF0-2A92E7D36523}">
    <text>30</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8" Type="http://schemas.openxmlformats.org/officeDocument/2006/relationships/vmlDrawing" Target="../drawings/vmlDrawing4.vml"/><Relationship Id="rId13" Type="http://schemas.openxmlformats.org/officeDocument/2006/relationships/ctrlProp" Target="../ctrlProps/ctrlProp13.xml"/><Relationship Id="rId18" Type="http://schemas.openxmlformats.org/officeDocument/2006/relationships/comments" Target="../comments4.xml"/><Relationship Id="rId3" Type="http://schemas.openxmlformats.org/officeDocument/2006/relationships/hyperlink" Target="javascript:false" TargetMode="External"/><Relationship Id="rId7" Type="http://schemas.openxmlformats.org/officeDocument/2006/relationships/drawing" Target="../drawings/drawing2.xml"/><Relationship Id="rId12" Type="http://schemas.openxmlformats.org/officeDocument/2006/relationships/ctrlProp" Target="../ctrlProps/ctrlProp12.xml"/><Relationship Id="rId17" Type="http://schemas.openxmlformats.org/officeDocument/2006/relationships/table" Target="../tables/table4.xml"/><Relationship Id="rId2" Type="http://schemas.openxmlformats.org/officeDocument/2006/relationships/hyperlink" Target="javascript:false" TargetMode="External"/><Relationship Id="rId16" Type="http://schemas.openxmlformats.org/officeDocument/2006/relationships/ctrlProp" Target="../ctrlProps/ctrlProp16.xml"/><Relationship Id="rId1" Type="http://schemas.openxmlformats.org/officeDocument/2006/relationships/hyperlink" Target="javascript:false" TargetMode="External"/><Relationship Id="rId6" Type="http://schemas.openxmlformats.org/officeDocument/2006/relationships/printerSettings" Target="../printerSettings/printerSettings3.bin"/><Relationship Id="rId11" Type="http://schemas.openxmlformats.org/officeDocument/2006/relationships/ctrlProp" Target="../ctrlProps/ctrlProp11.xml"/><Relationship Id="rId5" Type="http://schemas.openxmlformats.org/officeDocument/2006/relationships/hyperlink" Target="javascript:false" TargetMode="Externa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hyperlink" Target="javascript:false" TargetMode="Externa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table" Target="../tables/table6.xml"/><Relationship Id="rId3" Type="http://schemas.openxmlformats.org/officeDocument/2006/relationships/drawing" Target="../drawings/drawing5.x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printerSettings" Target="../printerSettings/printerSettings7.bin"/><Relationship Id="rId1" Type="http://schemas.openxmlformats.org/officeDocument/2006/relationships/hyperlink" Target="mailto:ag07c@cummins.com?subject=Change%20Request%2018060099:%20STLA%20related%20changes%20to%20be%20implemented%20in%20AftDOCPIDFdbkUsedUpDiag%20component%20&amp;body=WEB:%20https://integrity.cummins.com:7002/im/issues%3fselection=18060099%0aGUI:%20url:integrity://integrity.cummins.com:7002/im/viewissue%3fselection=18060099" TargetMode="External"/><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vmlDrawing" Target="../drawings/vmlDrawing7.vml"/><Relationship Id="rId9" Type="http://schemas.openxmlformats.org/officeDocument/2006/relationships/ctrlProp" Target="../ctrlProps/ctrlProp25.xml"/><Relationship Id="rId1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BFD81-8744-47DD-8DB9-E29F13463764}">
  <sheetPr codeName="Sheet3">
    <outlinePr summaryRight="0"/>
  </sheetPr>
  <dimension ref="A1:CJ323"/>
  <sheetViews>
    <sheetView view="pageBreakPreview" topLeftCell="E269" zoomScale="50" zoomScaleNormal="48" zoomScaleSheetLayoutView="50" workbookViewId="0">
      <selection activeCell="G271" sqref="F271:G271"/>
    </sheetView>
  </sheetViews>
  <sheetFormatPr defaultColWidth="11.42578125" defaultRowHeight="15" customHeight="1" outlineLevelCol="1"/>
  <cols>
    <col min="1" max="1" width="13.5703125" style="22" customWidth="1"/>
    <col min="2" max="4" width="11.42578125" style="25" customWidth="1"/>
    <col min="5" max="7" width="11.42578125" style="22" customWidth="1"/>
    <col min="8" max="8" width="13.7109375" style="30" bestFit="1" customWidth="1"/>
    <col min="9" max="9" width="17.42578125" style="24" customWidth="1"/>
    <col min="10" max="10" width="26.5703125" style="22" customWidth="1"/>
    <col min="11" max="13" width="11.42578125" style="22" customWidth="1"/>
    <col min="14" max="14" width="37.5703125" style="22" customWidth="1"/>
    <col min="15" max="15" width="11.42578125" style="28" customWidth="1"/>
    <col min="16" max="17" width="11.140625" style="28" hidden="1" customWidth="1"/>
    <col min="18" max="18" width="17.42578125" style="28" hidden="1" customWidth="1"/>
    <col min="19" max="19" width="17.28515625" style="28" hidden="1" customWidth="1"/>
    <col min="20" max="20" width="14.42578125" style="28" hidden="1" customWidth="1"/>
    <col min="21" max="21" width="18.42578125" style="22" hidden="1" customWidth="1"/>
    <col min="22" max="22" width="14.42578125" style="22" hidden="1" customWidth="1" collapsed="1"/>
    <col min="23" max="23" width="26.42578125" style="22" hidden="1" customWidth="1"/>
    <col min="24" max="24" width="12.42578125" style="22" hidden="1" customWidth="1"/>
    <col min="25" max="25" width="13.42578125" style="22" hidden="1" customWidth="1"/>
    <col min="26" max="26" width="12.5703125" style="22" hidden="1" customWidth="1"/>
    <col min="27" max="27" width="11.42578125" style="22" hidden="1" customWidth="1"/>
    <col min="28" max="28" width="44.42578125" style="29" hidden="1" customWidth="1" collapsed="1"/>
    <col min="29" max="29" width="22.140625" style="22" hidden="1" customWidth="1" outlineLevel="1"/>
    <col min="30" max="30" width="12" style="22" hidden="1" customWidth="1" outlineLevel="1"/>
    <col min="31" max="31" width="16.140625" style="25" hidden="1" customWidth="1" outlineLevel="1"/>
    <col min="32" max="32" width="20.5703125" style="31" hidden="1" customWidth="1" outlineLevel="1"/>
    <col min="33" max="33" width="13" style="31" hidden="1" customWidth="1" outlineLevel="1"/>
    <col min="34" max="34" width="12.7109375" style="22" hidden="1" customWidth="1" outlineLevel="1"/>
    <col min="35" max="35" width="11.42578125" style="22" hidden="1" customWidth="1" outlineLevel="1"/>
    <col min="36" max="36" width="12" style="26" hidden="1" customWidth="1" outlineLevel="1"/>
    <col min="37" max="37" width="13" style="22" hidden="1" customWidth="1" outlineLevel="1"/>
    <col min="38" max="38" width="21.5703125" style="22" hidden="1" customWidth="1" outlineLevel="1"/>
    <col min="39" max="40" width="14.85546875" style="27" hidden="1" customWidth="1"/>
    <col min="41" max="41" width="13.85546875" style="27" customWidth="1"/>
    <col min="42" max="42" width="22.140625" style="22" hidden="1" customWidth="1"/>
    <col min="43" max="43" width="22.85546875" style="25" hidden="1" customWidth="1"/>
    <col min="44" max="44" width="17.5703125" style="25" hidden="1" customWidth="1"/>
    <col min="45" max="45" width="11.42578125" style="27" customWidth="1"/>
    <col min="46" max="47" width="11.42578125" style="26" hidden="1" customWidth="1"/>
    <col min="48" max="54" width="11.42578125" style="22" hidden="1" customWidth="1"/>
    <col min="55" max="55" width="11.42578125" style="22" hidden="1" customWidth="1" collapsed="1"/>
    <col min="56" max="60" width="11.42578125" style="28" hidden="1" customWidth="1" outlineLevel="1"/>
    <col min="61" max="61" width="11.42578125" style="28" hidden="1" customWidth="1" collapsed="1"/>
    <col min="62" max="64" width="11.42578125" style="28" hidden="1" customWidth="1" outlineLevel="1"/>
    <col min="65" max="65" width="11.42578125" style="32" hidden="1" customWidth="1" outlineLevel="1"/>
    <col min="66" max="66" width="11.42578125" style="22" hidden="1" customWidth="1"/>
    <col min="67" max="69" width="11.42578125" style="25" hidden="1" customWidth="1"/>
    <col min="70" max="70" width="11.42578125" style="22" hidden="1" customWidth="1"/>
    <col min="71" max="71" width="11.42578125" style="27" hidden="1" customWidth="1"/>
    <col min="72" max="72" width="11.42578125" style="22" hidden="1" customWidth="1"/>
    <col min="73" max="73" width="11.42578125" style="27" hidden="1" customWidth="1"/>
    <col min="74" max="78" width="11.42578125" style="22" hidden="1" customWidth="1"/>
    <col min="79" max="79" width="11.42578125" style="23" hidden="1" customWidth="1"/>
    <col min="80" max="80" width="11.42578125" style="105" hidden="1" customWidth="1"/>
    <col min="81" max="81" width="11.42578125" style="103" hidden="1" customWidth="1"/>
    <col min="82" max="88" width="11.42578125" style="23" customWidth="1"/>
    <col min="89" max="16384" width="11.42578125" style="23"/>
  </cols>
  <sheetData>
    <row r="1" spans="1:88" s="30" customFormat="1" ht="111.95">
      <c r="A1" s="64" t="s">
        <v>0</v>
      </c>
      <c r="B1" s="66" t="s">
        <v>1</v>
      </c>
      <c r="C1" s="66" t="s">
        <v>2</v>
      </c>
      <c r="D1" s="67" t="s">
        <v>3</v>
      </c>
      <c r="E1" s="68" t="s">
        <v>4</v>
      </c>
      <c r="F1" s="65" t="s">
        <v>5</v>
      </c>
      <c r="G1" s="69" t="s">
        <v>6</v>
      </c>
      <c r="H1" s="65" t="s">
        <v>7</v>
      </c>
      <c r="I1" s="70" t="s">
        <v>8</v>
      </c>
      <c r="J1" s="71" t="s">
        <v>9</v>
      </c>
      <c r="K1" s="72" t="s">
        <v>10</v>
      </c>
      <c r="L1" s="73" t="s">
        <v>11</v>
      </c>
      <c r="M1" s="74" t="s">
        <v>12</v>
      </c>
      <c r="N1" s="75" t="s">
        <v>13</v>
      </c>
      <c r="O1" s="76" t="s">
        <v>14</v>
      </c>
      <c r="P1" s="67" t="s">
        <v>15</v>
      </c>
      <c r="Q1" s="67" t="s">
        <v>16</v>
      </c>
      <c r="R1" s="67" t="s">
        <v>17</v>
      </c>
      <c r="S1" s="67" t="s">
        <v>18</v>
      </c>
      <c r="T1" s="67" t="s">
        <v>19</v>
      </c>
      <c r="U1" s="76" t="s">
        <v>20</v>
      </c>
      <c r="V1" s="76" t="s">
        <v>21</v>
      </c>
      <c r="W1" s="76" t="s">
        <v>22</v>
      </c>
      <c r="X1" s="76" t="s">
        <v>23</v>
      </c>
      <c r="Y1" s="77" t="s">
        <v>24</v>
      </c>
      <c r="Z1" s="78" t="s">
        <v>25</v>
      </c>
      <c r="AA1" s="79" t="s">
        <v>26</v>
      </c>
      <c r="AB1" s="80" t="s">
        <v>27</v>
      </c>
      <c r="AC1" s="65" t="s">
        <v>28</v>
      </c>
      <c r="AD1" s="65" t="s">
        <v>29</v>
      </c>
      <c r="AE1" s="81" t="s">
        <v>30</v>
      </c>
      <c r="AF1" s="82" t="s">
        <v>31</v>
      </c>
      <c r="AG1" s="83" t="s">
        <v>32</v>
      </c>
      <c r="AH1" s="83" t="s">
        <v>33</v>
      </c>
      <c r="AI1" s="69" t="s">
        <v>34</v>
      </c>
      <c r="AJ1" s="80" t="s">
        <v>35</v>
      </c>
      <c r="AK1" s="65" t="s">
        <v>36</v>
      </c>
      <c r="AL1" s="65" t="s">
        <v>37</v>
      </c>
      <c r="AM1" s="84" t="s">
        <v>38</v>
      </c>
      <c r="AN1" s="85" t="s">
        <v>39</v>
      </c>
      <c r="AO1" s="85" t="s">
        <v>40</v>
      </c>
      <c r="AP1" s="86" t="s">
        <v>41</v>
      </c>
      <c r="AQ1" s="87" t="s">
        <v>42</v>
      </c>
      <c r="AR1" s="87" t="s">
        <v>43</v>
      </c>
      <c r="AS1" s="85" t="s">
        <v>44</v>
      </c>
      <c r="AT1" s="85" t="s">
        <v>45</v>
      </c>
      <c r="AU1" s="85" t="s">
        <v>46</v>
      </c>
      <c r="AV1" s="76" t="s">
        <v>47</v>
      </c>
      <c r="AW1" s="88" t="s">
        <v>48</v>
      </c>
      <c r="AX1" s="89" t="s">
        <v>49</v>
      </c>
      <c r="AY1" s="71" t="s">
        <v>50</v>
      </c>
      <c r="AZ1" s="75" t="s">
        <v>51</v>
      </c>
      <c r="BA1" s="75" t="s">
        <v>52</v>
      </c>
      <c r="BB1" s="90" t="s">
        <v>53</v>
      </c>
      <c r="BC1" s="90" t="s">
        <v>54</v>
      </c>
      <c r="BD1" s="91" t="s">
        <v>55</v>
      </c>
      <c r="BE1" s="91" t="s">
        <v>56</v>
      </c>
      <c r="BF1" s="91" t="s">
        <v>57</v>
      </c>
      <c r="BG1" s="91" t="s">
        <v>58</v>
      </c>
      <c r="BH1" s="91" t="s">
        <v>59</v>
      </c>
      <c r="BI1" s="92" t="s">
        <v>60</v>
      </c>
      <c r="BJ1" s="91" t="s">
        <v>61</v>
      </c>
      <c r="BK1" s="91" t="s">
        <v>62</v>
      </c>
      <c r="BL1" s="91" t="s">
        <v>63</v>
      </c>
      <c r="BM1" s="91" t="s">
        <v>64</v>
      </c>
      <c r="BN1" s="91" t="s">
        <v>65</v>
      </c>
      <c r="BO1" s="91" t="s">
        <v>66</v>
      </c>
      <c r="BP1" s="91" t="s">
        <v>67</v>
      </c>
      <c r="BQ1" s="91" t="s">
        <v>68</v>
      </c>
      <c r="BR1" s="91" t="s">
        <v>69</v>
      </c>
      <c r="BS1" s="91" t="s">
        <v>70</v>
      </c>
      <c r="BT1" s="91" t="s">
        <v>71</v>
      </c>
      <c r="BU1" s="91" t="s">
        <v>72</v>
      </c>
      <c r="BV1" s="91" t="s">
        <v>73</v>
      </c>
      <c r="BW1" s="91" t="s">
        <v>74</v>
      </c>
      <c r="BX1" s="91" t="s">
        <v>75</v>
      </c>
      <c r="BY1" s="91" t="s">
        <v>76</v>
      </c>
      <c r="BZ1" s="91" t="s">
        <v>77</v>
      </c>
      <c r="CA1" s="91" t="s">
        <v>78</v>
      </c>
      <c r="CB1" s="104" t="s">
        <v>79</v>
      </c>
      <c r="CC1" s="102" t="s">
        <v>80</v>
      </c>
      <c r="CD1" s="91" t="s">
        <v>81</v>
      </c>
      <c r="CE1" s="91" t="s">
        <v>82</v>
      </c>
      <c r="CF1" s="91" t="s">
        <v>83</v>
      </c>
      <c r="CG1" s="91" t="s">
        <v>84</v>
      </c>
      <c r="CH1" s="91" t="s">
        <v>85</v>
      </c>
      <c r="CI1" s="91" t="s">
        <v>86</v>
      </c>
      <c r="CJ1" s="91" t="s">
        <v>87</v>
      </c>
    </row>
    <row r="2" spans="1:88" ht="101.45" hidden="1">
      <c r="A2" s="106" t="s">
        <v>88</v>
      </c>
      <c r="B2" s="107">
        <v>628</v>
      </c>
      <c r="C2" s="49" t="e">
        <v>#N/A</v>
      </c>
      <c r="D2" s="107">
        <v>0</v>
      </c>
      <c r="E2" s="108"/>
      <c r="F2" s="108" t="s">
        <v>89</v>
      </c>
      <c r="G2" s="146"/>
      <c r="H2" s="151">
        <v>16346866</v>
      </c>
      <c r="I2" s="109">
        <f>Tracker6[[#This Row],[DCR ID - PTC]]</f>
        <v>16346866</v>
      </c>
      <c r="J2" s="108" t="s">
        <v>90</v>
      </c>
      <c r="K2" s="108"/>
      <c r="L2" s="108" t="s">
        <v>91</v>
      </c>
      <c r="M2" s="108"/>
      <c r="N2" s="108"/>
      <c r="O2" s="111"/>
      <c r="P2" s="111"/>
      <c r="Q2" s="111"/>
      <c r="R2" s="111"/>
      <c r="S2" s="111"/>
      <c r="T2" s="111"/>
      <c r="U2" s="108"/>
      <c r="V2" s="108"/>
      <c r="W2" s="108"/>
      <c r="X2" s="108"/>
      <c r="Y2" s="108"/>
      <c r="Z2" s="108"/>
      <c r="AA2" s="108" t="s">
        <v>92</v>
      </c>
      <c r="AB2" s="112">
        <v>46003</v>
      </c>
      <c r="AC2" s="108" t="s">
        <v>91</v>
      </c>
      <c r="AD2" s="108" t="s">
        <v>93</v>
      </c>
      <c r="AE2" s="107"/>
      <c r="AF2" s="113"/>
      <c r="AG2" s="115">
        <v>45950.869710648149</v>
      </c>
      <c r="AH2" s="108" t="s">
        <v>94</v>
      </c>
      <c r="AI2" s="108" t="s">
        <v>95</v>
      </c>
      <c r="AJ2" s="114">
        <v>45994.4375</v>
      </c>
      <c r="AK2" s="108" t="s">
        <v>96</v>
      </c>
      <c r="AL2" s="115">
        <v>45783.609756944446</v>
      </c>
      <c r="AM2" s="116"/>
      <c r="AN2" s="116"/>
      <c r="AO2" s="116" t="e">
        <v>#N/A</v>
      </c>
      <c r="AP2" s="108"/>
      <c r="AQ2" s="107"/>
      <c r="AR2" s="107"/>
      <c r="AS2" s="116"/>
      <c r="AT2" s="114"/>
      <c r="AU2" s="114"/>
      <c r="AV2" s="108"/>
      <c r="AW2" s="108"/>
      <c r="AX2" s="108" t="s">
        <v>97</v>
      </c>
      <c r="AY2" s="108" t="s">
        <v>98</v>
      </c>
      <c r="AZ2" s="146"/>
      <c r="BA2" s="108"/>
      <c r="BB2" s="108"/>
      <c r="BC2" s="108"/>
      <c r="BD2" s="111"/>
      <c r="BE2" s="111"/>
      <c r="BF2" s="111"/>
      <c r="BG2" s="111"/>
      <c r="BH2" s="111"/>
      <c r="BI2" s="111"/>
      <c r="BJ2" s="111"/>
      <c r="BK2" s="111"/>
      <c r="BL2" s="111"/>
      <c r="BM2" s="117" t="e">
        <v>#N/A</v>
      </c>
      <c r="BN2" s="111"/>
      <c r="BO2" s="117"/>
      <c r="BP2" s="117"/>
      <c r="BQ2" s="117"/>
      <c r="BR2" s="111"/>
      <c r="BS2" s="118"/>
      <c r="BT2" s="111"/>
      <c r="BU2" s="118"/>
      <c r="BV2" s="111"/>
      <c r="BW2" s="111"/>
      <c r="BX2" s="111"/>
      <c r="BY2" s="111"/>
      <c r="BZ2" s="111"/>
      <c r="CA2" s="111"/>
      <c r="CB2" s="119"/>
      <c r="CC2" s="117"/>
      <c r="CD2" s="120" t="e">
        <v>#N/A</v>
      </c>
      <c r="CE2" s="120" t="e">
        <v>#N/A</v>
      </c>
      <c r="CF2" s="120" t="e">
        <v>#N/A</v>
      </c>
      <c r="CG2" s="120"/>
      <c r="CH2" s="120" t="e">
        <v>#N/A</v>
      </c>
      <c r="CI2" s="120" t="e">
        <v>#N/A</v>
      </c>
      <c r="CJ2" s="120"/>
    </row>
    <row r="3" spans="1:88" ht="57.95" hidden="1">
      <c r="A3" s="106" t="s">
        <v>88</v>
      </c>
      <c r="B3" s="107">
        <v>0</v>
      </c>
      <c r="C3" s="49" t="e">
        <v>#N/A</v>
      </c>
      <c r="D3" s="107"/>
      <c r="E3" s="108"/>
      <c r="F3" s="108"/>
      <c r="G3" s="121"/>
      <c r="H3" s="151">
        <v>16826530</v>
      </c>
      <c r="I3" s="109">
        <f>Tracker6[[#This Row],[DCR ID - PTC]]</f>
        <v>16826530</v>
      </c>
      <c r="J3" s="108" t="s">
        <v>99</v>
      </c>
      <c r="K3" s="108"/>
      <c r="L3" s="108"/>
      <c r="M3" s="108"/>
      <c r="N3" s="108"/>
      <c r="O3" s="111"/>
      <c r="P3" s="111"/>
      <c r="Q3" s="111"/>
      <c r="R3" s="111"/>
      <c r="S3" s="111"/>
      <c r="T3" s="111"/>
      <c r="U3" s="108"/>
      <c r="V3" s="108"/>
      <c r="W3" s="108"/>
      <c r="X3" s="108"/>
      <c r="Y3" s="108"/>
      <c r="Z3" s="108"/>
      <c r="AA3" s="108"/>
      <c r="AB3" s="112">
        <v>45869</v>
      </c>
      <c r="AC3" s="108"/>
      <c r="AD3" s="108" t="s">
        <v>93</v>
      </c>
      <c r="AE3" s="107"/>
      <c r="AF3" s="113"/>
      <c r="AG3" s="115"/>
      <c r="AH3" s="108" t="s">
        <v>100</v>
      </c>
      <c r="AI3" s="108" t="s">
        <v>101</v>
      </c>
      <c r="AJ3" s="114">
        <v>45869</v>
      </c>
      <c r="AK3" s="108" t="s">
        <v>96</v>
      </c>
      <c r="AL3" s="115">
        <v>45833.850902777776</v>
      </c>
      <c r="AM3" s="116"/>
      <c r="AN3" s="116"/>
      <c r="AO3" s="116" t="e">
        <v>#N/A</v>
      </c>
      <c r="AP3" s="108"/>
      <c r="AQ3" s="107"/>
      <c r="AR3" s="107"/>
      <c r="AS3" s="116"/>
      <c r="AT3" s="114"/>
      <c r="AU3" s="114"/>
      <c r="AV3" s="108"/>
      <c r="AW3" s="108"/>
      <c r="AX3" s="108" t="s">
        <v>97</v>
      </c>
      <c r="AY3" s="108" t="s">
        <v>98</v>
      </c>
      <c r="AZ3" s="108"/>
      <c r="BA3" s="108"/>
      <c r="BB3" s="108"/>
      <c r="BC3" s="108"/>
      <c r="BD3" s="111"/>
      <c r="BE3" s="111"/>
      <c r="BF3" s="111"/>
      <c r="BG3" s="111"/>
      <c r="BH3" s="111"/>
      <c r="BI3" s="111"/>
      <c r="BJ3" s="111"/>
      <c r="BK3" s="111"/>
      <c r="BL3" s="111"/>
      <c r="BM3" s="117" t="e">
        <v>#N/A</v>
      </c>
      <c r="BN3" s="111"/>
      <c r="BO3" s="117"/>
      <c r="BP3" s="117"/>
      <c r="BQ3" s="117"/>
      <c r="BR3" s="111"/>
      <c r="BS3" s="118"/>
      <c r="BT3" s="111"/>
      <c r="BU3" s="118"/>
      <c r="BV3" s="111"/>
      <c r="BW3" s="111"/>
      <c r="BX3" s="111"/>
      <c r="BY3" s="111"/>
      <c r="BZ3" s="111"/>
      <c r="CA3" s="111"/>
      <c r="CB3" s="119"/>
      <c r="CC3" s="117"/>
      <c r="CD3" s="120" t="e">
        <v>#N/A</v>
      </c>
      <c r="CE3" s="120" t="e">
        <v>#N/A</v>
      </c>
      <c r="CF3" s="120" t="e">
        <v>#N/A</v>
      </c>
      <c r="CG3" s="123"/>
      <c r="CH3" s="120" t="e">
        <v>#N/A</v>
      </c>
      <c r="CI3" s="120" t="e">
        <v>#N/A</v>
      </c>
      <c r="CJ3" s="120"/>
    </row>
    <row r="4" spans="1:88" ht="57.95" hidden="1">
      <c r="A4" s="106" t="s">
        <v>88</v>
      </c>
      <c r="B4" s="107">
        <v>0</v>
      </c>
      <c r="C4" s="49" t="e">
        <v>#N/A</v>
      </c>
      <c r="D4" s="107">
        <v>0</v>
      </c>
      <c r="E4" s="108"/>
      <c r="F4" s="108"/>
      <c r="G4" s="121"/>
      <c r="H4" s="151">
        <v>16826535</v>
      </c>
      <c r="I4" s="109">
        <f>Tracker6[[#This Row],[DCR ID - PTC]]</f>
        <v>16826535</v>
      </c>
      <c r="J4" s="108" t="s">
        <v>102</v>
      </c>
      <c r="K4" s="108"/>
      <c r="L4" s="108"/>
      <c r="M4" s="108"/>
      <c r="N4" s="134"/>
      <c r="O4" s="111"/>
      <c r="P4" s="111"/>
      <c r="Q4" s="111"/>
      <c r="R4" s="111"/>
      <c r="S4" s="111"/>
      <c r="T4" s="111"/>
      <c r="U4" s="108"/>
      <c r="V4" s="108"/>
      <c r="W4" s="108"/>
      <c r="X4" s="108"/>
      <c r="Y4" s="108"/>
      <c r="Z4" s="108"/>
      <c r="AA4" s="108"/>
      <c r="AB4" s="112">
        <v>45869</v>
      </c>
      <c r="AC4" s="108"/>
      <c r="AD4" s="108" t="s">
        <v>93</v>
      </c>
      <c r="AE4" s="107"/>
      <c r="AF4" s="113"/>
      <c r="AG4" s="115"/>
      <c r="AH4" s="108" t="s">
        <v>100</v>
      </c>
      <c r="AI4" s="108" t="s">
        <v>101</v>
      </c>
      <c r="AJ4" s="114">
        <v>45869</v>
      </c>
      <c r="AK4" s="108" t="s">
        <v>96</v>
      </c>
      <c r="AL4" s="115">
        <v>45833.857037037036</v>
      </c>
      <c r="AM4" s="116"/>
      <c r="AN4" s="116"/>
      <c r="AO4" s="116" t="e">
        <v>#N/A</v>
      </c>
      <c r="AP4" s="108"/>
      <c r="AQ4" s="107"/>
      <c r="AR4" s="107"/>
      <c r="AS4" s="116"/>
      <c r="AT4" s="114"/>
      <c r="AU4" s="114"/>
      <c r="AV4" s="108"/>
      <c r="AW4" s="108"/>
      <c r="AX4" s="108" t="s">
        <v>97</v>
      </c>
      <c r="AY4" s="108" t="s">
        <v>98</v>
      </c>
      <c r="AZ4" s="108"/>
      <c r="BA4" s="108"/>
      <c r="BB4" s="108"/>
      <c r="BC4" s="108"/>
      <c r="BD4" s="111"/>
      <c r="BE4" s="111"/>
      <c r="BF4" s="111"/>
      <c r="BG4" s="111"/>
      <c r="BH4" s="111"/>
      <c r="BI4" s="111"/>
      <c r="BJ4" s="111"/>
      <c r="BK4" s="111"/>
      <c r="BL4" s="111"/>
      <c r="BM4" s="117" t="e">
        <v>#N/A</v>
      </c>
      <c r="BN4" s="111"/>
      <c r="BO4" s="117"/>
      <c r="BP4" s="117"/>
      <c r="BQ4" s="117"/>
      <c r="BR4" s="111"/>
      <c r="BS4" s="118"/>
      <c r="BT4" s="111"/>
      <c r="BU4" s="118"/>
      <c r="BV4" s="111"/>
      <c r="BW4" s="111"/>
      <c r="BX4" s="111"/>
      <c r="BY4" s="111"/>
      <c r="BZ4" s="111"/>
      <c r="CA4" s="111"/>
      <c r="CB4" s="119"/>
      <c r="CC4" s="117"/>
      <c r="CD4" s="120" t="e">
        <v>#N/A</v>
      </c>
      <c r="CE4" s="120" t="e">
        <v>#N/A</v>
      </c>
      <c r="CF4" s="120" t="e">
        <v>#N/A</v>
      </c>
      <c r="CG4" s="123"/>
      <c r="CH4" s="120" t="e">
        <v>#N/A</v>
      </c>
      <c r="CI4" s="120" t="e">
        <v>#N/A</v>
      </c>
      <c r="CJ4" s="120"/>
    </row>
    <row r="5" spans="1:88" ht="391.5" hidden="1">
      <c r="A5" s="106" t="s">
        <v>88</v>
      </c>
      <c r="B5" s="107">
        <f>3+3+3.5+4+4.5+8+6+7+7+5+5+0.5</f>
        <v>56.5</v>
      </c>
      <c r="C5" s="49">
        <v>10</v>
      </c>
      <c r="D5" s="107">
        <f>Tracker6[[#This Row],[Estimated Hrs]]-Tracker6[[#This Row],[Actual Efforts (Hrs)]]</f>
        <v>-46.5</v>
      </c>
      <c r="E5" s="108"/>
      <c r="F5" s="108"/>
      <c r="G5" s="121"/>
      <c r="H5" s="151">
        <v>18306361</v>
      </c>
      <c r="I5" s="109">
        <f>Tracker6[[#This Row],[DCR ID - PTC]]</f>
        <v>18306361</v>
      </c>
      <c r="J5" s="108" t="s">
        <v>103</v>
      </c>
      <c r="K5" s="108" t="s">
        <v>104</v>
      </c>
      <c r="L5" s="108"/>
      <c r="M5" s="108"/>
      <c r="N5" s="108" t="s">
        <v>105</v>
      </c>
      <c r="O5" s="111" t="s">
        <v>106</v>
      </c>
      <c r="P5" s="111"/>
      <c r="Q5" s="111"/>
      <c r="R5" s="111"/>
      <c r="S5" s="111"/>
      <c r="T5" s="111"/>
      <c r="U5" s="108"/>
      <c r="V5" s="108"/>
      <c r="W5" s="108"/>
      <c r="X5" s="108"/>
      <c r="Y5" s="108"/>
      <c r="Z5" s="108"/>
      <c r="AA5" s="108" t="s">
        <v>107</v>
      </c>
      <c r="AB5" s="112">
        <v>46142</v>
      </c>
      <c r="AC5" s="108"/>
      <c r="AD5" s="108" t="s">
        <v>108</v>
      </c>
      <c r="AE5" s="107"/>
      <c r="AF5" s="113"/>
      <c r="AG5" s="115">
        <v>46056</v>
      </c>
      <c r="AH5" s="108" t="s">
        <v>109</v>
      </c>
      <c r="AI5" s="108" t="s">
        <v>110</v>
      </c>
      <c r="AJ5" s="114">
        <v>46171.395833333336</v>
      </c>
      <c r="AK5" s="108" t="s">
        <v>96</v>
      </c>
      <c r="AL5" s="115">
        <v>46028.993819444448</v>
      </c>
      <c r="AM5" s="116"/>
      <c r="AN5" s="116"/>
      <c r="AO5" s="116">
        <v>46091</v>
      </c>
      <c r="AP5" s="108"/>
      <c r="AQ5" s="107"/>
      <c r="AR5" s="107"/>
      <c r="AS5" s="116"/>
      <c r="AT5" s="114"/>
      <c r="AU5" s="114"/>
      <c r="AV5" s="108"/>
      <c r="AW5" s="108"/>
      <c r="AX5" s="108" t="s">
        <v>97</v>
      </c>
      <c r="AY5" s="108" t="s">
        <v>98</v>
      </c>
      <c r="AZ5" s="108"/>
      <c r="BA5" s="108"/>
      <c r="BB5" s="108"/>
      <c r="BC5" s="108"/>
      <c r="BD5" s="111"/>
      <c r="BE5" s="111"/>
      <c r="BF5" s="111"/>
      <c r="BG5" s="111"/>
      <c r="BH5" s="111"/>
      <c r="BI5" s="111"/>
      <c r="BJ5" s="111"/>
      <c r="BK5" s="111"/>
      <c r="BL5" s="111"/>
      <c r="BM5" s="117" t="s">
        <v>111</v>
      </c>
      <c r="BN5" s="111"/>
      <c r="BO5" s="117"/>
      <c r="BP5" s="117"/>
      <c r="BQ5" s="117"/>
      <c r="BR5" s="111"/>
      <c r="BS5" s="118"/>
      <c r="BT5" s="111"/>
      <c r="BU5" s="118"/>
      <c r="BV5" s="111"/>
      <c r="BW5" s="111"/>
      <c r="BX5" s="111"/>
      <c r="BY5" s="111"/>
      <c r="BZ5" s="111"/>
      <c r="CA5" s="111"/>
      <c r="CB5" s="119">
        <v>0.7</v>
      </c>
      <c r="CC5" s="117"/>
      <c r="CD5" s="120">
        <v>46070</v>
      </c>
      <c r="CE5" s="120">
        <v>46072</v>
      </c>
      <c r="CF5" s="120">
        <v>46073</v>
      </c>
      <c r="CG5" s="123"/>
      <c r="CH5" s="120" t="s">
        <v>112</v>
      </c>
      <c r="CI5" s="120">
        <v>46085</v>
      </c>
      <c r="CJ5" s="123"/>
    </row>
    <row r="6" spans="1:88" ht="409.5" hidden="1">
      <c r="A6" s="106" t="s">
        <v>88</v>
      </c>
      <c r="B6" s="107">
        <f>4+4+3.5+3+3+4.5+7+8+4+7.5+4+7+2.5+7.5+(2.5+2.5)+7+8+6+1+4.5</f>
        <v>101</v>
      </c>
      <c r="C6" s="49">
        <f>35+30</f>
        <v>65</v>
      </c>
      <c r="D6" s="107">
        <f>Tracker6[[#This Row],[Estimated Hrs]]-Tracker6[[#This Row],[Actual Efforts (Hrs)]]</f>
        <v>-36</v>
      </c>
      <c r="E6" s="108"/>
      <c r="F6" s="108"/>
      <c r="G6" s="121"/>
      <c r="H6" s="151">
        <v>18480328</v>
      </c>
      <c r="I6" s="109">
        <f>Tracker6[[#This Row],[DCR ID - PTC]]</f>
        <v>18480328</v>
      </c>
      <c r="J6" s="108" t="s">
        <v>113</v>
      </c>
      <c r="K6" s="108" t="s">
        <v>104</v>
      </c>
      <c r="L6" s="108"/>
      <c r="M6" s="108"/>
      <c r="N6" s="108" t="s">
        <v>114</v>
      </c>
      <c r="O6" s="111" t="s">
        <v>115</v>
      </c>
      <c r="P6" s="111"/>
      <c r="Q6" s="111"/>
      <c r="R6" s="111"/>
      <c r="S6" s="111"/>
      <c r="T6" s="111"/>
      <c r="U6" s="108"/>
      <c r="V6" s="108"/>
      <c r="W6" s="108"/>
      <c r="X6" s="108"/>
      <c r="Y6" s="108"/>
      <c r="Z6" s="108"/>
      <c r="AA6" s="108"/>
      <c r="AB6" s="112">
        <v>46142</v>
      </c>
      <c r="AC6" s="108"/>
      <c r="AD6" s="108" t="s">
        <v>116</v>
      </c>
      <c r="AE6" s="107"/>
      <c r="AF6" s="113"/>
      <c r="AG6" s="115">
        <v>46057</v>
      </c>
      <c r="AH6" s="108" t="s">
        <v>117</v>
      </c>
      <c r="AI6" s="108" t="s">
        <v>95</v>
      </c>
      <c r="AJ6" s="114">
        <v>45535</v>
      </c>
      <c r="AK6" s="108" t="s">
        <v>96</v>
      </c>
      <c r="AL6" s="115">
        <v>46041.679305555554</v>
      </c>
      <c r="AM6" s="116"/>
      <c r="AN6" s="116"/>
      <c r="AO6" s="116">
        <v>46129</v>
      </c>
      <c r="AP6" s="108"/>
      <c r="AQ6" s="107"/>
      <c r="AR6" s="107"/>
      <c r="AS6" s="116"/>
      <c r="AT6" s="114"/>
      <c r="AU6" s="114"/>
      <c r="AV6" s="108"/>
      <c r="AW6" s="108"/>
      <c r="AX6" s="108" t="s">
        <v>97</v>
      </c>
      <c r="AY6" s="108" t="s">
        <v>98</v>
      </c>
      <c r="AZ6" s="108"/>
      <c r="BA6" s="108"/>
      <c r="BB6" s="108"/>
      <c r="BC6" s="108"/>
      <c r="BD6" s="111"/>
      <c r="BE6" s="111"/>
      <c r="BF6" s="111"/>
      <c r="BG6" s="111"/>
      <c r="BH6" s="111"/>
      <c r="BI6" s="111"/>
      <c r="BJ6" s="111"/>
      <c r="BK6" s="111"/>
      <c r="BL6" s="111"/>
      <c r="BM6" s="117" t="s">
        <v>111</v>
      </c>
      <c r="BN6" s="111"/>
      <c r="BO6" s="117"/>
      <c r="BP6" s="117"/>
      <c r="BQ6" s="117"/>
      <c r="BR6" s="111"/>
      <c r="BS6" s="118"/>
      <c r="BT6" s="111"/>
      <c r="BU6" s="118"/>
      <c r="BV6" s="111"/>
      <c r="BW6" s="111"/>
      <c r="BX6" s="111"/>
      <c r="BY6" s="111"/>
      <c r="BZ6" s="111"/>
      <c r="CA6" s="111"/>
      <c r="CB6" s="119">
        <v>0.5</v>
      </c>
      <c r="CC6" s="117"/>
      <c r="CD6" s="120">
        <v>46070</v>
      </c>
      <c r="CE6" s="120">
        <v>46072</v>
      </c>
      <c r="CF6" s="120">
        <v>46073</v>
      </c>
      <c r="CG6" s="123"/>
      <c r="CH6" s="120" t="s">
        <v>112</v>
      </c>
      <c r="CI6" s="120">
        <v>46085</v>
      </c>
      <c r="CJ6" s="123"/>
    </row>
    <row r="7" spans="1:88" ht="174">
      <c r="A7" s="106" t="s">
        <v>88</v>
      </c>
      <c r="B7" s="107">
        <f>6.5+8+8+8+8+6.5+7+7+7+3.5+4.5</f>
        <v>74</v>
      </c>
      <c r="C7" s="49">
        <v>60</v>
      </c>
      <c r="D7" s="107">
        <f>Tracker6[[#This Row],[Estimated Hrs]]-Tracker6[[#This Row],[Actual Efforts (Hrs)]]</f>
        <v>-14</v>
      </c>
      <c r="E7" s="108"/>
      <c r="F7" s="108"/>
      <c r="G7" s="108"/>
      <c r="H7" s="109">
        <v>18306361</v>
      </c>
      <c r="I7" s="109">
        <v>18306361</v>
      </c>
      <c r="J7" s="108" t="s">
        <v>103</v>
      </c>
      <c r="K7" s="108" t="s">
        <v>118</v>
      </c>
      <c r="L7" s="108"/>
      <c r="M7" s="108"/>
      <c r="N7" s="108" t="s">
        <v>119</v>
      </c>
      <c r="O7" s="111" t="s">
        <v>115</v>
      </c>
      <c r="P7" s="111"/>
      <c r="Q7" s="111"/>
      <c r="R7" s="111"/>
      <c r="S7" s="111"/>
      <c r="T7" s="111"/>
      <c r="U7" s="108"/>
      <c r="V7" s="108"/>
      <c r="W7" s="108"/>
      <c r="X7" s="108"/>
      <c r="Y7" s="108"/>
      <c r="Z7" s="108"/>
      <c r="AA7" s="108" t="s">
        <v>107</v>
      </c>
      <c r="AB7" s="112">
        <v>46142</v>
      </c>
      <c r="AC7" s="108"/>
      <c r="AD7" s="108" t="s">
        <v>108</v>
      </c>
      <c r="AE7" s="107"/>
      <c r="AF7" s="113"/>
      <c r="AG7" s="115">
        <v>46056</v>
      </c>
      <c r="AH7" s="108" t="s">
        <v>109</v>
      </c>
      <c r="AI7" s="108" t="s">
        <v>110</v>
      </c>
      <c r="AJ7" s="114">
        <v>46171.395833333336</v>
      </c>
      <c r="AK7" s="108" t="s">
        <v>96</v>
      </c>
      <c r="AL7" s="115">
        <v>46028.993819444448</v>
      </c>
      <c r="AM7" s="116"/>
      <c r="AN7" s="116"/>
      <c r="AO7" s="116">
        <v>46112</v>
      </c>
      <c r="AP7" s="108"/>
      <c r="AQ7" s="107"/>
      <c r="AR7" s="107"/>
      <c r="AS7" s="116"/>
      <c r="AT7" s="114"/>
      <c r="AU7" s="114"/>
      <c r="AV7" s="108"/>
      <c r="AW7" s="108"/>
      <c r="AX7" s="108" t="s">
        <v>97</v>
      </c>
      <c r="AY7" s="108" t="s">
        <v>98</v>
      </c>
      <c r="AZ7" s="108"/>
      <c r="BA7" s="108"/>
      <c r="BB7" s="108"/>
      <c r="BC7" s="108"/>
      <c r="BD7" s="111"/>
      <c r="BE7" s="111"/>
      <c r="BF7" s="111"/>
      <c r="BG7" s="111"/>
      <c r="BH7" s="111"/>
      <c r="BI7" s="111"/>
      <c r="BJ7" s="111"/>
      <c r="BK7" s="111"/>
      <c r="BL7" s="111"/>
      <c r="BM7" s="117" t="s">
        <v>111</v>
      </c>
      <c r="BN7" s="111"/>
      <c r="BO7" s="117"/>
      <c r="BP7" s="117"/>
      <c r="BQ7" s="117"/>
      <c r="BR7" s="111"/>
      <c r="BS7" s="118"/>
      <c r="BT7" s="111"/>
      <c r="BU7" s="118"/>
      <c r="BV7" s="111"/>
      <c r="BW7" s="111"/>
      <c r="BX7" s="111"/>
      <c r="BY7" s="111"/>
      <c r="BZ7" s="111"/>
      <c r="CA7" s="111"/>
      <c r="CB7" s="119">
        <v>0.96499999999999997</v>
      </c>
      <c r="CC7" s="117"/>
      <c r="CD7" s="120">
        <v>46100</v>
      </c>
      <c r="CE7" s="120">
        <v>46104</v>
      </c>
      <c r="CF7" s="120">
        <v>46106</v>
      </c>
      <c r="CG7" s="123"/>
      <c r="CH7" s="120" t="s">
        <v>112</v>
      </c>
      <c r="CI7" s="120">
        <v>46085</v>
      </c>
      <c r="CJ7" s="314"/>
    </row>
    <row r="8" spans="1:88" ht="72.599999999999994">
      <c r="A8" s="106" t="s">
        <v>88</v>
      </c>
      <c r="B8" s="107" t="s">
        <v>120</v>
      </c>
      <c r="C8" s="49">
        <v>0</v>
      </c>
      <c r="D8" s="107" t="e">
        <f>Tracker6[[#This Row],[Estimated Hrs]]-Tracker6[[#This Row],[Actual Efforts (Hrs)]]</f>
        <v>#VALUE!</v>
      </c>
      <c r="E8" s="108"/>
      <c r="F8" s="108"/>
      <c r="G8" s="121"/>
      <c r="H8" s="109">
        <v>18480328</v>
      </c>
      <c r="I8" s="109">
        <v>18480328</v>
      </c>
      <c r="J8" s="328" t="s">
        <v>113</v>
      </c>
      <c r="K8" s="108" t="s">
        <v>118</v>
      </c>
      <c r="L8" s="108"/>
      <c r="M8" s="108"/>
      <c r="N8" s="108" t="s">
        <v>121</v>
      </c>
      <c r="O8" s="111" t="s">
        <v>122</v>
      </c>
      <c r="P8" s="111"/>
      <c r="Q8" s="111"/>
      <c r="R8" s="111"/>
      <c r="S8" s="111"/>
      <c r="T8" s="111"/>
      <c r="U8" s="108"/>
      <c r="V8" s="108"/>
      <c r="W8" s="108"/>
      <c r="X8" s="108"/>
      <c r="Y8" s="108"/>
      <c r="Z8" s="108"/>
      <c r="AA8" s="108"/>
      <c r="AB8" s="112">
        <v>46142</v>
      </c>
      <c r="AC8" s="108"/>
      <c r="AD8" s="108" t="s">
        <v>116</v>
      </c>
      <c r="AE8" s="107"/>
      <c r="AF8" s="113"/>
      <c r="AG8" s="115">
        <v>46057</v>
      </c>
      <c r="AH8" s="108" t="s">
        <v>117</v>
      </c>
      <c r="AI8" s="108" t="s">
        <v>95</v>
      </c>
      <c r="AJ8" s="114">
        <v>45535</v>
      </c>
      <c r="AK8" s="108" t="s">
        <v>96</v>
      </c>
      <c r="AL8" s="115">
        <v>46041.679305555554</v>
      </c>
      <c r="AM8" s="116"/>
      <c r="AN8" s="116"/>
      <c r="AO8" s="116">
        <v>46142</v>
      </c>
      <c r="AP8" s="108"/>
      <c r="AQ8" s="107"/>
      <c r="AR8" s="107"/>
      <c r="AS8" s="116"/>
      <c r="AT8" s="114"/>
      <c r="AU8" s="114"/>
      <c r="AV8" s="108"/>
      <c r="AW8" s="108"/>
      <c r="AX8" s="108" t="s">
        <v>97</v>
      </c>
      <c r="AY8" s="108" t="s">
        <v>98</v>
      </c>
      <c r="AZ8" s="108"/>
      <c r="BA8" s="108"/>
      <c r="BB8" s="108"/>
      <c r="BC8" s="108"/>
      <c r="BD8" s="111"/>
      <c r="BE8" s="111"/>
      <c r="BF8" s="111"/>
      <c r="BG8" s="111"/>
      <c r="BH8" s="111"/>
      <c r="BI8" s="111"/>
      <c r="BJ8" s="111"/>
      <c r="BK8" s="111"/>
      <c r="BL8" s="111"/>
      <c r="BM8" s="117" t="s">
        <v>111</v>
      </c>
      <c r="BN8" s="111"/>
      <c r="BO8" s="117"/>
      <c r="BP8" s="117"/>
      <c r="BQ8" s="117"/>
      <c r="BR8" s="111"/>
      <c r="BS8" s="118"/>
      <c r="BT8" s="111"/>
      <c r="BU8" s="118"/>
      <c r="BV8" s="111"/>
      <c r="BW8" s="111"/>
      <c r="BX8" s="111"/>
      <c r="BY8" s="111"/>
      <c r="BZ8" s="111"/>
      <c r="CA8" s="111"/>
      <c r="CB8" s="119">
        <v>0</v>
      </c>
      <c r="CC8" s="117"/>
      <c r="CD8" s="120">
        <v>46100</v>
      </c>
      <c r="CE8" s="120">
        <v>46104</v>
      </c>
      <c r="CF8" s="120">
        <v>46106</v>
      </c>
      <c r="CG8" s="123"/>
      <c r="CH8" s="120" t="s">
        <v>112</v>
      </c>
      <c r="CI8" s="120">
        <v>46085</v>
      </c>
      <c r="CJ8" s="123"/>
    </row>
    <row r="9" spans="1:88" ht="57.95">
      <c r="A9" s="106" t="s">
        <v>88</v>
      </c>
      <c r="B9" s="107"/>
      <c r="C9" s="49">
        <v>0</v>
      </c>
      <c r="D9" s="107"/>
      <c r="E9" s="108"/>
      <c r="F9" s="108"/>
      <c r="G9" s="121"/>
      <c r="H9" s="254">
        <v>14366075</v>
      </c>
      <c r="I9" s="254">
        <v>14366075</v>
      </c>
      <c r="J9" s="254" t="s">
        <v>123</v>
      </c>
      <c r="K9" s="108" t="s">
        <v>118</v>
      </c>
      <c r="L9" s="108"/>
      <c r="M9" s="108"/>
      <c r="N9" s="108" t="s">
        <v>124</v>
      </c>
      <c r="O9" s="111" t="s">
        <v>115</v>
      </c>
      <c r="P9" s="111"/>
      <c r="Q9" s="111"/>
      <c r="R9" s="111"/>
      <c r="S9" s="111"/>
      <c r="T9" s="111"/>
      <c r="U9" s="108"/>
      <c r="V9" s="108"/>
      <c r="W9" s="108"/>
      <c r="X9" s="108"/>
      <c r="Y9" s="108"/>
      <c r="Z9" s="108"/>
      <c r="AA9" s="108"/>
      <c r="AB9" s="112"/>
      <c r="AC9" s="108"/>
      <c r="AD9" s="108"/>
      <c r="AE9" s="107"/>
      <c r="AF9" s="113"/>
      <c r="AG9" s="115"/>
      <c r="AH9" s="108"/>
      <c r="AI9" s="108"/>
      <c r="AJ9" s="114"/>
      <c r="AK9" s="108"/>
      <c r="AL9" s="115"/>
      <c r="AM9" s="116"/>
      <c r="AN9" s="116"/>
      <c r="AO9" s="116">
        <v>46112</v>
      </c>
      <c r="AP9" s="108"/>
      <c r="AQ9" s="107"/>
      <c r="AR9" s="107"/>
      <c r="AS9" s="116"/>
      <c r="AT9" s="114"/>
      <c r="AU9" s="114"/>
      <c r="AV9" s="108"/>
      <c r="AW9" s="108"/>
      <c r="AX9" s="108" t="s">
        <v>97</v>
      </c>
      <c r="AY9" s="108" t="s">
        <v>98</v>
      </c>
      <c r="AZ9" s="108"/>
      <c r="BA9" s="108"/>
      <c r="BB9" s="108"/>
      <c r="BC9" s="108"/>
      <c r="BD9" s="111"/>
      <c r="BE9" s="111"/>
      <c r="BF9" s="111"/>
      <c r="BG9" s="111"/>
      <c r="BH9" s="111"/>
      <c r="BI9" s="111"/>
      <c r="BJ9" s="111"/>
      <c r="BK9" s="111"/>
      <c r="BL9" s="111"/>
      <c r="BM9" s="117" t="s">
        <v>111</v>
      </c>
      <c r="BN9" s="111"/>
      <c r="BO9" s="117"/>
      <c r="BP9" s="117"/>
      <c r="BQ9" s="117"/>
      <c r="BR9" s="111"/>
      <c r="BS9" s="118"/>
      <c r="BT9" s="111"/>
      <c r="BU9" s="118"/>
      <c r="BV9" s="111"/>
      <c r="BW9" s="111"/>
      <c r="BX9" s="111"/>
      <c r="BY9" s="111"/>
      <c r="BZ9" s="111"/>
      <c r="CA9" s="111"/>
      <c r="CB9" s="119">
        <v>0.96499999999999997</v>
      </c>
      <c r="CC9" s="117"/>
      <c r="CD9" s="120">
        <v>46100</v>
      </c>
      <c r="CE9" s="120">
        <v>46104</v>
      </c>
      <c r="CF9" s="120">
        <v>46106</v>
      </c>
      <c r="CG9" s="123"/>
      <c r="CH9" s="120" t="s">
        <v>112</v>
      </c>
      <c r="CI9" s="120" t="s">
        <v>125</v>
      </c>
      <c r="CJ9" s="123"/>
    </row>
    <row r="10" spans="1:88" ht="65.099999999999994" customHeight="1">
      <c r="A10" s="129" t="s">
        <v>126</v>
      </c>
      <c r="B10" s="130"/>
      <c r="C10" s="49">
        <v>0</v>
      </c>
      <c r="D10" s="130">
        <v>0</v>
      </c>
      <c r="E10" s="131"/>
      <c r="F10" s="131" t="s">
        <v>127</v>
      </c>
      <c r="G10" s="131"/>
      <c r="H10" s="285">
        <v>18622558</v>
      </c>
      <c r="I10" s="109">
        <f>Tracker6[[#This Row],[DCR ID - PTC]]</f>
        <v>18622558</v>
      </c>
      <c r="J10" s="289" t="s">
        <v>128</v>
      </c>
      <c r="K10" s="131" t="s">
        <v>118</v>
      </c>
      <c r="L10" s="131"/>
      <c r="M10" s="131"/>
      <c r="N10" s="131" t="s">
        <v>129</v>
      </c>
      <c r="O10" s="132" t="s">
        <v>115</v>
      </c>
      <c r="P10" s="111"/>
      <c r="Q10" s="111"/>
      <c r="R10" s="111"/>
      <c r="S10" s="111"/>
      <c r="T10" s="111"/>
      <c r="U10" s="108"/>
      <c r="V10" s="108"/>
      <c r="W10" s="108"/>
      <c r="X10" s="108"/>
      <c r="Y10" s="108"/>
      <c r="Z10" s="108"/>
      <c r="AA10" s="108" t="s">
        <v>130</v>
      </c>
      <c r="AB10" s="112">
        <v>46000</v>
      </c>
      <c r="AC10" s="108" t="s">
        <v>131</v>
      </c>
      <c r="AD10" s="108" t="s">
        <v>93</v>
      </c>
      <c r="AE10" s="107"/>
      <c r="AF10" s="113"/>
      <c r="AG10" s="115">
        <v>46000.075856481482</v>
      </c>
      <c r="AH10" s="108" t="s">
        <v>94</v>
      </c>
      <c r="AI10" s="108" t="s">
        <v>95</v>
      </c>
      <c r="AJ10" s="114">
        <v>46034.4375</v>
      </c>
      <c r="AK10" s="108" t="s">
        <v>96</v>
      </c>
      <c r="AL10" s="115">
        <v>45924.504282407404</v>
      </c>
      <c r="AM10" s="116"/>
      <c r="AN10" s="116"/>
      <c r="AO10" s="116">
        <v>46129</v>
      </c>
      <c r="AP10" s="108"/>
      <c r="AQ10" s="107"/>
      <c r="AR10" s="107"/>
      <c r="AS10" s="116"/>
      <c r="AT10" s="114"/>
      <c r="AU10" s="114"/>
      <c r="AV10" s="108"/>
      <c r="AW10" s="108"/>
      <c r="AX10" s="108" t="s">
        <v>97</v>
      </c>
      <c r="AY10" s="108" t="s">
        <v>98</v>
      </c>
      <c r="AZ10" s="108"/>
      <c r="BA10" s="108"/>
      <c r="BB10" s="108"/>
      <c r="BC10" s="108"/>
      <c r="BD10" s="111"/>
      <c r="BE10" s="111"/>
      <c r="BF10" s="111"/>
      <c r="BG10" s="111"/>
      <c r="BH10" s="111"/>
      <c r="BI10" s="111"/>
      <c r="BJ10" s="111"/>
      <c r="BK10" s="111"/>
      <c r="BL10" s="111"/>
      <c r="BM10" s="117" t="s">
        <v>132</v>
      </c>
      <c r="BN10" s="111"/>
      <c r="BO10" s="117"/>
      <c r="BP10" s="117"/>
      <c r="BQ10" s="117"/>
      <c r="BR10" s="111"/>
      <c r="BS10" s="118"/>
      <c r="BT10" s="111"/>
      <c r="BU10" s="118"/>
      <c r="BV10" s="111"/>
      <c r="BW10" s="111"/>
      <c r="BX10" s="111"/>
      <c r="BY10" s="111"/>
      <c r="BZ10" s="111"/>
      <c r="CA10" s="111"/>
      <c r="CB10" s="119">
        <v>0.78</v>
      </c>
      <c r="CC10" s="117"/>
      <c r="CD10" s="120">
        <v>46106</v>
      </c>
      <c r="CE10" s="120">
        <v>46108</v>
      </c>
      <c r="CF10" s="120">
        <v>46111</v>
      </c>
      <c r="CG10" s="123"/>
      <c r="CH10" s="120" t="s">
        <v>112</v>
      </c>
      <c r="CI10" s="120">
        <v>46086</v>
      </c>
      <c r="CJ10" s="123"/>
    </row>
    <row r="11" spans="1:88" ht="51" customHeight="1">
      <c r="A11" s="106" t="s">
        <v>133</v>
      </c>
      <c r="B11" s="107"/>
      <c r="C11" s="49">
        <v>0</v>
      </c>
      <c r="D11" s="107"/>
      <c r="E11" s="108"/>
      <c r="F11" s="108"/>
      <c r="G11" s="121"/>
      <c r="H11" s="273">
        <v>18330291</v>
      </c>
      <c r="I11" s="109">
        <f>Tracker6[[#This Row],[DCR ID - PTC]]</f>
        <v>18330291</v>
      </c>
      <c r="J11" s="251" t="s">
        <v>134</v>
      </c>
      <c r="K11" s="108" t="s">
        <v>118</v>
      </c>
      <c r="L11" s="108"/>
      <c r="M11" s="108"/>
      <c r="N11" s="134" t="s">
        <v>129</v>
      </c>
      <c r="O11" s="111" t="s">
        <v>115</v>
      </c>
      <c r="P11" s="111"/>
      <c r="Q11" s="111"/>
      <c r="R11" s="111"/>
      <c r="S11" s="111"/>
      <c r="T11" s="111"/>
      <c r="U11" s="108"/>
      <c r="V11" s="108"/>
      <c r="W11" s="108"/>
      <c r="X11" s="108"/>
      <c r="Y11" s="108"/>
      <c r="Z11" s="108"/>
      <c r="AA11" s="108"/>
      <c r="AB11" s="112"/>
      <c r="AC11" s="108"/>
      <c r="AD11" s="108"/>
      <c r="AE11" s="107"/>
      <c r="AF11" s="113"/>
      <c r="AG11" s="115"/>
      <c r="AH11" s="108"/>
      <c r="AI11" s="108"/>
      <c r="AJ11" s="114"/>
      <c r="AK11" s="108"/>
      <c r="AL11" s="115"/>
      <c r="AM11" s="116"/>
      <c r="AN11" s="116"/>
      <c r="AO11" s="116">
        <v>46129</v>
      </c>
      <c r="AP11" s="108"/>
      <c r="AQ11" s="107"/>
      <c r="AR11" s="107"/>
      <c r="AS11" s="116"/>
      <c r="AT11" s="114"/>
      <c r="AU11" s="114"/>
      <c r="AV11" s="108"/>
      <c r="AW11" s="108"/>
      <c r="AX11" s="108" t="s">
        <v>97</v>
      </c>
      <c r="AY11" s="108" t="s">
        <v>98</v>
      </c>
      <c r="AZ11" s="108"/>
      <c r="BA11" s="108"/>
      <c r="BB11" s="108"/>
      <c r="BC11" s="108"/>
      <c r="BD11" s="111"/>
      <c r="BE11" s="111"/>
      <c r="BF11" s="111"/>
      <c r="BG11" s="111"/>
      <c r="BH11" s="111"/>
      <c r="BI11" s="111"/>
      <c r="BJ11" s="111"/>
      <c r="BK11" s="111"/>
      <c r="BL11" s="111"/>
      <c r="BM11" s="117" t="s">
        <v>132</v>
      </c>
      <c r="BN11" s="111"/>
      <c r="BO11" s="117"/>
      <c r="BP11" s="117"/>
      <c r="BQ11" s="117"/>
      <c r="BR11" s="111"/>
      <c r="BS11" s="118"/>
      <c r="BT11" s="111"/>
      <c r="BU11" s="118"/>
      <c r="BV11" s="111"/>
      <c r="BW11" s="111"/>
      <c r="BX11" s="111"/>
      <c r="BY11" s="111"/>
      <c r="BZ11" s="111"/>
      <c r="CA11" s="111"/>
      <c r="CB11" s="119">
        <v>0.78</v>
      </c>
      <c r="CC11" s="117"/>
      <c r="CD11" s="120">
        <v>46118</v>
      </c>
      <c r="CE11" s="120">
        <v>46120</v>
      </c>
      <c r="CF11" s="120">
        <v>46122</v>
      </c>
      <c r="CG11" s="123"/>
      <c r="CH11" s="120" t="s">
        <v>112</v>
      </c>
      <c r="CI11" s="120">
        <v>46086</v>
      </c>
      <c r="CJ11" s="123"/>
    </row>
    <row r="12" spans="1:88" ht="67.5" customHeight="1">
      <c r="A12" s="106" t="s">
        <v>133</v>
      </c>
      <c r="B12" s="107"/>
      <c r="C12" s="49">
        <v>0</v>
      </c>
      <c r="D12" s="107">
        <v>0</v>
      </c>
      <c r="E12" s="108"/>
      <c r="F12" s="108" t="s">
        <v>127</v>
      </c>
      <c r="G12" s="108"/>
      <c r="H12" s="273">
        <v>18850820</v>
      </c>
      <c r="I12" s="109">
        <f>Tracker6[[#This Row],[DCR ID - PTC]]</f>
        <v>18850820</v>
      </c>
      <c r="J12" s="251" t="s">
        <v>135</v>
      </c>
      <c r="K12" s="108" t="s">
        <v>118</v>
      </c>
      <c r="L12" s="108"/>
      <c r="M12" s="108"/>
      <c r="N12" s="108" t="s">
        <v>129</v>
      </c>
      <c r="O12" s="111" t="s">
        <v>115</v>
      </c>
      <c r="P12" s="111"/>
      <c r="Q12" s="111"/>
      <c r="R12" s="111"/>
      <c r="S12" s="111"/>
      <c r="T12" s="111"/>
      <c r="U12" s="108"/>
      <c r="V12" s="108"/>
      <c r="W12" s="108"/>
      <c r="X12" s="108"/>
      <c r="Y12" s="108"/>
      <c r="Z12" s="108"/>
      <c r="AA12" s="108" t="s">
        <v>130</v>
      </c>
      <c r="AB12" s="112">
        <v>46000</v>
      </c>
      <c r="AC12" s="108" t="s">
        <v>131</v>
      </c>
      <c r="AD12" s="108" t="s">
        <v>93</v>
      </c>
      <c r="AE12" s="107"/>
      <c r="AF12" s="113"/>
      <c r="AG12" s="115">
        <v>46000.075856481482</v>
      </c>
      <c r="AH12" s="108" t="s">
        <v>94</v>
      </c>
      <c r="AI12" s="108" t="s">
        <v>95</v>
      </c>
      <c r="AJ12" s="114">
        <v>46034.4375</v>
      </c>
      <c r="AK12" s="108" t="s">
        <v>96</v>
      </c>
      <c r="AL12" s="115">
        <v>45924.504282407404</v>
      </c>
      <c r="AM12" s="116"/>
      <c r="AN12" s="116"/>
      <c r="AO12" s="116">
        <v>46129</v>
      </c>
      <c r="AP12" s="108"/>
      <c r="AQ12" s="107"/>
      <c r="AR12" s="107"/>
      <c r="AS12" s="116"/>
      <c r="AT12" s="114"/>
      <c r="AU12" s="114"/>
      <c r="AV12" s="108"/>
      <c r="AW12" s="108"/>
      <c r="AX12" s="108" t="s">
        <v>97</v>
      </c>
      <c r="AY12" s="108" t="s">
        <v>98</v>
      </c>
      <c r="AZ12" s="108"/>
      <c r="BA12" s="108"/>
      <c r="BB12" s="108"/>
      <c r="BC12" s="108"/>
      <c r="BD12" s="111"/>
      <c r="BE12" s="111"/>
      <c r="BF12" s="111"/>
      <c r="BG12" s="111"/>
      <c r="BH12" s="111"/>
      <c r="BI12" s="111"/>
      <c r="BJ12" s="111"/>
      <c r="BK12" s="111"/>
      <c r="BL12" s="111"/>
      <c r="BM12" s="117" t="s">
        <v>132</v>
      </c>
      <c r="BN12" s="111"/>
      <c r="BO12" s="117"/>
      <c r="BP12" s="117"/>
      <c r="BQ12" s="117"/>
      <c r="BR12" s="111"/>
      <c r="BS12" s="118"/>
      <c r="BT12" s="111"/>
      <c r="BU12" s="118"/>
      <c r="BV12" s="111"/>
      <c r="BW12" s="111"/>
      <c r="BX12" s="111"/>
      <c r="BY12" s="111"/>
      <c r="BZ12" s="111"/>
      <c r="CA12" s="111"/>
      <c r="CB12" s="119">
        <v>0.78</v>
      </c>
      <c r="CC12" s="117"/>
      <c r="CD12" s="120">
        <v>0</v>
      </c>
      <c r="CE12" s="120">
        <v>0</v>
      </c>
      <c r="CF12" s="120">
        <v>0</v>
      </c>
      <c r="CG12" s="123"/>
      <c r="CH12" s="120" t="s">
        <v>112</v>
      </c>
      <c r="CI12" s="120">
        <v>0</v>
      </c>
      <c r="CJ12" s="123"/>
    </row>
    <row r="13" spans="1:88" ht="409.5">
      <c r="A13" s="106" t="s">
        <v>133</v>
      </c>
      <c r="B13" s="107">
        <f>1+2.5+3.5+3+3+7+2+2+6+2+7.75+7.25+7.75+7.25+7.25+3+3+6+9.5+8+8+7.75+7.5+8</f>
        <v>130</v>
      </c>
      <c r="C13" s="49">
        <v>220</v>
      </c>
      <c r="D13" s="107">
        <f>C13-B13</f>
        <v>90</v>
      </c>
      <c r="E13" s="108"/>
      <c r="F13" s="108" t="s">
        <v>136</v>
      </c>
      <c r="G13" s="108"/>
      <c r="H13" s="151">
        <v>16816828</v>
      </c>
      <c r="I13" s="109">
        <f>Tracker6[[#This Row],[DCR ID - PTC]]</f>
        <v>16816828</v>
      </c>
      <c r="J13" s="108" t="s">
        <v>137</v>
      </c>
      <c r="K13" s="108" t="s">
        <v>118</v>
      </c>
      <c r="L13" s="108"/>
      <c r="M13" s="108"/>
      <c r="N13" s="108" t="s">
        <v>138</v>
      </c>
      <c r="O13" s="111" t="s">
        <v>115</v>
      </c>
      <c r="P13" s="111"/>
      <c r="Q13" s="111"/>
      <c r="R13" s="111"/>
      <c r="S13" s="111"/>
      <c r="T13" s="111"/>
      <c r="U13" s="108"/>
      <c r="V13" s="108"/>
      <c r="W13" s="108"/>
      <c r="X13" s="108"/>
      <c r="Y13" s="108"/>
      <c r="Z13" s="108"/>
      <c r="AA13" s="108" t="s">
        <v>139</v>
      </c>
      <c r="AB13" s="112">
        <v>46080</v>
      </c>
      <c r="AC13" s="108" t="s">
        <v>140</v>
      </c>
      <c r="AD13" s="108" t="s">
        <v>93</v>
      </c>
      <c r="AE13" s="107"/>
      <c r="AF13" s="113"/>
      <c r="AG13" s="115">
        <v>46027.923136574071</v>
      </c>
      <c r="AH13" s="108" t="s">
        <v>100</v>
      </c>
      <c r="AI13" s="108" t="s">
        <v>95</v>
      </c>
      <c r="AJ13" s="114">
        <v>46068.4375</v>
      </c>
      <c r="AK13" s="108" t="s">
        <v>96</v>
      </c>
      <c r="AL13" s="115">
        <v>45831.99796296296</v>
      </c>
      <c r="AM13" s="116"/>
      <c r="AN13" s="116"/>
      <c r="AO13" s="116">
        <v>46129</v>
      </c>
      <c r="AP13" s="108"/>
      <c r="AQ13" s="107"/>
      <c r="AR13" s="107"/>
      <c r="AS13" s="116"/>
      <c r="AT13" s="114"/>
      <c r="AU13" s="114"/>
      <c r="AV13" s="108"/>
      <c r="AW13" s="108"/>
      <c r="AX13" s="108" t="s">
        <v>97</v>
      </c>
      <c r="AY13" s="108" t="s">
        <v>98</v>
      </c>
      <c r="AZ13" s="108"/>
      <c r="BA13" s="108"/>
      <c r="BB13" s="108"/>
      <c r="BC13" s="108"/>
      <c r="BD13" s="111"/>
      <c r="BE13" s="111"/>
      <c r="BF13" s="111"/>
      <c r="BG13" s="111"/>
      <c r="BH13" s="111"/>
      <c r="BI13" s="111"/>
      <c r="BJ13" s="111"/>
      <c r="BK13" s="111"/>
      <c r="BL13" s="111"/>
      <c r="BM13" s="117" t="s">
        <v>141</v>
      </c>
      <c r="BN13" s="111"/>
      <c r="BO13" s="117"/>
      <c r="BP13" s="117"/>
      <c r="BQ13" s="117"/>
      <c r="BR13" s="111"/>
      <c r="BS13" s="118"/>
      <c r="BT13" s="111"/>
      <c r="BU13" s="118"/>
      <c r="BV13" s="111"/>
      <c r="BW13" s="111"/>
      <c r="BX13" s="111"/>
      <c r="BY13" s="111"/>
      <c r="BZ13" s="111"/>
      <c r="CA13" s="111"/>
      <c r="CB13" s="119">
        <v>0.78</v>
      </c>
      <c r="CC13" s="117"/>
      <c r="CD13" s="120">
        <v>46118</v>
      </c>
      <c r="CE13" s="120">
        <v>46120</v>
      </c>
      <c r="CF13" s="120">
        <v>46122</v>
      </c>
      <c r="CG13" s="123"/>
      <c r="CH13" s="120" t="s">
        <v>112</v>
      </c>
      <c r="CI13" s="120">
        <v>46086</v>
      </c>
      <c r="CJ13" s="123"/>
    </row>
    <row r="14" spans="1:88" ht="304.5">
      <c r="A14" s="106" t="s">
        <v>133</v>
      </c>
      <c r="B14" s="107">
        <f>4.5+2.5+4+3.5+2.5+5+6+6.5+8+6+7.5+7.5+6.5+3+2.5</f>
        <v>75.5</v>
      </c>
      <c r="C14" s="49">
        <v>110</v>
      </c>
      <c r="D14" s="107">
        <f>Tracker6[[#This Row],[Estimated Hrs]]-Tracker6[[#This Row],[Actual Efforts (Hrs)]]</f>
        <v>34.5</v>
      </c>
      <c r="E14" s="108"/>
      <c r="F14" s="108" t="s">
        <v>136</v>
      </c>
      <c r="G14" s="146"/>
      <c r="H14" s="313">
        <v>17112723</v>
      </c>
      <c r="I14" s="109">
        <f>Tracker6[[#This Row],[DCR ID - PTC]]</f>
        <v>17112723</v>
      </c>
      <c r="J14" s="108" t="s">
        <v>142</v>
      </c>
      <c r="K14" s="108" t="s">
        <v>118</v>
      </c>
      <c r="L14" s="108"/>
      <c r="M14" s="108"/>
      <c r="N14" s="108" t="s">
        <v>143</v>
      </c>
      <c r="O14" s="111" t="s">
        <v>115</v>
      </c>
      <c r="P14" s="111"/>
      <c r="Q14" s="111"/>
      <c r="R14" s="111"/>
      <c r="S14" s="111"/>
      <c r="T14" s="111"/>
      <c r="U14" s="108"/>
      <c r="V14" s="108"/>
      <c r="W14" s="108"/>
      <c r="X14" s="108"/>
      <c r="Y14" s="108"/>
      <c r="Z14" s="108"/>
      <c r="AA14" s="108" t="s">
        <v>139</v>
      </c>
      <c r="AB14" s="112">
        <v>46052</v>
      </c>
      <c r="AC14" s="108"/>
      <c r="AD14" s="108" t="s">
        <v>93</v>
      </c>
      <c r="AE14" s="107"/>
      <c r="AF14" s="113"/>
      <c r="AG14" s="115">
        <v>46003.057581018518</v>
      </c>
      <c r="AH14" s="108" t="s">
        <v>100</v>
      </c>
      <c r="AI14" s="108" t="s">
        <v>95</v>
      </c>
      <c r="AJ14" s="114">
        <v>45961.770833333336</v>
      </c>
      <c r="AK14" s="108" t="s">
        <v>96</v>
      </c>
      <c r="AL14" s="115">
        <v>45862.762175925927</v>
      </c>
      <c r="AM14" s="116"/>
      <c r="AN14" s="116"/>
      <c r="AO14" s="116">
        <v>46129</v>
      </c>
      <c r="AP14" s="108"/>
      <c r="AQ14" s="107"/>
      <c r="AR14" s="107"/>
      <c r="AS14" s="116"/>
      <c r="AT14" s="114"/>
      <c r="AU14" s="114"/>
      <c r="AV14" s="108"/>
      <c r="AW14" s="108"/>
      <c r="AX14" s="108" t="s">
        <v>97</v>
      </c>
      <c r="AY14" s="108" t="s">
        <v>98</v>
      </c>
      <c r="AZ14" s="108"/>
      <c r="BA14" s="108"/>
      <c r="BB14" s="108"/>
      <c r="BC14" s="108"/>
      <c r="BD14" s="111"/>
      <c r="BE14" s="111"/>
      <c r="BF14" s="111"/>
      <c r="BG14" s="111"/>
      <c r="BH14" s="111"/>
      <c r="BI14" s="111"/>
      <c r="BJ14" s="111"/>
      <c r="BK14" s="111"/>
      <c r="BL14" s="111"/>
      <c r="BM14" s="117" t="s">
        <v>141</v>
      </c>
      <c r="BN14" s="111"/>
      <c r="BO14" s="117"/>
      <c r="BP14" s="117"/>
      <c r="BQ14" s="117"/>
      <c r="BR14" s="111"/>
      <c r="BS14" s="118"/>
      <c r="BT14" s="111"/>
      <c r="BU14" s="118"/>
      <c r="BV14" s="111"/>
      <c r="BW14" s="111"/>
      <c r="BX14" s="111"/>
      <c r="BY14" s="111"/>
      <c r="BZ14" s="111"/>
      <c r="CA14" s="111"/>
      <c r="CB14" s="119">
        <v>0.94499999999999995</v>
      </c>
      <c r="CC14" s="117"/>
      <c r="CD14" s="120">
        <v>46118</v>
      </c>
      <c r="CE14" s="120">
        <v>46120</v>
      </c>
      <c r="CF14" s="120">
        <v>46122</v>
      </c>
      <c r="CG14" s="123"/>
      <c r="CH14" s="120" t="s">
        <v>112</v>
      </c>
      <c r="CI14" s="120">
        <v>46086</v>
      </c>
      <c r="CJ14" s="123"/>
    </row>
    <row r="15" spans="1:88" ht="124.5" hidden="1" customHeight="1">
      <c r="A15" s="106" t="s">
        <v>144</v>
      </c>
      <c r="B15" s="107">
        <v>0</v>
      </c>
      <c r="C15" s="49" t="e">
        <v>#N/A</v>
      </c>
      <c r="D15" s="107">
        <v>0</v>
      </c>
      <c r="E15" s="108"/>
      <c r="F15" s="108"/>
      <c r="G15" s="108"/>
      <c r="H15" s="151">
        <v>18223579</v>
      </c>
      <c r="I15" s="109">
        <f>Tracker6[[#This Row],[DCR ID - PTC]]</f>
        <v>18223579</v>
      </c>
      <c r="J15" s="108" t="s">
        <v>145</v>
      </c>
      <c r="K15" s="108"/>
      <c r="L15" s="108"/>
      <c r="M15" s="108"/>
      <c r="N15" s="108"/>
      <c r="O15" s="111" t="s">
        <v>122</v>
      </c>
      <c r="P15" s="111"/>
      <c r="Q15" s="111"/>
      <c r="R15" s="111"/>
      <c r="S15" s="111"/>
      <c r="T15" s="111"/>
      <c r="U15" s="108"/>
      <c r="V15" s="108"/>
      <c r="W15" s="108"/>
      <c r="X15" s="108"/>
      <c r="Y15" s="108"/>
      <c r="Z15" s="108"/>
      <c r="AA15" s="108"/>
      <c r="AB15" s="112"/>
      <c r="AC15" s="108"/>
      <c r="AD15" s="108" t="s">
        <v>146</v>
      </c>
      <c r="AE15" s="107"/>
      <c r="AF15" s="113"/>
      <c r="AG15" s="115"/>
      <c r="AH15" s="108" t="s">
        <v>100</v>
      </c>
      <c r="AI15" s="108" t="s">
        <v>101</v>
      </c>
      <c r="AJ15" s="114">
        <v>46053.557638888888</v>
      </c>
      <c r="AK15" s="108" t="s">
        <v>96</v>
      </c>
      <c r="AL15" s="115">
        <v>46010.558344907404</v>
      </c>
      <c r="AM15" s="116"/>
      <c r="AN15" s="116"/>
      <c r="AO15" s="116" t="e">
        <v>#N/A</v>
      </c>
      <c r="AP15" s="108"/>
      <c r="AQ15" s="107"/>
      <c r="AR15" s="107"/>
      <c r="AS15" s="116"/>
      <c r="AT15" s="114"/>
      <c r="AU15" s="114"/>
      <c r="AV15" s="108"/>
      <c r="AW15" s="108"/>
      <c r="AX15" s="108" t="s">
        <v>97</v>
      </c>
      <c r="AY15" s="108" t="s">
        <v>98</v>
      </c>
      <c r="AZ15" s="108"/>
      <c r="BA15" s="108"/>
      <c r="BB15" s="108"/>
      <c r="BC15" s="108"/>
      <c r="BD15" s="111"/>
      <c r="BE15" s="111"/>
      <c r="BF15" s="111"/>
      <c r="BG15" s="111"/>
      <c r="BH15" s="111"/>
      <c r="BI15" s="111"/>
      <c r="BJ15" s="111"/>
      <c r="BK15" s="111"/>
      <c r="BL15" s="111"/>
      <c r="BM15" s="117" t="e">
        <v>#N/A</v>
      </c>
      <c r="BN15" s="111"/>
      <c r="BO15" s="117"/>
      <c r="BP15" s="117"/>
      <c r="BQ15" s="117"/>
      <c r="BR15" s="111"/>
      <c r="BS15" s="118"/>
      <c r="BT15" s="111"/>
      <c r="BU15" s="118"/>
      <c r="BV15" s="111"/>
      <c r="BW15" s="111"/>
      <c r="BX15" s="111"/>
      <c r="BY15" s="111"/>
      <c r="BZ15" s="111"/>
      <c r="CA15" s="111"/>
      <c r="CB15" s="119"/>
      <c r="CC15" s="117"/>
      <c r="CD15" s="120" t="e">
        <v>#N/A</v>
      </c>
      <c r="CE15" s="120" t="e">
        <v>#N/A</v>
      </c>
      <c r="CF15" s="120" t="e">
        <v>#N/A</v>
      </c>
      <c r="CG15" s="123"/>
      <c r="CH15" s="120" t="e">
        <v>#N/A</v>
      </c>
      <c r="CI15" s="120" t="e">
        <v>#N/A</v>
      </c>
      <c r="CJ15" s="123"/>
    </row>
    <row r="16" spans="1:88" ht="57.95" hidden="1">
      <c r="A16" s="106" t="s">
        <v>144</v>
      </c>
      <c r="B16" s="107">
        <v>176</v>
      </c>
      <c r="C16" s="49" t="e">
        <v>#N/A</v>
      </c>
      <c r="D16" s="107">
        <v>96</v>
      </c>
      <c r="E16" s="108"/>
      <c r="F16" s="108" t="s">
        <v>127</v>
      </c>
      <c r="G16" s="121"/>
      <c r="H16" s="109">
        <v>17551019</v>
      </c>
      <c r="I16" s="109">
        <f>Tracker6[[#This Row],[DCR ID - PTC]]</f>
        <v>17551019</v>
      </c>
      <c r="J16" s="108" t="s">
        <v>147</v>
      </c>
      <c r="K16" s="108"/>
      <c r="L16" s="108" t="s">
        <v>131</v>
      </c>
      <c r="M16" s="108"/>
      <c r="N16" s="108"/>
      <c r="O16" s="111" t="s">
        <v>122</v>
      </c>
      <c r="P16" s="111"/>
      <c r="Q16" s="111"/>
      <c r="R16" s="111"/>
      <c r="S16" s="111"/>
      <c r="T16" s="111"/>
      <c r="U16" s="108"/>
      <c r="V16" s="108"/>
      <c r="W16" s="108"/>
      <c r="X16" s="108"/>
      <c r="Y16" s="108"/>
      <c r="Z16" s="108"/>
      <c r="AA16" s="108" t="s">
        <v>130</v>
      </c>
      <c r="AB16" s="112">
        <v>46000</v>
      </c>
      <c r="AC16" s="108" t="s">
        <v>131</v>
      </c>
      <c r="AD16" s="108" t="s">
        <v>93</v>
      </c>
      <c r="AE16" s="107"/>
      <c r="AF16" s="113"/>
      <c r="AG16" s="115">
        <v>46000.075856481482</v>
      </c>
      <c r="AH16" s="108" t="s">
        <v>94</v>
      </c>
      <c r="AI16" s="108" t="s">
        <v>95</v>
      </c>
      <c r="AJ16" s="114">
        <v>46034.4375</v>
      </c>
      <c r="AK16" s="108" t="s">
        <v>96</v>
      </c>
      <c r="AL16" s="115">
        <v>45924.504282407404</v>
      </c>
      <c r="AM16" s="116"/>
      <c r="AN16" s="116"/>
      <c r="AO16" s="116" t="e">
        <v>#N/A</v>
      </c>
      <c r="AP16" s="108"/>
      <c r="AQ16" s="107"/>
      <c r="AR16" s="107"/>
      <c r="AS16" s="116"/>
      <c r="AT16" s="114"/>
      <c r="AU16" s="114"/>
      <c r="AV16" s="108"/>
      <c r="AW16" s="108"/>
      <c r="AX16" s="108" t="s">
        <v>97</v>
      </c>
      <c r="AY16" s="108" t="s">
        <v>98</v>
      </c>
      <c r="AZ16" s="108"/>
      <c r="BA16" s="108"/>
      <c r="BB16" s="108"/>
      <c r="BC16" s="108"/>
      <c r="BD16" s="111"/>
      <c r="BE16" s="111"/>
      <c r="BF16" s="111"/>
      <c r="BG16" s="111"/>
      <c r="BH16" s="111"/>
      <c r="BI16" s="111"/>
      <c r="BJ16" s="111"/>
      <c r="BK16" s="111"/>
      <c r="BL16" s="111"/>
      <c r="BM16" s="117" t="e">
        <v>#N/A</v>
      </c>
      <c r="BN16" s="111"/>
      <c r="BO16" s="117"/>
      <c r="BP16" s="117"/>
      <c r="BQ16" s="117"/>
      <c r="BR16" s="111"/>
      <c r="BS16" s="118"/>
      <c r="BT16" s="111"/>
      <c r="BU16" s="118"/>
      <c r="BV16" s="111"/>
      <c r="BW16" s="111"/>
      <c r="BX16" s="111"/>
      <c r="BY16" s="111"/>
      <c r="BZ16" s="111"/>
      <c r="CA16" s="111"/>
      <c r="CB16" s="119"/>
      <c r="CC16" s="117"/>
      <c r="CD16" s="120" t="e">
        <v>#N/A</v>
      </c>
      <c r="CE16" s="120" t="e">
        <v>#N/A</v>
      </c>
      <c r="CF16" s="120" t="e">
        <v>#N/A</v>
      </c>
      <c r="CG16" s="123"/>
      <c r="CH16" s="120" t="e">
        <v>#N/A</v>
      </c>
      <c r="CI16" s="120" t="e">
        <v>#N/A</v>
      </c>
      <c r="CJ16" s="314"/>
    </row>
    <row r="17" spans="1:88" ht="57.95" hidden="1">
      <c r="A17" s="106" t="s">
        <v>144</v>
      </c>
      <c r="B17" s="107">
        <f>8+5+2.5</f>
        <v>15.5</v>
      </c>
      <c r="C17" s="49">
        <v>15.5</v>
      </c>
      <c r="D17" s="107">
        <f>Tracker6[[#This Row],[Estimated Hrs]]-Tracker6[[#This Row],[Actual Efforts (Hrs)]]</f>
        <v>0</v>
      </c>
      <c r="E17" s="108"/>
      <c r="F17" s="299" t="s">
        <v>148</v>
      </c>
      <c r="G17" s="108" t="s">
        <v>148</v>
      </c>
      <c r="H17" s="109">
        <v>18919143</v>
      </c>
      <c r="I17" s="109">
        <v>18919143</v>
      </c>
      <c r="J17" s="108" t="s">
        <v>149</v>
      </c>
      <c r="K17" s="108" t="s">
        <v>104</v>
      </c>
      <c r="L17" s="108"/>
      <c r="M17" s="108"/>
      <c r="N17" s="108" t="s">
        <v>150</v>
      </c>
      <c r="O17" s="111" t="s">
        <v>106</v>
      </c>
      <c r="P17" s="111"/>
      <c r="Q17" s="111"/>
      <c r="R17" s="111"/>
      <c r="S17" s="111"/>
      <c r="T17" s="111"/>
      <c r="U17" s="108"/>
      <c r="V17" s="108"/>
      <c r="W17" s="108"/>
      <c r="X17" s="108"/>
      <c r="Y17" s="108"/>
      <c r="Z17" s="108"/>
      <c r="AA17" s="108"/>
      <c r="AB17" s="112"/>
      <c r="AC17" s="108"/>
      <c r="AD17" s="108"/>
      <c r="AE17" s="107"/>
      <c r="AF17" s="113"/>
      <c r="AG17" s="115">
        <v>46079</v>
      </c>
      <c r="AH17" s="108"/>
      <c r="AI17" s="108"/>
      <c r="AJ17" s="114"/>
      <c r="AK17" s="108"/>
      <c r="AL17" s="115"/>
      <c r="AM17" s="116"/>
      <c r="AN17" s="116"/>
      <c r="AO17" s="116">
        <v>46080</v>
      </c>
      <c r="AP17" s="108"/>
      <c r="AQ17" s="107"/>
      <c r="AR17" s="107"/>
      <c r="AS17" s="116">
        <v>46080</v>
      </c>
      <c r="AT17" s="114">
        <v>46079</v>
      </c>
      <c r="AU17" s="114">
        <v>46080</v>
      </c>
      <c r="AV17" s="108"/>
      <c r="AW17" s="108"/>
      <c r="AX17" s="108" t="s">
        <v>97</v>
      </c>
      <c r="AY17" s="108" t="s">
        <v>98</v>
      </c>
      <c r="AZ17" s="108"/>
      <c r="BA17" s="108"/>
      <c r="BB17" s="108"/>
      <c r="BC17" s="108"/>
      <c r="BD17" s="111"/>
      <c r="BE17" s="111"/>
      <c r="BF17" s="111"/>
      <c r="BG17" s="111"/>
      <c r="BH17" s="111"/>
      <c r="BI17" s="111"/>
      <c r="BJ17" s="111"/>
      <c r="BK17" s="111"/>
      <c r="BL17" s="111"/>
      <c r="BM17" s="117"/>
      <c r="BN17" s="111"/>
      <c r="BO17" s="117"/>
      <c r="BP17" s="117"/>
      <c r="BQ17" s="117"/>
      <c r="BR17" s="111"/>
      <c r="BS17" s="118"/>
      <c r="BT17" s="111"/>
      <c r="BU17" s="118"/>
      <c r="BV17" s="111"/>
      <c r="BW17" s="111"/>
      <c r="BX17" s="111"/>
      <c r="BY17" s="111"/>
      <c r="BZ17" s="111"/>
      <c r="CA17" s="111"/>
      <c r="CB17" s="119">
        <v>1</v>
      </c>
      <c r="CC17" s="117"/>
      <c r="CD17" s="120"/>
      <c r="CE17" s="120"/>
      <c r="CF17" s="120"/>
      <c r="CG17" s="123"/>
      <c r="CH17" s="120"/>
      <c r="CI17" s="120"/>
      <c r="CJ17" s="123"/>
    </row>
    <row r="18" spans="1:88" ht="57.95" hidden="1">
      <c r="A18" s="106" t="s">
        <v>144</v>
      </c>
      <c r="B18" s="107">
        <v>0</v>
      </c>
      <c r="C18" s="49">
        <v>0</v>
      </c>
      <c r="D18" s="107">
        <v>0</v>
      </c>
      <c r="E18" s="108"/>
      <c r="F18" s="308" t="s">
        <v>148</v>
      </c>
      <c r="G18" s="121" t="s">
        <v>148</v>
      </c>
      <c r="H18" s="109">
        <v>18920541</v>
      </c>
      <c r="I18" s="109">
        <v>18920541</v>
      </c>
      <c r="J18" s="108" t="s">
        <v>151</v>
      </c>
      <c r="K18" s="108" t="s">
        <v>104</v>
      </c>
      <c r="L18" s="108"/>
      <c r="M18" s="108"/>
      <c r="N18" s="108" t="s">
        <v>152</v>
      </c>
      <c r="O18" s="111" t="s">
        <v>106</v>
      </c>
      <c r="P18" s="111"/>
      <c r="Q18" s="111"/>
      <c r="R18" s="111"/>
      <c r="S18" s="111"/>
      <c r="T18" s="111"/>
      <c r="U18" s="108"/>
      <c r="V18" s="108"/>
      <c r="W18" s="108"/>
      <c r="X18" s="108"/>
      <c r="Y18" s="108"/>
      <c r="Z18" s="108"/>
      <c r="AA18" s="108"/>
      <c r="AB18" s="112"/>
      <c r="AC18" s="108"/>
      <c r="AD18" s="108"/>
      <c r="AE18" s="107"/>
      <c r="AF18" s="113"/>
      <c r="AG18" s="115">
        <v>46079</v>
      </c>
      <c r="AH18" s="108"/>
      <c r="AI18" s="108"/>
      <c r="AJ18" s="114"/>
      <c r="AK18" s="108"/>
      <c r="AL18" s="115"/>
      <c r="AM18" s="116"/>
      <c r="AN18" s="116"/>
      <c r="AO18" s="116">
        <v>46080</v>
      </c>
      <c r="AP18" s="108"/>
      <c r="AQ18" s="107"/>
      <c r="AR18" s="107"/>
      <c r="AS18" s="116">
        <v>46080</v>
      </c>
      <c r="AT18" s="114">
        <v>46079</v>
      </c>
      <c r="AU18" s="114">
        <v>46080</v>
      </c>
      <c r="AV18" s="108"/>
      <c r="AW18" s="108"/>
      <c r="AX18" s="108" t="s">
        <v>97</v>
      </c>
      <c r="AY18" s="108" t="s">
        <v>98</v>
      </c>
      <c r="AZ18" s="108"/>
      <c r="BA18" s="108"/>
      <c r="BB18" s="108"/>
      <c r="BC18" s="108"/>
      <c r="BD18" s="111"/>
      <c r="BE18" s="111"/>
      <c r="BF18" s="111"/>
      <c r="BG18" s="111"/>
      <c r="BH18" s="111"/>
      <c r="BI18" s="111"/>
      <c r="BJ18" s="111"/>
      <c r="BK18" s="111"/>
      <c r="BL18" s="111"/>
      <c r="BM18" s="117"/>
      <c r="BN18" s="111"/>
      <c r="BO18" s="117"/>
      <c r="BP18" s="117"/>
      <c r="BQ18" s="117"/>
      <c r="BR18" s="111"/>
      <c r="BS18" s="118"/>
      <c r="BT18" s="111"/>
      <c r="BU18" s="118"/>
      <c r="BV18" s="111"/>
      <c r="BW18" s="111"/>
      <c r="BX18" s="111"/>
      <c r="BY18" s="111"/>
      <c r="BZ18" s="111"/>
      <c r="CA18" s="111"/>
      <c r="CB18" s="119">
        <v>1</v>
      </c>
      <c r="CC18" s="117"/>
      <c r="CD18" s="120"/>
      <c r="CE18" s="120"/>
      <c r="CF18" s="120"/>
      <c r="CG18" s="123"/>
      <c r="CH18" s="120"/>
      <c r="CI18" s="120"/>
      <c r="CJ18" s="123"/>
    </row>
    <row r="19" spans="1:88" ht="87" hidden="1">
      <c r="A19" s="106" t="s">
        <v>144</v>
      </c>
      <c r="B19" s="107">
        <f>1+8+7.5+5.5</f>
        <v>22</v>
      </c>
      <c r="C19" s="49"/>
      <c r="D19" s="107"/>
      <c r="E19" s="108"/>
      <c r="F19" s="322" t="s">
        <v>148</v>
      </c>
      <c r="G19" s="322" t="s">
        <v>148</v>
      </c>
      <c r="H19" s="109">
        <v>18919143</v>
      </c>
      <c r="I19" s="109">
        <v>18919143</v>
      </c>
      <c r="J19" s="108" t="s">
        <v>149</v>
      </c>
      <c r="K19" s="108" t="s">
        <v>118</v>
      </c>
      <c r="L19" s="108"/>
      <c r="M19" s="108"/>
      <c r="N19" s="108" t="s">
        <v>153</v>
      </c>
      <c r="O19" s="111" t="s">
        <v>106</v>
      </c>
      <c r="P19" s="111"/>
      <c r="Q19" s="111"/>
      <c r="R19" s="111"/>
      <c r="S19" s="111"/>
      <c r="T19" s="111"/>
      <c r="U19" s="108"/>
      <c r="V19" s="108"/>
      <c r="W19" s="108"/>
      <c r="X19" s="108"/>
      <c r="Y19" s="108"/>
      <c r="Z19" s="108"/>
      <c r="AA19" s="108"/>
      <c r="AB19" s="112"/>
      <c r="AC19" s="108"/>
      <c r="AD19" s="108"/>
      <c r="AE19" s="107"/>
      <c r="AF19" s="113"/>
      <c r="AG19" s="115">
        <v>46080</v>
      </c>
      <c r="AH19" s="108"/>
      <c r="AI19" s="108"/>
      <c r="AJ19" s="114"/>
      <c r="AK19" s="108"/>
      <c r="AL19" s="115"/>
      <c r="AM19" s="116"/>
      <c r="AN19" s="116"/>
      <c r="AO19" s="116">
        <v>46085</v>
      </c>
      <c r="AP19" s="108"/>
      <c r="AQ19" s="107"/>
      <c r="AR19" s="107"/>
      <c r="AS19" s="116">
        <v>46085</v>
      </c>
      <c r="AT19" s="114">
        <v>46084</v>
      </c>
      <c r="AU19" s="114">
        <v>46084</v>
      </c>
      <c r="AV19" s="108"/>
      <c r="AW19" s="108"/>
      <c r="AX19" s="108" t="s">
        <v>97</v>
      </c>
      <c r="AY19" s="108" t="s">
        <v>98</v>
      </c>
      <c r="AZ19" s="108"/>
      <c r="BA19" s="108"/>
      <c r="BB19" s="108"/>
      <c r="BC19" s="108"/>
      <c r="BD19" s="111"/>
      <c r="BE19" s="111"/>
      <c r="BF19" s="111"/>
      <c r="BG19" s="111"/>
      <c r="BH19" s="111"/>
      <c r="BI19" s="111"/>
      <c r="BJ19" s="111"/>
      <c r="BK19" s="111"/>
      <c r="BL19" s="111"/>
      <c r="BM19" s="117"/>
      <c r="BN19" s="111"/>
      <c r="BO19" s="117"/>
      <c r="BP19" s="117"/>
      <c r="BQ19" s="117"/>
      <c r="BR19" s="111"/>
      <c r="BS19" s="118"/>
      <c r="BT19" s="111"/>
      <c r="BU19" s="118"/>
      <c r="BV19" s="111"/>
      <c r="BW19" s="111"/>
      <c r="BX19" s="111"/>
      <c r="BY19" s="111"/>
      <c r="BZ19" s="111"/>
      <c r="CA19" s="111"/>
      <c r="CB19" s="119">
        <v>1</v>
      </c>
      <c r="CC19" s="117"/>
      <c r="CD19" s="120"/>
      <c r="CE19" s="120"/>
      <c r="CF19" s="120"/>
      <c r="CG19" s="123"/>
      <c r="CH19" s="120"/>
      <c r="CI19" s="120"/>
      <c r="CJ19" s="123"/>
    </row>
    <row r="20" spans="1:88" ht="72.599999999999994" hidden="1">
      <c r="A20" s="106" t="s">
        <v>154</v>
      </c>
      <c r="B20" s="107">
        <f>3+2.5+0.5+2</f>
        <v>8</v>
      </c>
      <c r="C20" s="49">
        <v>10</v>
      </c>
      <c r="D20" s="107"/>
      <c r="E20" s="108"/>
      <c r="F20" s="108" t="s">
        <v>155</v>
      </c>
      <c r="G20" s="121" t="s">
        <v>155</v>
      </c>
      <c r="H20" s="109">
        <v>18663245</v>
      </c>
      <c r="I20" s="109">
        <v>18663245</v>
      </c>
      <c r="J20" s="108" t="s">
        <v>156</v>
      </c>
      <c r="K20" s="108" t="s">
        <v>118</v>
      </c>
      <c r="L20" s="108"/>
      <c r="M20" s="108"/>
      <c r="N20" s="108" t="s">
        <v>157</v>
      </c>
      <c r="O20" s="111" t="s">
        <v>106</v>
      </c>
      <c r="P20" s="111"/>
      <c r="Q20" s="111"/>
      <c r="R20" s="111"/>
      <c r="S20" s="111"/>
      <c r="T20" s="111"/>
      <c r="U20" s="108"/>
      <c r="V20" s="108"/>
      <c r="W20" s="108"/>
      <c r="X20" s="108"/>
      <c r="Y20" s="108"/>
      <c r="Z20" s="108"/>
      <c r="AA20" s="108"/>
      <c r="AB20" s="112"/>
      <c r="AC20" s="108"/>
      <c r="AD20" s="108"/>
      <c r="AE20" s="107"/>
      <c r="AF20" s="113"/>
      <c r="AG20" s="115">
        <v>46063</v>
      </c>
      <c r="AH20" s="108"/>
      <c r="AI20" s="108"/>
      <c r="AJ20" s="114"/>
      <c r="AK20" s="108"/>
      <c r="AL20" s="115"/>
      <c r="AM20" s="116"/>
      <c r="AN20" s="116"/>
      <c r="AO20" s="116">
        <v>46073</v>
      </c>
      <c r="AP20" s="108"/>
      <c r="AQ20" s="107"/>
      <c r="AR20" s="107"/>
      <c r="AS20" s="116">
        <v>46080</v>
      </c>
      <c r="AT20" s="114">
        <v>46077</v>
      </c>
      <c r="AU20" s="114">
        <v>46080</v>
      </c>
      <c r="AV20" s="108"/>
      <c r="AW20" s="108"/>
      <c r="AX20" s="108" t="s">
        <v>97</v>
      </c>
      <c r="AY20" s="108" t="s">
        <v>98</v>
      </c>
      <c r="AZ20" s="108"/>
      <c r="BA20" s="108"/>
      <c r="BB20" s="108"/>
      <c r="BC20" s="108"/>
      <c r="BD20" s="111"/>
      <c r="BE20" s="111"/>
      <c r="BF20" s="111"/>
      <c r="BG20" s="111"/>
      <c r="BH20" s="111"/>
      <c r="BI20" s="111"/>
      <c r="BJ20" s="111"/>
      <c r="BK20" s="111"/>
      <c r="BL20" s="111"/>
      <c r="BM20" s="117" t="s">
        <v>132</v>
      </c>
      <c r="BN20" s="111"/>
      <c r="BO20" s="117"/>
      <c r="BP20" s="117"/>
      <c r="BQ20" s="117"/>
      <c r="BR20" s="111"/>
      <c r="BS20" s="118"/>
      <c r="BT20" s="111"/>
      <c r="BU20" s="118"/>
      <c r="BV20" s="111"/>
      <c r="BW20" s="111"/>
      <c r="BX20" s="111"/>
      <c r="BY20" s="111"/>
      <c r="BZ20" s="111"/>
      <c r="CA20" s="111"/>
      <c r="CB20" s="119">
        <v>1</v>
      </c>
      <c r="CC20" s="117"/>
      <c r="CD20" s="120">
        <v>46062</v>
      </c>
      <c r="CE20" s="120">
        <v>46064</v>
      </c>
      <c r="CF20" s="120">
        <v>46066</v>
      </c>
      <c r="CG20" s="123"/>
      <c r="CH20" s="120" t="s">
        <v>112</v>
      </c>
      <c r="CI20" s="120" t="s">
        <v>125</v>
      </c>
      <c r="CJ20" s="123"/>
    </row>
    <row r="21" spans="1:88" ht="57.95" hidden="1">
      <c r="A21" s="106" t="s">
        <v>158</v>
      </c>
      <c r="B21" s="107">
        <v>0</v>
      </c>
      <c r="C21" s="49" t="e">
        <v>#N/A</v>
      </c>
      <c r="D21" s="107">
        <v>0</v>
      </c>
      <c r="E21" s="108"/>
      <c r="F21" s="146"/>
      <c r="G21" s="146"/>
      <c r="H21" s="151">
        <v>17096391</v>
      </c>
      <c r="I21" s="109">
        <f>Tracker6[[#This Row],[DCR ID - PTC]]</f>
        <v>17096391</v>
      </c>
      <c r="J21" s="108" t="s">
        <v>159</v>
      </c>
      <c r="K21" s="108"/>
      <c r="L21" s="108"/>
      <c r="M21" s="108"/>
      <c r="N21" s="108"/>
      <c r="O21" s="111"/>
      <c r="P21" s="111"/>
      <c r="Q21" s="111"/>
      <c r="R21" s="111"/>
      <c r="S21" s="111"/>
      <c r="T21" s="111"/>
      <c r="U21" s="108"/>
      <c r="V21" s="108"/>
      <c r="W21" s="108"/>
      <c r="X21" s="108"/>
      <c r="Y21" s="108"/>
      <c r="Z21" s="108"/>
      <c r="AA21" s="108" t="s">
        <v>107</v>
      </c>
      <c r="AB21" s="112"/>
      <c r="AC21" s="108"/>
      <c r="AD21" s="108" t="s">
        <v>93</v>
      </c>
      <c r="AE21" s="107"/>
      <c r="AF21" s="113"/>
      <c r="AG21" s="115"/>
      <c r="AH21" s="108" t="s">
        <v>100</v>
      </c>
      <c r="AI21" s="108" t="s">
        <v>101</v>
      </c>
      <c r="AJ21" s="114">
        <v>45961.491608796299</v>
      </c>
      <c r="AK21" s="108" t="s">
        <v>96</v>
      </c>
      <c r="AL21" s="115">
        <v>45860.493055555555</v>
      </c>
      <c r="AM21" s="116"/>
      <c r="AN21" s="116"/>
      <c r="AO21" s="116" t="e">
        <v>#N/A</v>
      </c>
      <c r="AP21" s="108"/>
      <c r="AQ21" s="107"/>
      <c r="AR21" s="107"/>
      <c r="AS21" s="116"/>
      <c r="AT21" s="114"/>
      <c r="AU21" s="114"/>
      <c r="AV21" s="108"/>
      <c r="AW21" s="108"/>
      <c r="AX21" s="108" t="s">
        <v>97</v>
      </c>
      <c r="AY21" s="108" t="s">
        <v>98</v>
      </c>
      <c r="AZ21" s="108"/>
      <c r="BA21" s="108"/>
      <c r="BB21" s="108"/>
      <c r="BC21" s="108"/>
      <c r="BD21" s="111"/>
      <c r="BE21" s="111"/>
      <c r="BF21" s="111"/>
      <c r="BG21" s="111"/>
      <c r="BH21" s="111"/>
      <c r="BI21" s="111"/>
      <c r="BJ21" s="111"/>
      <c r="BK21" s="111"/>
      <c r="BL21" s="111"/>
      <c r="BM21" s="117" t="e">
        <v>#N/A</v>
      </c>
      <c r="BN21" s="111"/>
      <c r="BO21" s="117"/>
      <c r="BP21" s="117"/>
      <c r="BQ21" s="117"/>
      <c r="BR21" s="111"/>
      <c r="BS21" s="118"/>
      <c r="BT21" s="111"/>
      <c r="BU21" s="118"/>
      <c r="BV21" s="111"/>
      <c r="BW21" s="111"/>
      <c r="BX21" s="111"/>
      <c r="BY21" s="111"/>
      <c r="BZ21" s="111"/>
      <c r="CA21" s="111"/>
      <c r="CB21" s="119"/>
      <c r="CC21" s="117"/>
      <c r="CD21" s="120" t="e">
        <v>#N/A</v>
      </c>
      <c r="CE21" s="120" t="e">
        <v>#N/A</v>
      </c>
      <c r="CF21" s="120" t="e">
        <v>#N/A</v>
      </c>
      <c r="CG21" s="123"/>
      <c r="CH21" s="120" t="e">
        <v>#N/A</v>
      </c>
      <c r="CI21" s="120" t="e">
        <v>#N/A</v>
      </c>
      <c r="CJ21" s="123"/>
    </row>
    <row r="22" spans="1:88" ht="57.95" hidden="1">
      <c r="A22" s="106" t="s">
        <v>158</v>
      </c>
      <c r="B22" s="107">
        <v>0</v>
      </c>
      <c r="C22" s="49" t="e">
        <v>#N/A</v>
      </c>
      <c r="D22" s="107">
        <v>0</v>
      </c>
      <c r="E22" s="108"/>
      <c r="F22" s="108" t="s">
        <v>127</v>
      </c>
      <c r="G22" s="121"/>
      <c r="H22" s="151">
        <v>17763191</v>
      </c>
      <c r="I22" s="109">
        <f>Tracker6[[#This Row],[DCR ID - PTC]]</f>
        <v>17763191</v>
      </c>
      <c r="J22" s="108" t="s">
        <v>160</v>
      </c>
      <c r="K22" s="108"/>
      <c r="L22" s="108" t="s">
        <v>131</v>
      </c>
      <c r="M22" s="108"/>
      <c r="N22" s="108"/>
      <c r="O22" s="111"/>
      <c r="P22" s="111"/>
      <c r="Q22" s="111"/>
      <c r="R22" s="111"/>
      <c r="S22" s="111"/>
      <c r="T22" s="111"/>
      <c r="U22" s="108"/>
      <c r="V22" s="108"/>
      <c r="W22" s="108"/>
      <c r="X22" s="108"/>
      <c r="Y22" s="108"/>
      <c r="Z22" s="108"/>
      <c r="AA22" s="108" t="s">
        <v>139</v>
      </c>
      <c r="AB22" s="112">
        <v>46080</v>
      </c>
      <c r="AC22" s="108" t="s">
        <v>131</v>
      </c>
      <c r="AD22" s="108" t="s">
        <v>93</v>
      </c>
      <c r="AE22" s="107"/>
      <c r="AF22" s="113"/>
      <c r="AG22" s="115">
        <v>46032.088854166665</v>
      </c>
      <c r="AH22" s="108" t="s">
        <v>94</v>
      </c>
      <c r="AI22" s="108" t="s">
        <v>95</v>
      </c>
      <c r="AJ22" s="114">
        <v>46034.4375</v>
      </c>
      <c r="AK22" s="108" t="s">
        <v>96</v>
      </c>
      <c r="AL22" s="115">
        <v>45954.304976851854</v>
      </c>
      <c r="AM22" s="116"/>
      <c r="AN22" s="116"/>
      <c r="AO22" s="116" t="e">
        <v>#N/A</v>
      </c>
      <c r="AP22" s="108"/>
      <c r="AQ22" s="107"/>
      <c r="AR22" s="107"/>
      <c r="AS22" s="116"/>
      <c r="AT22" s="114"/>
      <c r="AU22" s="114"/>
      <c r="AV22" s="108"/>
      <c r="AW22" s="108"/>
      <c r="AX22" s="108" t="s">
        <v>97</v>
      </c>
      <c r="AY22" s="108" t="s">
        <v>98</v>
      </c>
      <c r="AZ22" s="108"/>
      <c r="BA22" s="108"/>
      <c r="BB22" s="108"/>
      <c r="BC22" s="108"/>
      <c r="BD22" s="111"/>
      <c r="BE22" s="111"/>
      <c r="BF22" s="111"/>
      <c r="BG22" s="111"/>
      <c r="BH22" s="111"/>
      <c r="BI22" s="111"/>
      <c r="BJ22" s="111"/>
      <c r="BK22" s="111"/>
      <c r="BL22" s="111"/>
      <c r="BM22" s="117" t="e">
        <v>#N/A</v>
      </c>
      <c r="BN22" s="111"/>
      <c r="BO22" s="117"/>
      <c r="BP22" s="117"/>
      <c r="BQ22" s="117"/>
      <c r="BR22" s="111"/>
      <c r="BS22" s="118"/>
      <c r="BT22" s="111"/>
      <c r="BU22" s="118"/>
      <c r="BV22" s="111"/>
      <c r="BW22" s="111"/>
      <c r="BX22" s="111"/>
      <c r="BY22" s="111"/>
      <c r="BZ22" s="111"/>
      <c r="CA22" s="111"/>
      <c r="CB22" s="119"/>
      <c r="CC22" s="117"/>
      <c r="CD22" s="120" t="e">
        <v>#N/A</v>
      </c>
      <c r="CE22" s="120" t="e">
        <v>#N/A</v>
      </c>
      <c r="CF22" s="120" t="e">
        <v>#N/A</v>
      </c>
      <c r="CG22" s="123"/>
      <c r="CH22" s="120" t="e">
        <v>#N/A</v>
      </c>
      <c r="CI22" s="120" t="e">
        <v>#N/A</v>
      </c>
      <c r="CJ22" s="123"/>
    </row>
    <row r="23" spans="1:88" ht="409.5" hidden="1">
      <c r="A23" s="106" t="s">
        <v>158</v>
      </c>
      <c r="B23" s="107">
        <f>6+6+9+6+6+5+5.5+8.5+8+7+5.5+5+5+5+7+5+5.5+7+6+7+4+2+1</f>
        <v>132</v>
      </c>
      <c r="C23" s="49">
        <v>200</v>
      </c>
      <c r="D23" s="107">
        <v>0</v>
      </c>
      <c r="E23" s="108"/>
      <c r="F23" s="108"/>
      <c r="G23" s="121"/>
      <c r="H23" s="151">
        <v>18396189</v>
      </c>
      <c r="I23" s="109">
        <f>Tracker6[[#This Row],[DCR ID - PTC]]</f>
        <v>18396189</v>
      </c>
      <c r="J23" s="108" t="s">
        <v>161</v>
      </c>
      <c r="K23" s="108" t="s">
        <v>101</v>
      </c>
      <c r="L23" s="108"/>
      <c r="M23" s="108"/>
      <c r="N23" s="108" t="s">
        <v>162</v>
      </c>
      <c r="O23" s="111" t="s">
        <v>106</v>
      </c>
      <c r="P23" s="111"/>
      <c r="Q23" s="111"/>
      <c r="R23" s="111"/>
      <c r="S23" s="111"/>
      <c r="T23" s="111"/>
      <c r="U23" s="108"/>
      <c r="V23" s="108"/>
      <c r="W23" s="108"/>
      <c r="X23" s="108"/>
      <c r="Y23" s="108"/>
      <c r="Z23" s="108"/>
      <c r="AA23" s="108" t="s">
        <v>163</v>
      </c>
      <c r="AB23" s="112"/>
      <c r="AC23" s="108"/>
      <c r="AD23" s="108" t="s">
        <v>93</v>
      </c>
      <c r="AE23" s="107"/>
      <c r="AF23" s="113"/>
      <c r="AG23" s="115"/>
      <c r="AH23" s="108" t="s">
        <v>100</v>
      </c>
      <c r="AI23" s="108" t="s">
        <v>101</v>
      </c>
      <c r="AJ23" s="114">
        <v>46081</v>
      </c>
      <c r="AK23" s="108" t="s">
        <v>96</v>
      </c>
      <c r="AL23" s="115">
        <v>46035.47383101852</v>
      </c>
      <c r="AM23" s="116"/>
      <c r="AN23" s="116"/>
      <c r="AO23" s="116">
        <v>0</v>
      </c>
      <c r="AP23" s="108"/>
      <c r="AQ23" s="107"/>
      <c r="AR23" s="107"/>
      <c r="AS23" s="116"/>
      <c r="AT23" s="114"/>
      <c r="AU23" s="114"/>
      <c r="AV23" s="108"/>
      <c r="AW23" s="108"/>
      <c r="AX23" s="108" t="s">
        <v>97</v>
      </c>
      <c r="AY23" s="108" t="s">
        <v>98</v>
      </c>
      <c r="AZ23" s="108"/>
      <c r="BA23" s="108"/>
      <c r="BB23" s="108"/>
      <c r="BC23" s="108"/>
      <c r="BD23" s="111"/>
      <c r="BE23" s="111"/>
      <c r="BF23" s="111"/>
      <c r="BG23" s="111"/>
      <c r="BH23" s="111"/>
      <c r="BI23" s="111"/>
      <c r="BJ23" s="111"/>
      <c r="BK23" s="111"/>
      <c r="BL23" s="111"/>
      <c r="BM23" s="117" t="s">
        <v>132</v>
      </c>
      <c r="BN23" s="111"/>
      <c r="BO23" s="117"/>
      <c r="BP23" s="117"/>
      <c r="BQ23" s="117"/>
      <c r="BR23" s="111"/>
      <c r="BS23" s="118"/>
      <c r="BT23" s="111"/>
      <c r="BU23" s="118"/>
      <c r="BV23" s="111"/>
      <c r="BW23" s="111"/>
      <c r="BX23" s="111"/>
      <c r="BY23" s="111"/>
      <c r="BZ23" s="111"/>
      <c r="CA23" s="111"/>
      <c r="CB23" s="119"/>
      <c r="CC23" s="117"/>
      <c r="CD23" s="120">
        <v>0</v>
      </c>
      <c r="CE23" s="120">
        <v>0</v>
      </c>
      <c r="CF23" s="120">
        <v>0</v>
      </c>
      <c r="CG23" s="123"/>
      <c r="CH23" s="120" t="s">
        <v>112</v>
      </c>
      <c r="CI23" s="120">
        <v>0</v>
      </c>
      <c r="CJ23" s="123"/>
    </row>
    <row r="24" spans="1:88" ht="57.95" hidden="1">
      <c r="A24" s="106" t="s">
        <v>158</v>
      </c>
      <c r="B24" s="107">
        <v>0</v>
      </c>
      <c r="C24" s="49" t="e">
        <v>#N/A</v>
      </c>
      <c r="D24" s="107"/>
      <c r="E24" s="108"/>
      <c r="F24" s="108" t="s">
        <v>136</v>
      </c>
      <c r="G24" s="121"/>
      <c r="H24" s="151">
        <v>18496892</v>
      </c>
      <c r="I24" s="109">
        <f>Tracker6[[#This Row],[DCR ID - PTC]]</f>
        <v>18496892</v>
      </c>
      <c r="J24" s="108" t="s">
        <v>164</v>
      </c>
      <c r="K24" s="108"/>
      <c r="L24" s="108" t="s">
        <v>165</v>
      </c>
      <c r="M24" s="108"/>
      <c r="N24" s="108"/>
      <c r="O24" s="111"/>
      <c r="P24" s="111"/>
      <c r="Q24" s="111"/>
      <c r="R24" s="111"/>
      <c r="S24" s="111"/>
      <c r="T24" s="111"/>
      <c r="U24" s="108"/>
      <c r="V24" s="108"/>
      <c r="W24" s="108"/>
      <c r="X24" s="108"/>
      <c r="Y24" s="108"/>
      <c r="Z24" s="108"/>
      <c r="AA24" s="108" t="s">
        <v>139</v>
      </c>
      <c r="AB24" s="112">
        <v>46059</v>
      </c>
      <c r="AC24" s="108" t="s">
        <v>165</v>
      </c>
      <c r="AD24" s="108" t="s">
        <v>166</v>
      </c>
      <c r="AE24" s="107"/>
      <c r="AF24" s="113"/>
      <c r="AG24" s="115">
        <v>46045.848043981481</v>
      </c>
      <c r="AH24" s="108" t="s">
        <v>94</v>
      </c>
      <c r="AI24" s="108" t="s">
        <v>95</v>
      </c>
      <c r="AJ24" s="114">
        <v>46081.4375</v>
      </c>
      <c r="AK24" s="108" t="s">
        <v>96</v>
      </c>
      <c r="AL24" s="115">
        <v>46043.588101851848</v>
      </c>
      <c r="AM24" s="116"/>
      <c r="AN24" s="116"/>
      <c r="AO24" s="116" t="e">
        <v>#N/A</v>
      </c>
      <c r="AP24" s="108"/>
      <c r="AQ24" s="107"/>
      <c r="AR24" s="107"/>
      <c r="AS24" s="116"/>
      <c r="AT24" s="114"/>
      <c r="AU24" s="114"/>
      <c r="AV24" s="108"/>
      <c r="AW24" s="108"/>
      <c r="AX24" s="108" t="s">
        <v>97</v>
      </c>
      <c r="AY24" s="108" t="s">
        <v>98</v>
      </c>
      <c r="AZ24" s="108"/>
      <c r="BA24" s="108"/>
      <c r="BB24" s="108"/>
      <c r="BC24" s="108"/>
      <c r="BD24" s="111"/>
      <c r="BE24" s="111"/>
      <c r="BF24" s="111"/>
      <c r="BG24" s="111"/>
      <c r="BH24" s="111"/>
      <c r="BI24" s="111"/>
      <c r="BJ24" s="111"/>
      <c r="BK24" s="111"/>
      <c r="BL24" s="111"/>
      <c r="BM24" s="117" t="e">
        <v>#N/A</v>
      </c>
      <c r="BN24" s="111"/>
      <c r="BO24" s="117"/>
      <c r="BP24" s="117"/>
      <c r="BQ24" s="117"/>
      <c r="BR24" s="111"/>
      <c r="BS24" s="118"/>
      <c r="BT24" s="111"/>
      <c r="BU24" s="118"/>
      <c r="BV24" s="111"/>
      <c r="BW24" s="111"/>
      <c r="BX24" s="111"/>
      <c r="BY24" s="111"/>
      <c r="BZ24" s="111"/>
      <c r="CA24" s="111"/>
      <c r="CB24" s="119"/>
      <c r="CC24" s="117"/>
      <c r="CD24" s="120" t="e">
        <v>#N/A</v>
      </c>
      <c r="CE24" s="120" t="e">
        <v>#N/A</v>
      </c>
      <c r="CF24" s="120" t="e">
        <v>#N/A</v>
      </c>
      <c r="CG24" s="123"/>
      <c r="CH24" s="120" t="e">
        <v>#N/A</v>
      </c>
      <c r="CI24" s="120" t="e">
        <v>#N/A</v>
      </c>
      <c r="CJ24" s="123"/>
    </row>
    <row r="25" spans="1:88" ht="87" hidden="1">
      <c r="A25" s="106" t="s">
        <v>158</v>
      </c>
      <c r="B25" s="107">
        <v>0</v>
      </c>
      <c r="C25" s="49" t="e">
        <v>#N/A</v>
      </c>
      <c r="D25" s="107"/>
      <c r="E25" s="108"/>
      <c r="F25" s="108" t="s">
        <v>136</v>
      </c>
      <c r="G25" s="121"/>
      <c r="H25" s="151">
        <v>18496775</v>
      </c>
      <c r="I25" s="109">
        <f>Tracker6[[#This Row],[DCR ID - PTC]]</f>
        <v>18496775</v>
      </c>
      <c r="J25" s="108" t="s">
        <v>167</v>
      </c>
      <c r="K25" s="108"/>
      <c r="L25" s="108" t="s">
        <v>165</v>
      </c>
      <c r="M25" s="108"/>
      <c r="N25" s="108"/>
      <c r="O25" s="111"/>
      <c r="P25" s="111"/>
      <c r="Q25" s="111"/>
      <c r="R25" s="111"/>
      <c r="S25" s="111"/>
      <c r="T25" s="111"/>
      <c r="U25" s="108"/>
      <c r="V25" s="108"/>
      <c r="W25" s="108"/>
      <c r="X25" s="108"/>
      <c r="Y25" s="108"/>
      <c r="Z25" s="108"/>
      <c r="AA25" s="108" t="s">
        <v>139</v>
      </c>
      <c r="AB25" s="112">
        <v>46059</v>
      </c>
      <c r="AC25" s="108" t="s">
        <v>165</v>
      </c>
      <c r="AD25" s="108" t="s">
        <v>166</v>
      </c>
      <c r="AE25" s="107"/>
      <c r="AF25" s="113"/>
      <c r="AG25" s="115">
        <v>46045.847349537034</v>
      </c>
      <c r="AH25" s="108" t="s">
        <v>94</v>
      </c>
      <c r="AI25" s="108" t="s">
        <v>95</v>
      </c>
      <c r="AJ25" s="114">
        <v>46081.4375</v>
      </c>
      <c r="AK25" s="108" t="s">
        <v>96</v>
      </c>
      <c r="AL25" s="115">
        <v>46043.57335648148</v>
      </c>
      <c r="AM25" s="116"/>
      <c r="AN25" s="116"/>
      <c r="AO25" s="116" t="e">
        <v>#N/A</v>
      </c>
      <c r="AP25" s="108"/>
      <c r="AQ25" s="107"/>
      <c r="AR25" s="107"/>
      <c r="AS25" s="116"/>
      <c r="AT25" s="114"/>
      <c r="AU25" s="114"/>
      <c r="AV25" s="108"/>
      <c r="AW25" s="108"/>
      <c r="AX25" s="108" t="s">
        <v>97</v>
      </c>
      <c r="AY25" s="108" t="s">
        <v>98</v>
      </c>
      <c r="AZ25" s="108"/>
      <c r="BA25" s="108"/>
      <c r="BB25" s="108"/>
      <c r="BC25" s="108"/>
      <c r="BD25" s="111"/>
      <c r="BE25" s="111"/>
      <c r="BF25" s="111"/>
      <c r="BG25" s="111"/>
      <c r="BH25" s="111"/>
      <c r="BI25" s="111"/>
      <c r="BJ25" s="111"/>
      <c r="BK25" s="111"/>
      <c r="BL25" s="111"/>
      <c r="BM25" s="117" t="e">
        <v>#N/A</v>
      </c>
      <c r="BN25" s="111"/>
      <c r="BO25" s="117"/>
      <c r="BP25" s="117"/>
      <c r="BQ25" s="117"/>
      <c r="BR25" s="111"/>
      <c r="BS25" s="118"/>
      <c r="BT25" s="111"/>
      <c r="BU25" s="118"/>
      <c r="BV25" s="111"/>
      <c r="BW25" s="111"/>
      <c r="BX25" s="111"/>
      <c r="BY25" s="111"/>
      <c r="BZ25" s="111"/>
      <c r="CA25" s="111"/>
      <c r="CB25" s="119"/>
      <c r="CC25" s="117"/>
      <c r="CD25" s="120" t="e">
        <v>#N/A</v>
      </c>
      <c r="CE25" s="120" t="e">
        <v>#N/A</v>
      </c>
      <c r="CF25" s="120" t="e">
        <v>#N/A</v>
      </c>
      <c r="CG25" s="123"/>
      <c r="CH25" s="120" t="e">
        <v>#N/A</v>
      </c>
      <c r="CI25" s="120" t="e">
        <v>#N/A</v>
      </c>
      <c r="CJ25" s="123"/>
    </row>
    <row r="26" spans="1:88" ht="409.5" hidden="1">
      <c r="A26" s="106" t="s">
        <v>168</v>
      </c>
      <c r="B26" s="107">
        <f>15.5+9+5+5+7+7+7+5.5+4+5+2+2.5+2.5+4.5+0.5+(6.5+7+6+7+7+7+7+6.5+7+7+7+3+0.5+0.5+1)</f>
        <v>162</v>
      </c>
      <c r="C26" s="49">
        <v>150</v>
      </c>
      <c r="D26" s="107">
        <f>Tracker6[[#This Row],[Estimated Hrs]]-Tracker6[[#This Row],[Actual Efforts (Hrs)]]</f>
        <v>-12</v>
      </c>
      <c r="E26" s="108"/>
      <c r="F26" s="108" t="s">
        <v>155</v>
      </c>
      <c r="G26" s="108" t="s">
        <v>155</v>
      </c>
      <c r="H26" s="151">
        <v>18316124</v>
      </c>
      <c r="I26" s="151">
        <v>18316124</v>
      </c>
      <c r="J26" s="108" t="s">
        <v>169</v>
      </c>
      <c r="K26" s="108" t="s">
        <v>118</v>
      </c>
      <c r="L26" s="108"/>
      <c r="M26" s="108"/>
      <c r="N26" s="110" t="s">
        <v>170</v>
      </c>
      <c r="O26" s="111" t="s">
        <v>106</v>
      </c>
      <c r="P26" s="111"/>
      <c r="Q26" s="111"/>
      <c r="R26" s="111"/>
      <c r="S26" s="111"/>
      <c r="T26" s="111"/>
      <c r="U26" s="108"/>
      <c r="V26" s="108"/>
      <c r="W26" s="108"/>
      <c r="X26" s="108"/>
      <c r="Y26" s="108"/>
      <c r="Z26" s="108"/>
      <c r="AA26" s="108" t="s">
        <v>107</v>
      </c>
      <c r="AB26" s="112">
        <v>46171</v>
      </c>
      <c r="AC26" s="108"/>
      <c r="AD26" s="108" t="s">
        <v>93</v>
      </c>
      <c r="AE26" s="107"/>
      <c r="AF26" s="113"/>
      <c r="AG26" s="115">
        <v>46057.883634259262</v>
      </c>
      <c r="AH26" s="108" t="s">
        <v>100</v>
      </c>
      <c r="AI26" s="108" t="s">
        <v>95</v>
      </c>
      <c r="AJ26" s="114">
        <v>46080</v>
      </c>
      <c r="AK26" s="108" t="s">
        <v>96</v>
      </c>
      <c r="AL26" s="115">
        <v>46029.597025462965</v>
      </c>
      <c r="AM26" s="116"/>
      <c r="AN26" s="116"/>
      <c r="AO26" s="116">
        <v>46069</v>
      </c>
      <c r="AP26" s="108"/>
      <c r="AQ26" s="107"/>
      <c r="AR26" s="107"/>
      <c r="AS26" s="116">
        <v>46080</v>
      </c>
      <c r="AT26" s="114">
        <v>46069</v>
      </c>
      <c r="AU26" s="114">
        <v>46070</v>
      </c>
      <c r="AV26" s="108"/>
      <c r="AW26" s="108"/>
      <c r="AX26" s="108" t="s">
        <v>97</v>
      </c>
      <c r="AY26" s="108" t="s">
        <v>98</v>
      </c>
      <c r="AZ26" s="108"/>
      <c r="BA26" s="108"/>
      <c r="BB26" s="108"/>
      <c r="BC26" s="108"/>
      <c r="BD26" s="111"/>
      <c r="BE26" s="111"/>
      <c r="BF26" s="111"/>
      <c r="BG26" s="111"/>
      <c r="BH26" s="111"/>
      <c r="BI26" s="111"/>
      <c r="BJ26" s="111"/>
      <c r="BK26" s="111"/>
      <c r="BL26" s="111"/>
      <c r="BM26" s="117" t="s">
        <v>132</v>
      </c>
      <c r="BN26" s="111"/>
      <c r="BO26" s="117"/>
      <c r="BP26" s="117"/>
      <c r="BQ26" s="117"/>
      <c r="BR26" s="111"/>
      <c r="BS26" s="118"/>
      <c r="BT26" s="111"/>
      <c r="BU26" s="118"/>
      <c r="BV26" s="111"/>
      <c r="BW26" s="111"/>
      <c r="BX26" s="111"/>
      <c r="BY26" s="111"/>
      <c r="BZ26" s="111"/>
      <c r="CA26" s="111"/>
      <c r="CB26" s="119">
        <v>1</v>
      </c>
      <c r="CC26" s="117"/>
      <c r="CD26" s="120">
        <v>46062</v>
      </c>
      <c r="CE26" s="120">
        <v>46063</v>
      </c>
      <c r="CF26" s="120">
        <v>46065</v>
      </c>
      <c r="CG26" s="123"/>
      <c r="CH26" s="120" t="s">
        <v>112</v>
      </c>
      <c r="CI26" s="120" t="s">
        <v>125</v>
      </c>
      <c r="CJ26" s="123"/>
    </row>
    <row r="27" spans="1:88" ht="57.95" hidden="1" customHeight="1">
      <c r="A27" s="106" t="s">
        <v>171</v>
      </c>
      <c r="B27" s="107">
        <v>46</v>
      </c>
      <c r="C27" s="49" t="e">
        <v>#N/A</v>
      </c>
      <c r="D27" s="107"/>
      <c r="E27" s="108"/>
      <c r="F27" s="108" t="s">
        <v>89</v>
      </c>
      <c r="G27" s="108"/>
      <c r="H27" s="151">
        <v>17066211</v>
      </c>
      <c r="I27" s="109">
        <f>Tracker6[[#This Row],[DCR ID - PTC]]</f>
        <v>17066211</v>
      </c>
      <c r="J27" s="108" t="s">
        <v>172</v>
      </c>
      <c r="K27" s="108"/>
      <c r="L27" s="108" t="s">
        <v>131</v>
      </c>
      <c r="M27" s="108"/>
      <c r="N27" s="108"/>
      <c r="O27" s="111" t="s">
        <v>173</v>
      </c>
      <c r="P27" s="111"/>
      <c r="Q27" s="111"/>
      <c r="R27" s="111"/>
      <c r="S27" s="111"/>
      <c r="T27" s="111"/>
      <c r="U27" s="108"/>
      <c r="V27" s="108"/>
      <c r="W27" s="108"/>
      <c r="X27" s="108"/>
      <c r="Y27" s="108"/>
      <c r="Z27" s="108"/>
      <c r="AA27" s="108" t="s">
        <v>174</v>
      </c>
      <c r="AB27" s="112"/>
      <c r="AC27" s="108" t="s">
        <v>131</v>
      </c>
      <c r="AD27" s="108" t="s">
        <v>93</v>
      </c>
      <c r="AE27" s="107"/>
      <c r="AF27" s="113"/>
      <c r="AG27" s="115">
        <v>45898.917094907411</v>
      </c>
      <c r="AH27" s="108" t="s">
        <v>94</v>
      </c>
      <c r="AI27" s="108" t="s">
        <v>95</v>
      </c>
      <c r="AJ27" s="114">
        <v>45947.395833333336</v>
      </c>
      <c r="AK27" s="108" t="s">
        <v>96</v>
      </c>
      <c r="AL27" s="115">
        <v>45856.010879629626</v>
      </c>
      <c r="AM27" s="116"/>
      <c r="AN27" s="116"/>
      <c r="AO27" s="116" t="e">
        <v>#N/A</v>
      </c>
      <c r="AP27" s="108"/>
      <c r="AQ27" s="107"/>
      <c r="AR27" s="107"/>
      <c r="AS27" s="116"/>
      <c r="AT27" s="114"/>
      <c r="AU27" s="114"/>
      <c r="AV27" s="108"/>
      <c r="AW27" s="108"/>
      <c r="AX27" s="108" t="s">
        <v>97</v>
      </c>
      <c r="AY27" s="108" t="s">
        <v>98</v>
      </c>
      <c r="AZ27" s="108"/>
      <c r="BA27" s="108"/>
      <c r="BB27" s="108"/>
      <c r="BC27" s="108"/>
      <c r="BD27" s="111"/>
      <c r="BE27" s="111"/>
      <c r="BF27" s="111"/>
      <c r="BG27" s="111"/>
      <c r="BH27" s="111"/>
      <c r="BI27" s="111"/>
      <c r="BJ27" s="111"/>
      <c r="BK27" s="111"/>
      <c r="BL27" s="111"/>
      <c r="BM27" s="117" t="e">
        <v>#N/A</v>
      </c>
      <c r="BN27" s="111"/>
      <c r="BO27" s="117"/>
      <c r="BP27" s="117"/>
      <c r="BQ27" s="117"/>
      <c r="BR27" s="111"/>
      <c r="BS27" s="118"/>
      <c r="BT27" s="111"/>
      <c r="BU27" s="118"/>
      <c r="BV27" s="111"/>
      <c r="BW27" s="111"/>
      <c r="BX27" s="111"/>
      <c r="BY27" s="111"/>
      <c r="BZ27" s="111"/>
      <c r="CA27" s="111"/>
      <c r="CB27" s="119"/>
      <c r="CC27" s="117"/>
      <c r="CD27" s="120" t="e">
        <v>#N/A</v>
      </c>
      <c r="CE27" s="120" t="e">
        <v>#N/A</v>
      </c>
      <c r="CF27" s="120" t="e">
        <v>#N/A</v>
      </c>
      <c r="CG27" s="123"/>
      <c r="CH27" s="120" t="e">
        <v>#N/A</v>
      </c>
      <c r="CI27" s="120" t="e">
        <v>#N/A</v>
      </c>
      <c r="CJ27" s="123"/>
    </row>
    <row r="28" spans="1:88" ht="57.95" hidden="1">
      <c r="A28" s="106" t="s">
        <v>171</v>
      </c>
      <c r="B28" s="49">
        <v>0</v>
      </c>
      <c r="C28" s="49" t="e">
        <v>#N/A</v>
      </c>
      <c r="D28" s="49">
        <v>0</v>
      </c>
      <c r="E28" s="134"/>
      <c r="F28" s="134"/>
      <c r="G28" s="134"/>
      <c r="H28" s="154">
        <v>18209957</v>
      </c>
      <c r="I28" s="109">
        <f>Tracker6[[#This Row],[DCR ID - PTC]]</f>
        <v>18209957</v>
      </c>
      <c r="J28" s="134" t="s">
        <v>175</v>
      </c>
      <c r="K28" s="134" t="s">
        <v>176</v>
      </c>
      <c r="L28" s="134"/>
      <c r="M28" s="134"/>
      <c r="N28" s="134"/>
      <c r="O28" s="123" t="s">
        <v>106</v>
      </c>
      <c r="P28" s="123"/>
      <c r="Q28" s="123"/>
      <c r="R28" s="123"/>
      <c r="S28" s="123"/>
      <c r="T28" s="123"/>
      <c r="U28" s="134"/>
      <c r="V28" s="134"/>
      <c r="W28" s="134"/>
      <c r="X28" s="134"/>
      <c r="Y28" s="134"/>
      <c r="Z28" s="134"/>
      <c r="AA28" s="134"/>
      <c r="AC28" s="134"/>
      <c r="AD28" s="134" t="s">
        <v>93</v>
      </c>
      <c r="AE28" s="49"/>
      <c r="AF28" s="136"/>
      <c r="AG28" s="137"/>
      <c r="AH28" s="134" t="s">
        <v>100</v>
      </c>
      <c r="AI28" s="134" t="s">
        <v>101</v>
      </c>
      <c r="AJ28" s="138">
        <v>46038</v>
      </c>
      <c r="AK28" s="134" t="s">
        <v>96</v>
      </c>
      <c r="AL28" s="137">
        <v>46007.696192129632</v>
      </c>
      <c r="AM28" s="139"/>
      <c r="AN28" s="139"/>
      <c r="AO28" s="116" t="e">
        <v>#N/A</v>
      </c>
      <c r="AP28" s="134"/>
      <c r="AQ28" s="49"/>
      <c r="AR28" s="49"/>
      <c r="AS28" s="139"/>
      <c r="AT28" s="138"/>
      <c r="AU28" s="138"/>
      <c r="AV28" s="134"/>
      <c r="AW28" s="134"/>
      <c r="AX28" s="108" t="s">
        <v>97</v>
      </c>
      <c r="AY28" s="108" t="s">
        <v>98</v>
      </c>
      <c r="AZ28" s="134"/>
      <c r="BA28" s="134"/>
      <c r="BB28" s="134"/>
      <c r="BC28" s="134"/>
      <c r="BD28" s="123"/>
      <c r="BE28" s="123"/>
      <c r="BF28" s="123"/>
      <c r="BG28" s="123"/>
      <c r="BH28" s="123"/>
      <c r="BI28" s="123"/>
      <c r="BJ28" s="123"/>
      <c r="BK28" s="123"/>
      <c r="BL28" s="123"/>
      <c r="BM28" s="117" t="e">
        <v>#N/A</v>
      </c>
      <c r="BN28" s="123"/>
      <c r="BO28" s="140"/>
      <c r="BP28" s="140"/>
      <c r="BQ28" s="140"/>
      <c r="BR28" s="123"/>
      <c r="BS28" s="141"/>
      <c r="BT28" s="123"/>
      <c r="BU28" s="141"/>
      <c r="BV28" s="123"/>
      <c r="BW28" s="123"/>
      <c r="BX28" s="123"/>
      <c r="BY28" s="123"/>
      <c r="BZ28" s="123"/>
      <c r="CA28" s="142"/>
      <c r="CB28" s="143"/>
      <c r="CC28" s="144"/>
      <c r="CD28" s="120" t="e">
        <v>#N/A</v>
      </c>
      <c r="CE28" s="120" t="e">
        <v>#N/A</v>
      </c>
      <c r="CF28" s="120" t="e">
        <v>#N/A</v>
      </c>
      <c r="CG28" s="123"/>
      <c r="CH28" s="120" t="e">
        <v>#N/A</v>
      </c>
      <c r="CI28" s="120" t="e">
        <v>#N/A</v>
      </c>
      <c r="CJ28" s="123"/>
    </row>
    <row r="29" spans="1:88" ht="57.95" hidden="1" customHeight="1">
      <c r="A29" s="106" t="s">
        <v>171</v>
      </c>
      <c r="B29" s="107">
        <v>19</v>
      </c>
      <c r="C29" s="49" t="e">
        <v>#N/A</v>
      </c>
      <c r="D29" s="107"/>
      <c r="E29" s="108"/>
      <c r="F29" s="108" t="s">
        <v>127</v>
      </c>
      <c r="G29" s="121"/>
      <c r="H29" s="151">
        <v>18453031</v>
      </c>
      <c r="I29" s="109">
        <f>Tracker6[[#This Row],[DCR ID - PTC]]</f>
        <v>18453031</v>
      </c>
      <c r="J29" s="131" t="s">
        <v>177</v>
      </c>
      <c r="K29" s="108" t="s">
        <v>101</v>
      </c>
      <c r="L29" s="108" t="s">
        <v>165</v>
      </c>
      <c r="M29" s="108"/>
      <c r="N29" s="108"/>
      <c r="O29" s="111" t="s">
        <v>106</v>
      </c>
      <c r="P29" s="111"/>
      <c r="Q29" s="111"/>
      <c r="R29" s="111"/>
      <c r="S29" s="111"/>
      <c r="T29" s="111"/>
      <c r="U29" s="108"/>
      <c r="V29" s="108"/>
      <c r="W29" s="108"/>
      <c r="X29" s="108"/>
      <c r="Y29" s="108"/>
      <c r="Z29" s="108"/>
      <c r="AA29" s="108" t="s">
        <v>139</v>
      </c>
      <c r="AB29" s="112">
        <v>46080</v>
      </c>
      <c r="AC29" s="108" t="s">
        <v>165</v>
      </c>
      <c r="AD29" s="108" t="s">
        <v>93</v>
      </c>
      <c r="AE29" s="107"/>
      <c r="AF29" s="113"/>
      <c r="AG29" s="115">
        <v>46039.836215277777</v>
      </c>
      <c r="AH29" s="108" t="s">
        <v>94</v>
      </c>
      <c r="AI29" s="108" t="s">
        <v>95</v>
      </c>
      <c r="AJ29" s="114">
        <v>46043.4375</v>
      </c>
      <c r="AK29" s="108" t="s">
        <v>96</v>
      </c>
      <c r="AL29" s="115">
        <v>46039.463599537034</v>
      </c>
      <c r="AM29" s="116"/>
      <c r="AN29" s="116"/>
      <c r="AO29" s="116" t="e">
        <v>#N/A</v>
      </c>
      <c r="AP29" s="108"/>
      <c r="AQ29" s="107"/>
      <c r="AR29" s="107"/>
      <c r="AS29" s="116"/>
      <c r="AT29" s="114"/>
      <c r="AU29" s="114"/>
      <c r="AV29" s="108"/>
      <c r="AW29" s="108"/>
      <c r="AX29" s="108" t="s">
        <v>97</v>
      </c>
      <c r="AY29" s="108" t="s">
        <v>98</v>
      </c>
      <c r="AZ29" s="108"/>
      <c r="BA29" s="108"/>
      <c r="BB29" s="108"/>
      <c r="BC29" s="108"/>
      <c r="BD29" s="111"/>
      <c r="BE29" s="111"/>
      <c r="BF29" s="111"/>
      <c r="BG29" s="111"/>
      <c r="BH29" s="111"/>
      <c r="BI29" s="111"/>
      <c r="BJ29" s="111"/>
      <c r="BK29" s="111"/>
      <c r="BL29" s="111"/>
      <c r="BM29" s="117" t="e">
        <v>#N/A</v>
      </c>
      <c r="BN29" s="111"/>
      <c r="BO29" s="117"/>
      <c r="BP29" s="117"/>
      <c r="BQ29" s="117"/>
      <c r="BR29" s="111"/>
      <c r="BS29" s="118"/>
      <c r="BT29" s="111"/>
      <c r="BU29" s="118"/>
      <c r="BV29" s="111"/>
      <c r="BW29" s="111"/>
      <c r="BX29" s="111"/>
      <c r="BY29" s="111"/>
      <c r="BZ29" s="111"/>
      <c r="CA29" s="111"/>
      <c r="CB29" s="119"/>
      <c r="CC29" s="117"/>
      <c r="CD29" s="120" t="e">
        <v>#N/A</v>
      </c>
      <c r="CE29" s="120" t="e">
        <v>#N/A</v>
      </c>
      <c r="CF29" s="120" t="e">
        <v>#N/A</v>
      </c>
      <c r="CG29" s="123"/>
      <c r="CH29" s="120" t="e">
        <v>#N/A</v>
      </c>
      <c r="CI29" s="120" t="e">
        <v>#N/A</v>
      </c>
      <c r="CJ29" s="123"/>
    </row>
    <row r="30" spans="1:88" ht="348" hidden="1">
      <c r="A30" s="106" t="s">
        <v>171</v>
      </c>
      <c r="B30" s="107">
        <f>4+7+7.5+8+8.5+8.5+7.5+5.5+1+1+2</f>
        <v>60.5</v>
      </c>
      <c r="C30" s="49">
        <v>0</v>
      </c>
      <c r="D30" s="107">
        <f>C30-B30</f>
        <v>-60.5</v>
      </c>
      <c r="E30" s="108"/>
      <c r="F30" s="108"/>
      <c r="G30" s="121"/>
      <c r="H30" s="109">
        <v>18137175</v>
      </c>
      <c r="I30" s="109">
        <v>18137175</v>
      </c>
      <c r="J30" s="108" t="s">
        <v>178</v>
      </c>
      <c r="K30" s="108" t="s">
        <v>179</v>
      </c>
      <c r="L30" s="108"/>
      <c r="M30" s="108"/>
      <c r="N30" s="108" t="s">
        <v>180</v>
      </c>
      <c r="O30" s="111" t="s">
        <v>106</v>
      </c>
      <c r="P30" s="111"/>
      <c r="Q30" s="111"/>
      <c r="R30" s="111"/>
      <c r="S30" s="111"/>
      <c r="T30" s="111"/>
      <c r="U30" s="108"/>
      <c r="V30" s="108"/>
      <c r="W30" s="108"/>
      <c r="X30" s="108"/>
      <c r="Y30" s="108"/>
      <c r="Z30" s="108"/>
      <c r="AA30" s="108"/>
      <c r="AB30" s="112"/>
      <c r="AC30" s="108"/>
      <c r="AD30" s="108"/>
      <c r="AE30" s="107"/>
      <c r="AF30" s="113"/>
      <c r="AG30" s="115"/>
      <c r="AH30" s="108"/>
      <c r="AI30" s="108"/>
      <c r="AJ30" s="114"/>
      <c r="AK30" s="108"/>
      <c r="AL30" s="115"/>
      <c r="AM30" s="116"/>
      <c r="AN30" s="116"/>
      <c r="AO30" s="116">
        <v>46080</v>
      </c>
      <c r="AP30" s="108"/>
      <c r="AQ30" s="107"/>
      <c r="AR30" s="107"/>
      <c r="AS30" s="116"/>
      <c r="AT30" s="114"/>
      <c r="AU30" s="114"/>
      <c r="AV30" s="108"/>
      <c r="AW30" s="108"/>
      <c r="AX30" s="108" t="s">
        <v>97</v>
      </c>
      <c r="AY30" s="108" t="s">
        <v>98</v>
      </c>
      <c r="AZ30" s="108"/>
      <c r="BA30" s="108"/>
      <c r="BB30" s="108"/>
      <c r="BC30" s="108"/>
      <c r="BD30" s="111"/>
      <c r="BE30" s="111"/>
      <c r="BF30" s="111"/>
      <c r="BG30" s="111"/>
      <c r="BH30" s="111"/>
      <c r="BI30" s="111"/>
      <c r="BJ30" s="111"/>
      <c r="BK30" s="111"/>
      <c r="BL30" s="111"/>
      <c r="BM30" s="117" t="s">
        <v>181</v>
      </c>
      <c r="BN30" s="111"/>
      <c r="BO30" s="117"/>
      <c r="BP30" s="117"/>
      <c r="BQ30" s="117"/>
      <c r="BR30" s="111"/>
      <c r="BS30" s="118"/>
      <c r="BT30" s="111"/>
      <c r="BU30" s="118"/>
      <c r="BV30" s="111"/>
      <c r="BW30" s="111"/>
      <c r="BX30" s="111"/>
      <c r="BY30" s="111"/>
      <c r="BZ30" s="111"/>
      <c r="CA30" s="111"/>
      <c r="CB30" s="119">
        <v>1</v>
      </c>
      <c r="CC30" s="117"/>
      <c r="CD30" s="120">
        <v>46076</v>
      </c>
      <c r="CE30" s="120">
        <v>46077</v>
      </c>
      <c r="CF30" s="120">
        <v>46079</v>
      </c>
      <c r="CG30" s="123"/>
      <c r="CH30" s="120" t="s">
        <v>182</v>
      </c>
      <c r="CI30" s="120" t="s">
        <v>125</v>
      </c>
      <c r="CJ30" s="123"/>
    </row>
    <row r="31" spans="1:88" ht="116.1" hidden="1">
      <c r="A31" s="106" t="s">
        <v>183</v>
      </c>
      <c r="B31" s="107">
        <f>2+4+7.5</f>
        <v>13.5</v>
      </c>
      <c r="C31" s="49">
        <v>40</v>
      </c>
      <c r="D31" s="107">
        <f>Tracker6[[#This Row],[Estimated Hrs]]-Tracker6[[#This Row],[Actual Efforts (Hrs)]]</f>
        <v>26.5</v>
      </c>
      <c r="E31" s="108"/>
      <c r="F31" s="108" t="s">
        <v>89</v>
      </c>
      <c r="G31" s="121"/>
      <c r="H31" s="151">
        <v>17303646</v>
      </c>
      <c r="I31" s="109">
        <f>Tracker6[[#This Row],[DCR ID - PTC]]</f>
        <v>17303646</v>
      </c>
      <c r="J31" s="107" t="s">
        <v>184</v>
      </c>
      <c r="K31" s="108" t="s">
        <v>179</v>
      </c>
      <c r="L31" s="108" t="s">
        <v>131</v>
      </c>
      <c r="M31" s="108"/>
      <c r="N31" s="108" t="s">
        <v>185</v>
      </c>
      <c r="O31" s="111" t="s">
        <v>115</v>
      </c>
      <c r="P31" s="111"/>
      <c r="Q31" s="111"/>
      <c r="R31" s="111"/>
      <c r="S31" s="111"/>
      <c r="T31" s="111"/>
      <c r="U31" s="108"/>
      <c r="V31" s="108"/>
      <c r="W31" s="108"/>
      <c r="X31" s="108"/>
      <c r="Y31" s="108"/>
      <c r="Z31" s="108"/>
      <c r="AA31" s="108" t="s">
        <v>174</v>
      </c>
      <c r="AB31" s="112">
        <v>45961</v>
      </c>
      <c r="AC31" s="108" t="s">
        <v>131</v>
      </c>
      <c r="AD31" s="108" t="s">
        <v>116</v>
      </c>
      <c r="AE31" s="107"/>
      <c r="AF31" s="113"/>
      <c r="AG31" s="115">
        <v>45905.790682870371</v>
      </c>
      <c r="AH31" s="108" t="s">
        <v>94</v>
      </c>
      <c r="AI31" s="108" t="s">
        <v>95</v>
      </c>
      <c r="AJ31" s="114">
        <v>45947.395833333336</v>
      </c>
      <c r="AK31" s="108" t="s">
        <v>96</v>
      </c>
      <c r="AL31" s="115">
        <v>45888.511342592596</v>
      </c>
      <c r="AM31" s="116"/>
      <c r="AN31" s="116"/>
      <c r="AO31" s="116" t="e">
        <v>#N/A</v>
      </c>
      <c r="AP31" s="108"/>
      <c r="AQ31" s="107"/>
      <c r="AR31" s="107"/>
      <c r="AS31" s="116"/>
      <c r="AT31" s="114"/>
      <c r="AU31" s="114"/>
      <c r="AV31" s="108"/>
      <c r="AW31" s="108"/>
      <c r="AX31" s="108" t="s">
        <v>97</v>
      </c>
      <c r="AY31" s="108" t="s">
        <v>98</v>
      </c>
      <c r="AZ31" s="108"/>
      <c r="BA31" s="108"/>
      <c r="BB31" s="108"/>
      <c r="BC31" s="108"/>
      <c r="BD31" s="111"/>
      <c r="BE31" s="111"/>
      <c r="BF31" s="111"/>
      <c r="BG31" s="111"/>
      <c r="BH31" s="111"/>
      <c r="BI31" s="111"/>
      <c r="BJ31" s="111"/>
      <c r="BK31" s="111"/>
      <c r="BL31" s="111"/>
      <c r="BM31" s="117" t="e">
        <v>#N/A</v>
      </c>
      <c r="BN31" s="111"/>
      <c r="BO31" s="117"/>
      <c r="BP31" s="117"/>
      <c r="BQ31" s="117"/>
      <c r="BR31" s="111"/>
      <c r="BS31" s="118"/>
      <c r="BT31" s="111"/>
      <c r="BU31" s="118"/>
      <c r="BV31" s="111"/>
      <c r="BW31" s="111"/>
      <c r="BX31" s="111"/>
      <c r="BY31" s="111"/>
      <c r="BZ31" s="111"/>
      <c r="CA31" s="111"/>
      <c r="CB31" s="119"/>
      <c r="CC31" s="117"/>
      <c r="CD31" s="120" t="e">
        <v>#N/A</v>
      </c>
      <c r="CE31" s="120" t="e">
        <v>#N/A</v>
      </c>
      <c r="CF31" s="120" t="e">
        <v>#N/A</v>
      </c>
      <c r="CG31" s="123"/>
      <c r="CH31" s="120" t="e">
        <v>#N/A</v>
      </c>
      <c r="CI31" s="120" t="e">
        <v>#N/A</v>
      </c>
      <c r="CJ31" s="123"/>
    </row>
    <row r="32" spans="1:88" ht="409.5" hidden="1">
      <c r="A32" s="106" t="s">
        <v>183</v>
      </c>
      <c r="B32" s="107">
        <f>5+5+2+2+2.5+1.5+2+0.5+1.5+1+1.5+0.5+4+1+6+2</f>
        <v>38</v>
      </c>
      <c r="C32" s="49">
        <v>60</v>
      </c>
      <c r="D32" s="107">
        <f>Tracker6[[#This Row],[Estimated Hrs]]-Tracker6[[#This Row],[Actual Efforts (Hrs)]]</f>
        <v>22</v>
      </c>
      <c r="E32" s="108"/>
      <c r="F32" s="108" t="s">
        <v>89</v>
      </c>
      <c r="G32" s="121"/>
      <c r="H32" s="151">
        <v>17114800</v>
      </c>
      <c r="I32" s="109">
        <f>H32</f>
        <v>17114800</v>
      </c>
      <c r="J32" s="108" t="s">
        <v>186</v>
      </c>
      <c r="K32" s="108" t="s">
        <v>101</v>
      </c>
      <c r="L32" s="108" t="s">
        <v>187</v>
      </c>
      <c r="M32" s="108"/>
      <c r="N32" s="110" t="s">
        <v>188</v>
      </c>
      <c r="O32" s="111" t="s">
        <v>115</v>
      </c>
      <c r="P32" s="111"/>
      <c r="Q32" s="111"/>
      <c r="R32" s="111"/>
      <c r="S32" s="111"/>
      <c r="T32" s="111"/>
      <c r="U32" s="108"/>
      <c r="V32" s="108"/>
      <c r="W32" s="108"/>
      <c r="X32" s="108"/>
      <c r="Y32" s="108"/>
      <c r="Z32" s="108"/>
      <c r="AA32" s="108" t="s">
        <v>174</v>
      </c>
      <c r="AB32" s="112"/>
      <c r="AC32" s="108" t="s">
        <v>187</v>
      </c>
      <c r="AD32" s="108" t="s">
        <v>93</v>
      </c>
      <c r="AE32" s="107"/>
      <c r="AF32" s="113"/>
      <c r="AG32" s="115">
        <v>45896.051539351851</v>
      </c>
      <c r="AH32" s="108" t="s">
        <v>94</v>
      </c>
      <c r="AI32" s="108" t="s">
        <v>95</v>
      </c>
      <c r="AJ32" s="114">
        <v>45947.395833333336</v>
      </c>
      <c r="AK32" s="108" t="s">
        <v>96</v>
      </c>
      <c r="AL32" s="115">
        <v>45863.036493055559</v>
      </c>
      <c r="AM32" s="116"/>
      <c r="AN32" s="116"/>
      <c r="AO32" s="116" t="e">
        <v>#N/A</v>
      </c>
      <c r="AP32" s="108"/>
      <c r="AQ32" s="107"/>
      <c r="AR32" s="107"/>
      <c r="AS32" s="116"/>
      <c r="AT32" s="114"/>
      <c r="AU32" s="114"/>
      <c r="AV32" s="108"/>
      <c r="AW32" s="108"/>
      <c r="AX32" s="108" t="s">
        <v>97</v>
      </c>
      <c r="AY32" s="108" t="s">
        <v>98</v>
      </c>
      <c r="AZ32" s="108"/>
      <c r="BA32" s="108"/>
      <c r="BB32" s="108"/>
      <c r="BC32" s="108"/>
      <c r="BD32" s="111"/>
      <c r="BE32" s="111"/>
      <c r="BF32" s="111"/>
      <c r="BG32" s="111"/>
      <c r="BH32" s="111"/>
      <c r="BI32" s="111"/>
      <c r="BJ32" s="111"/>
      <c r="BK32" s="111"/>
      <c r="BL32" s="111"/>
      <c r="BM32" s="117" t="e">
        <v>#N/A</v>
      </c>
      <c r="BN32" s="111"/>
      <c r="BO32" s="117"/>
      <c r="BP32" s="117"/>
      <c r="BQ32" s="117"/>
      <c r="BR32" s="111"/>
      <c r="BS32" s="118"/>
      <c r="BT32" s="111"/>
      <c r="BU32" s="118"/>
      <c r="BV32" s="111"/>
      <c r="BW32" s="111"/>
      <c r="BX32" s="111"/>
      <c r="BY32" s="111"/>
      <c r="BZ32" s="111"/>
      <c r="CA32" s="111"/>
      <c r="CB32" s="119"/>
      <c r="CC32" s="117"/>
      <c r="CD32" s="120" t="e">
        <v>#N/A</v>
      </c>
      <c r="CE32" s="120" t="e">
        <v>#N/A</v>
      </c>
      <c r="CF32" s="120" t="e">
        <v>#N/A</v>
      </c>
      <c r="CG32" s="123"/>
      <c r="CH32" s="120" t="e">
        <v>#N/A</v>
      </c>
      <c r="CI32" s="120" t="e">
        <v>#N/A</v>
      </c>
      <c r="CJ32" s="123"/>
    </row>
    <row r="33" spans="1:88" ht="409.5" hidden="1">
      <c r="A33" s="106" t="s">
        <v>183</v>
      </c>
      <c r="B33" s="107">
        <f>5+3+5+3.5+3+2+7.5+4+7.5+2+6.5</f>
        <v>49</v>
      </c>
      <c r="C33" s="49">
        <v>60</v>
      </c>
      <c r="D33" s="107">
        <f>Tracker6[[#This Row],[Estimated Hrs]]-Tracker6[[#This Row],[Actual Efforts (Hrs)]]</f>
        <v>11</v>
      </c>
      <c r="E33" s="108"/>
      <c r="F33" s="108" t="s">
        <v>127</v>
      </c>
      <c r="G33" s="121"/>
      <c r="H33" s="151">
        <v>17353388</v>
      </c>
      <c r="I33" s="109">
        <f>Tracker6[[#This Row],[DCR ID - PTC]]</f>
        <v>17353388</v>
      </c>
      <c r="J33" s="108" t="s">
        <v>189</v>
      </c>
      <c r="K33" s="108" t="s">
        <v>101</v>
      </c>
      <c r="L33" s="108" t="s">
        <v>165</v>
      </c>
      <c r="M33" s="108"/>
      <c r="N33" s="110" t="s">
        <v>190</v>
      </c>
      <c r="O33" s="111" t="s">
        <v>115</v>
      </c>
      <c r="P33" s="111"/>
      <c r="Q33" s="111"/>
      <c r="R33" s="111"/>
      <c r="S33" s="111"/>
      <c r="T33" s="111"/>
      <c r="U33" s="108"/>
      <c r="V33" s="108"/>
      <c r="W33" s="108"/>
      <c r="X33" s="108"/>
      <c r="Y33" s="108"/>
      <c r="Z33" s="108"/>
      <c r="AA33" s="108" t="s">
        <v>130</v>
      </c>
      <c r="AB33" s="112"/>
      <c r="AC33" s="108" t="s">
        <v>165</v>
      </c>
      <c r="AD33" s="108" t="s">
        <v>93</v>
      </c>
      <c r="AE33" s="107"/>
      <c r="AF33" s="113"/>
      <c r="AG33" s="115">
        <v>46006.771631944444</v>
      </c>
      <c r="AH33" s="108" t="s">
        <v>94</v>
      </c>
      <c r="AI33" s="108" t="s">
        <v>95</v>
      </c>
      <c r="AJ33" s="114">
        <v>46085.4375</v>
      </c>
      <c r="AK33" s="108" t="s">
        <v>96</v>
      </c>
      <c r="AL33" s="115">
        <v>45891.801944444444</v>
      </c>
      <c r="AM33" s="116"/>
      <c r="AN33" s="116"/>
      <c r="AO33" s="116" t="e">
        <v>#N/A</v>
      </c>
      <c r="AP33" s="108"/>
      <c r="AQ33" s="107"/>
      <c r="AR33" s="107"/>
      <c r="AS33" s="116"/>
      <c r="AT33" s="114"/>
      <c r="AU33" s="114"/>
      <c r="AV33" s="108"/>
      <c r="AW33" s="108"/>
      <c r="AX33" s="108" t="s">
        <v>97</v>
      </c>
      <c r="AY33" s="108" t="s">
        <v>98</v>
      </c>
      <c r="AZ33" s="108"/>
      <c r="BA33" s="108"/>
      <c r="BB33" s="108"/>
      <c r="BC33" s="108"/>
      <c r="BD33" s="111"/>
      <c r="BE33" s="111"/>
      <c r="BF33" s="111"/>
      <c r="BG33" s="111"/>
      <c r="BH33" s="111"/>
      <c r="BI33" s="111"/>
      <c r="BJ33" s="111"/>
      <c r="BK33" s="111"/>
      <c r="BL33" s="111"/>
      <c r="BM33" s="117" t="e">
        <v>#N/A</v>
      </c>
      <c r="BN33" s="111"/>
      <c r="BO33" s="117"/>
      <c r="BP33" s="117"/>
      <c r="BQ33" s="117"/>
      <c r="BR33" s="111"/>
      <c r="BS33" s="118"/>
      <c r="BT33" s="111"/>
      <c r="BU33" s="118"/>
      <c r="BV33" s="111"/>
      <c r="BW33" s="111"/>
      <c r="BX33" s="111"/>
      <c r="BY33" s="111"/>
      <c r="BZ33" s="111"/>
      <c r="CA33" s="111"/>
      <c r="CB33" s="119"/>
      <c r="CC33" s="117"/>
      <c r="CD33" s="120" t="e">
        <v>#N/A</v>
      </c>
      <c r="CE33" s="120" t="e">
        <v>#N/A</v>
      </c>
      <c r="CF33" s="120" t="e">
        <v>#N/A</v>
      </c>
      <c r="CG33" s="123"/>
      <c r="CH33" s="120" t="e">
        <v>#N/A</v>
      </c>
      <c r="CI33" s="120" t="e">
        <v>#N/A</v>
      </c>
      <c r="CJ33" s="123"/>
    </row>
    <row r="34" spans="1:88" ht="261" hidden="1">
      <c r="A34" s="106" t="s">
        <v>183</v>
      </c>
      <c r="B34" s="107">
        <f>3+7.5+7.5+7.5+3+2+3</f>
        <v>33.5</v>
      </c>
      <c r="C34" s="49">
        <v>40</v>
      </c>
      <c r="D34" s="107">
        <f>Tracker6[[#This Row],[Estimated Hrs]]-Tracker6[[#This Row],[Actual Efforts (Hrs)]]</f>
        <v>6.5</v>
      </c>
      <c r="E34" s="108"/>
      <c r="F34" s="108" t="s">
        <v>155</v>
      </c>
      <c r="G34" s="108" t="s">
        <v>155</v>
      </c>
      <c r="H34" s="151">
        <v>18234776</v>
      </c>
      <c r="I34" s="151">
        <v>18234776</v>
      </c>
      <c r="J34" s="108" t="s">
        <v>191</v>
      </c>
      <c r="K34" s="108" t="s">
        <v>118</v>
      </c>
      <c r="L34" s="108"/>
      <c r="M34" s="108"/>
      <c r="N34" s="134" t="s">
        <v>192</v>
      </c>
      <c r="O34" s="111" t="s">
        <v>106</v>
      </c>
      <c r="P34" s="111"/>
      <c r="Q34" s="111"/>
      <c r="R34" s="111"/>
      <c r="S34" s="111"/>
      <c r="T34" s="111"/>
      <c r="U34" s="108"/>
      <c r="V34" s="108"/>
      <c r="W34" s="108"/>
      <c r="X34" s="108"/>
      <c r="Y34" s="108"/>
      <c r="Z34" s="108"/>
      <c r="AA34" s="108" t="s">
        <v>107</v>
      </c>
      <c r="AB34" s="112">
        <v>46080</v>
      </c>
      <c r="AC34" s="108"/>
      <c r="AD34" s="108" t="s">
        <v>93</v>
      </c>
      <c r="AE34" s="107"/>
      <c r="AF34" s="113"/>
      <c r="AG34" s="115">
        <v>46059.073912037034</v>
      </c>
      <c r="AH34" s="108" t="s">
        <v>100</v>
      </c>
      <c r="AI34" s="108" t="s">
        <v>95</v>
      </c>
      <c r="AJ34" s="114">
        <v>46065.4375</v>
      </c>
      <c r="AK34" s="108" t="s">
        <v>96</v>
      </c>
      <c r="AL34" s="115">
        <v>46015.531608796293</v>
      </c>
      <c r="AM34" s="116"/>
      <c r="AN34" s="116"/>
      <c r="AO34" s="116">
        <v>46080</v>
      </c>
      <c r="AP34" s="108"/>
      <c r="AQ34" s="107"/>
      <c r="AR34" s="107"/>
      <c r="AS34" s="116">
        <v>46080</v>
      </c>
      <c r="AT34" s="114">
        <v>46072</v>
      </c>
      <c r="AU34" s="114">
        <v>46077</v>
      </c>
      <c r="AV34" s="108"/>
      <c r="AW34" s="108"/>
      <c r="AX34" s="108" t="s">
        <v>97</v>
      </c>
      <c r="AY34" s="108" t="s">
        <v>98</v>
      </c>
      <c r="AZ34" s="108"/>
      <c r="BA34" s="108"/>
      <c r="BB34" s="108"/>
      <c r="BC34" s="108"/>
      <c r="BD34" s="111"/>
      <c r="BE34" s="111"/>
      <c r="BF34" s="111"/>
      <c r="BG34" s="111"/>
      <c r="BH34" s="111"/>
      <c r="BI34" s="111"/>
      <c r="BJ34" s="111"/>
      <c r="BK34" s="111"/>
      <c r="BL34" s="111"/>
      <c r="BM34" s="117" t="s">
        <v>193</v>
      </c>
      <c r="BN34" s="111"/>
      <c r="BO34" s="117"/>
      <c r="BP34" s="117"/>
      <c r="BQ34" s="117"/>
      <c r="BR34" s="111"/>
      <c r="BS34" s="118"/>
      <c r="BT34" s="111"/>
      <c r="BU34" s="118"/>
      <c r="BV34" s="111"/>
      <c r="BW34" s="111"/>
      <c r="BX34" s="111"/>
      <c r="BY34" s="111"/>
      <c r="BZ34" s="111"/>
      <c r="CA34" s="111"/>
      <c r="CB34" s="119">
        <v>1</v>
      </c>
      <c r="CC34" s="117"/>
      <c r="CD34" s="120">
        <v>46073</v>
      </c>
      <c r="CE34" s="120">
        <v>46076</v>
      </c>
      <c r="CF34" s="120">
        <v>46076</v>
      </c>
      <c r="CG34" s="123"/>
      <c r="CH34" s="120" t="s">
        <v>182</v>
      </c>
      <c r="CI34" s="120" t="s">
        <v>125</v>
      </c>
      <c r="CJ34" s="123"/>
    </row>
    <row r="35" spans="1:88" ht="57.95" hidden="1">
      <c r="A35" s="106" t="s">
        <v>183</v>
      </c>
      <c r="B35" s="107">
        <v>0</v>
      </c>
      <c r="C35" s="49">
        <v>0</v>
      </c>
      <c r="D35" s="107">
        <f>Tracker6[[#This Row],[Estimated Hrs]]-Tracker6[[#This Row],[Actual Efforts (Hrs)]]</f>
        <v>0</v>
      </c>
      <c r="E35" s="108"/>
      <c r="F35" s="108" t="s">
        <v>155</v>
      </c>
      <c r="G35" s="108" t="s">
        <v>155</v>
      </c>
      <c r="H35" s="151">
        <v>18522127</v>
      </c>
      <c r="I35" s="151">
        <v>18522127</v>
      </c>
      <c r="J35" s="108" t="s">
        <v>194</v>
      </c>
      <c r="K35" s="108" t="s">
        <v>118</v>
      </c>
      <c r="L35" s="108"/>
      <c r="M35" s="108"/>
      <c r="N35" s="134" t="s">
        <v>195</v>
      </c>
      <c r="O35" s="111" t="s">
        <v>106</v>
      </c>
      <c r="P35" s="111"/>
      <c r="Q35" s="111"/>
      <c r="R35" s="111"/>
      <c r="S35" s="111"/>
      <c r="T35" s="111"/>
      <c r="U35" s="108"/>
      <c r="V35" s="108"/>
      <c r="W35" s="108"/>
      <c r="X35" s="108"/>
      <c r="Y35" s="108"/>
      <c r="Z35" s="108"/>
      <c r="AA35" s="108" t="s">
        <v>107</v>
      </c>
      <c r="AB35" s="112"/>
      <c r="AC35" s="108"/>
      <c r="AD35" s="108" t="s">
        <v>116</v>
      </c>
      <c r="AE35" s="107"/>
      <c r="AF35" s="113"/>
      <c r="AG35" s="115">
        <v>46059.075613425928</v>
      </c>
      <c r="AH35" s="108" t="s">
        <v>100</v>
      </c>
      <c r="AI35" s="108" t="s">
        <v>95</v>
      </c>
      <c r="AJ35" s="114">
        <v>46081.395833333336</v>
      </c>
      <c r="AK35" s="108" t="s">
        <v>96</v>
      </c>
      <c r="AL35" s="115">
        <v>46045.662939814814</v>
      </c>
      <c r="AM35" s="116"/>
      <c r="AN35" s="116"/>
      <c r="AO35" s="116">
        <v>46080</v>
      </c>
      <c r="AP35" s="108"/>
      <c r="AQ35" s="107"/>
      <c r="AR35" s="107"/>
      <c r="AS35" s="116">
        <v>46080</v>
      </c>
      <c r="AT35" s="114">
        <v>46072</v>
      </c>
      <c r="AU35" s="114">
        <v>46077</v>
      </c>
      <c r="AV35" s="108"/>
      <c r="AW35" s="108"/>
      <c r="AX35" s="108" t="s">
        <v>97</v>
      </c>
      <c r="AY35" s="108" t="s">
        <v>98</v>
      </c>
      <c r="AZ35" s="108"/>
      <c r="BA35" s="108"/>
      <c r="BB35" s="108"/>
      <c r="BC35" s="108"/>
      <c r="BD35" s="111"/>
      <c r="BE35" s="111"/>
      <c r="BF35" s="111"/>
      <c r="BG35" s="111"/>
      <c r="BH35" s="111"/>
      <c r="BI35" s="111"/>
      <c r="BJ35" s="111"/>
      <c r="BK35" s="111"/>
      <c r="BL35" s="111"/>
      <c r="BM35" s="117" t="s">
        <v>193</v>
      </c>
      <c r="BN35" s="111"/>
      <c r="BO35" s="117"/>
      <c r="BP35" s="117"/>
      <c r="BQ35" s="117"/>
      <c r="BR35" s="111"/>
      <c r="BS35" s="118"/>
      <c r="BT35" s="111"/>
      <c r="BU35" s="118"/>
      <c r="BV35" s="111"/>
      <c r="BW35" s="111"/>
      <c r="BX35" s="111"/>
      <c r="BY35" s="111"/>
      <c r="BZ35" s="111"/>
      <c r="CA35" s="111"/>
      <c r="CB35" s="119">
        <v>1</v>
      </c>
      <c r="CC35" s="117"/>
      <c r="CD35" s="120">
        <v>46073</v>
      </c>
      <c r="CE35" s="120">
        <v>46076</v>
      </c>
      <c r="CF35" s="120">
        <v>46076</v>
      </c>
      <c r="CG35" s="123"/>
      <c r="CH35" s="120" t="s">
        <v>182</v>
      </c>
      <c r="CI35" s="120" t="s">
        <v>125</v>
      </c>
      <c r="CJ35" s="123"/>
    </row>
    <row r="36" spans="1:88" ht="101.45" hidden="1">
      <c r="A36" s="106" t="s">
        <v>183</v>
      </c>
      <c r="B36" s="107">
        <f>5+5+2</f>
        <v>12</v>
      </c>
      <c r="C36" s="107">
        <v>15</v>
      </c>
      <c r="D36" s="107">
        <f>Tracker6[[#This Row],[Estimated Hrs]]-Tracker6[[#This Row],[Actual Efforts (Hrs)]]</f>
        <v>3</v>
      </c>
      <c r="E36" s="108"/>
      <c r="F36" s="108" t="s">
        <v>148</v>
      </c>
      <c r="G36" s="121" t="s">
        <v>148</v>
      </c>
      <c r="H36" s="155">
        <v>18612813</v>
      </c>
      <c r="I36" s="155">
        <v>18612813</v>
      </c>
      <c r="J36" s="108" t="s">
        <v>196</v>
      </c>
      <c r="K36" s="108" t="s">
        <v>104</v>
      </c>
      <c r="L36" s="108"/>
      <c r="M36" s="108"/>
      <c r="N36" s="108" t="s">
        <v>197</v>
      </c>
      <c r="O36" s="111" t="s">
        <v>106</v>
      </c>
      <c r="P36" s="111"/>
      <c r="Q36" s="111"/>
      <c r="R36" s="111"/>
      <c r="S36" s="111"/>
      <c r="T36" s="111"/>
      <c r="U36" s="108"/>
      <c r="V36" s="108"/>
      <c r="W36" s="108"/>
      <c r="X36" s="108"/>
      <c r="Y36" s="108"/>
      <c r="Z36" s="108"/>
      <c r="AA36" s="108" t="s">
        <v>107</v>
      </c>
      <c r="AB36" s="112">
        <v>46066</v>
      </c>
      <c r="AC36" s="108"/>
      <c r="AD36" s="108" t="s">
        <v>93</v>
      </c>
      <c r="AE36" s="107"/>
      <c r="AF36" s="113"/>
      <c r="AG36" s="115">
        <v>46056</v>
      </c>
      <c r="AH36" s="108" t="s">
        <v>109</v>
      </c>
      <c r="AI36" s="108" t="s">
        <v>95</v>
      </c>
      <c r="AJ36" s="114">
        <v>46081.4375</v>
      </c>
      <c r="AK36" s="108" t="s">
        <v>96</v>
      </c>
      <c r="AL36" s="115">
        <v>46051.683738425927</v>
      </c>
      <c r="AM36" s="116"/>
      <c r="AN36" s="116"/>
      <c r="AO36" s="116">
        <v>46065</v>
      </c>
      <c r="AP36" s="108"/>
      <c r="AQ36" s="107"/>
      <c r="AR36" s="107"/>
      <c r="AS36" s="116">
        <v>46066</v>
      </c>
      <c r="AT36" s="114">
        <v>46057</v>
      </c>
      <c r="AU36" s="114">
        <v>46066</v>
      </c>
      <c r="AV36" s="108"/>
      <c r="AW36" s="108"/>
      <c r="AX36" s="108" t="s">
        <v>97</v>
      </c>
      <c r="AY36" s="108" t="s">
        <v>98</v>
      </c>
      <c r="AZ36" s="108"/>
      <c r="BA36" s="108"/>
      <c r="BB36" s="108"/>
      <c r="BC36" s="108"/>
      <c r="BD36" s="111"/>
      <c r="BE36" s="111"/>
      <c r="BF36" s="111"/>
      <c r="BG36" s="111"/>
      <c r="BH36" s="111"/>
      <c r="BI36" s="111"/>
      <c r="BJ36" s="111"/>
      <c r="BK36" s="111"/>
      <c r="BL36" s="111"/>
      <c r="BM36" s="117" t="s">
        <v>198</v>
      </c>
      <c r="BN36" s="111"/>
      <c r="BO36" s="117"/>
      <c r="BP36" s="117"/>
      <c r="BQ36" s="117"/>
      <c r="BR36" s="111"/>
      <c r="BS36" s="118"/>
      <c r="BT36" s="111"/>
      <c r="BU36" s="118"/>
      <c r="BV36" s="111"/>
      <c r="BW36" s="111"/>
      <c r="BX36" s="111"/>
      <c r="BY36" s="111"/>
      <c r="BZ36" s="111"/>
      <c r="CA36" s="111"/>
      <c r="CB36" s="119">
        <v>1</v>
      </c>
      <c r="CC36" s="117"/>
      <c r="CD36" s="123" t="s">
        <v>125</v>
      </c>
      <c r="CE36" s="123" t="s">
        <v>125</v>
      </c>
      <c r="CF36" s="123">
        <v>46064</v>
      </c>
      <c r="CG36" s="123"/>
      <c r="CH36" s="120" t="s">
        <v>112</v>
      </c>
      <c r="CI36" s="123" t="s">
        <v>125</v>
      </c>
      <c r="CJ36" s="123"/>
    </row>
    <row r="37" spans="1:88" ht="87" hidden="1">
      <c r="A37" s="106" t="s">
        <v>183</v>
      </c>
      <c r="B37" s="49">
        <f>2+3</f>
        <v>5</v>
      </c>
      <c r="C37" s="49" t="e">
        <v>#N/A</v>
      </c>
      <c r="D37" s="107">
        <v>0</v>
      </c>
      <c r="E37" s="134"/>
      <c r="F37" s="134" t="s">
        <v>89</v>
      </c>
      <c r="G37" s="134"/>
      <c r="H37" s="154">
        <v>16070941</v>
      </c>
      <c r="I37" s="109">
        <f>Tracker6[[#This Row],[DCR ID - PTC]]</f>
        <v>16070941</v>
      </c>
      <c r="J37" s="134" t="s">
        <v>199</v>
      </c>
      <c r="K37" s="134"/>
      <c r="L37" s="134" t="s">
        <v>131</v>
      </c>
      <c r="M37" s="134"/>
      <c r="N37" s="134" t="s">
        <v>200</v>
      </c>
      <c r="O37" s="123" t="s">
        <v>201</v>
      </c>
      <c r="P37" s="123"/>
      <c r="Q37" s="123"/>
      <c r="R37" s="123"/>
      <c r="S37" s="123"/>
      <c r="T37" s="123"/>
      <c r="U37" s="134"/>
      <c r="V37" s="134"/>
      <c r="W37" s="134"/>
      <c r="X37" s="134"/>
      <c r="Y37" s="134"/>
      <c r="Z37" s="134"/>
      <c r="AA37" s="134" t="s">
        <v>92</v>
      </c>
      <c r="AB37" s="29">
        <v>45992</v>
      </c>
      <c r="AC37" s="134" t="s">
        <v>131</v>
      </c>
      <c r="AD37" s="134" t="s">
        <v>93</v>
      </c>
      <c r="AE37" s="49"/>
      <c r="AF37" s="136"/>
      <c r="AG37" s="137">
        <v>45882.915555555555</v>
      </c>
      <c r="AH37" s="134" t="s">
        <v>94</v>
      </c>
      <c r="AI37" s="134" t="s">
        <v>95</v>
      </c>
      <c r="AJ37" s="138">
        <v>45994.4375</v>
      </c>
      <c r="AK37" s="134" t="s">
        <v>96</v>
      </c>
      <c r="AL37" s="137">
        <v>45743.853229166663</v>
      </c>
      <c r="AM37" s="139"/>
      <c r="AN37" s="139"/>
      <c r="AO37" s="116" t="e">
        <v>#N/A</v>
      </c>
      <c r="AP37" s="134"/>
      <c r="AQ37" s="49"/>
      <c r="AR37" s="49"/>
      <c r="AS37" s="139"/>
      <c r="AT37" s="138"/>
      <c r="AU37" s="138"/>
      <c r="AV37" s="134"/>
      <c r="AW37" s="134"/>
      <c r="AX37" s="108" t="s">
        <v>97</v>
      </c>
      <c r="AY37" s="108" t="s">
        <v>98</v>
      </c>
      <c r="AZ37" s="134"/>
      <c r="BA37" s="134"/>
      <c r="BB37" s="134"/>
      <c r="BC37" s="134"/>
      <c r="BD37" s="123"/>
      <c r="BE37" s="123"/>
      <c r="BF37" s="123"/>
      <c r="BG37" s="123"/>
      <c r="BH37" s="123"/>
      <c r="BI37" s="123"/>
      <c r="BJ37" s="123"/>
      <c r="BK37" s="123"/>
      <c r="BL37" s="123"/>
      <c r="BM37" s="117" t="e">
        <v>#N/A</v>
      </c>
      <c r="BN37" s="123"/>
      <c r="BO37" s="140"/>
      <c r="BP37" s="140"/>
      <c r="BQ37" s="140"/>
      <c r="BR37" s="123"/>
      <c r="BS37" s="141"/>
      <c r="BT37" s="123"/>
      <c r="BU37" s="141"/>
      <c r="BV37" s="123"/>
      <c r="BW37" s="123"/>
      <c r="BX37" s="123"/>
      <c r="BY37" s="123"/>
      <c r="BZ37" s="123"/>
      <c r="CA37" s="123"/>
      <c r="CB37" s="143"/>
      <c r="CC37" s="140"/>
      <c r="CD37" s="120" t="e">
        <v>#N/A</v>
      </c>
      <c r="CE37" s="120" t="e">
        <v>#N/A</v>
      </c>
      <c r="CF37" s="120" t="e">
        <v>#N/A</v>
      </c>
      <c r="CG37" s="123"/>
      <c r="CH37" s="120" t="e">
        <v>#N/A</v>
      </c>
      <c r="CI37" s="120" t="e">
        <v>#N/A</v>
      </c>
      <c r="CJ37" s="123"/>
    </row>
    <row r="38" spans="1:88" ht="57.95" hidden="1">
      <c r="A38" s="106" t="s">
        <v>183</v>
      </c>
      <c r="B38" s="107">
        <f>3</f>
        <v>3</v>
      </c>
      <c r="C38" s="49" t="e">
        <v>#N/A</v>
      </c>
      <c r="D38" s="107" t="e">
        <f>Tracker6[[#This Row],[Estimated Hrs]]-Tracker6[[#This Row],[Actual Efforts (Hrs)]]</f>
        <v>#N/A</v>
      </c>
      <c r="E38" s="108"/>
      <c r="F38" s="108" t="s">
        <v>127</v>
      </c>
      <c r="G38" s="121"/>
      <c r="H38" s="154">
        <v>18393555</v>
      </c>
      <c r="I38" s="109">
        <f>Tracker6[[#This Row],[DCR ID - PTC]]</f>
        <v>18393555</v>
      </c>
      <c r="J38" s="108" t="s">
        <v>202</v>
      </c>
      <c r="K38" s="108" t="s">
        <v>179</v>
      </c>
      <c r="L38" s="108" t="s">
        <v>165</v>
      </c>
      <c r="M38" s="108"/>
      <c r="N38" s="108" t="s">
        <v>203</v>
      </c>
      <c r="O38" s="111" t="s">
        <v>106</v>
      </c>
      <c r="P38" s="111"/>
      <c r="Q38" s="111"/>
      <c r="R38" s="111"/>
      <c r="S38" s="111"/>
      <c r="T38" s="111"/>
      <c r="U38" s="108"/>
      <c r="V38" s="108"/>
      <c r="W38" s="108"/>
      <c r="X38" s="108"/>
      <c r="Y38" s="108"/>
      <c r="Z38" s="108"/>
      <c r="AA38" s="108" t="s">
        <v>139</v>
      </c>
      <c r="AB38" s="112">
        <v>46080</v>
      </c>
      <c r="AC38" s="108" t="s">
        <v>165</v>
      </c>
      <c r="AD38" s="108" t="s">
        <v>93</v>
      </c>
      <c r="AE38" s="107"/>
      <c r="AF38" s="113"/>
      <c r="AG38" s="115">
        <v>46039.116909722223</v>
      </c>
      <c r="AH38" s="108" t="s">
        <v>94</v>
      </c>
      <c r="AI38" s="108" t="s">
        <v>110</v>
      </c>
      <c r="AJ38" s="114">
        <v>46068.4375</v>
      </c>
      <c r="AK38" s="108" t="s">
        <v>96</v>
      </c>
      <c r="AL38" s="115">
        <v>46035.08625</v>
      </c>
      <c r="AM38" s="116"/>
      <c r="AN38" s="116"/>
      <c r="AO38" s="116" t="e">
        <v>#N/A</v>
      </c>
      <c r="AP38" s="108"/>
      <c r="AQ38" s="107"/>
      <c r="AR38" s="107"/>
      <c r="AS38" s="116" t="s">
        <v>125</v>
      </c>
      <c r="AT38" s="114" t="s">
        <v>125</v>
      </c>
      <c r="AU38" s="114" t="s">
        <v>125</v>
      </c>
      <c r="AV38" s="108"/>
      <c r="AW38" s="108"/>
      <c r="AX38" s="108" t="s">
        <v>97</v>
      </c>
      <c r="AY38" s="108" t="s">
        <v>98</v>
      </c>
      <c r="AZ38" s="108"/>
      <c r="BA38" s="108"/>
      <c r="BB38" s="108"/>
      <c r="BC38" s="108"/>
      <c r="BD38" s="111"/>
      <c r="BE38" s="111"/>
      <c r="BF38" s="111"/>
      <c r="BG38" s="111"/>
      <c r="BH38" s="111"/>
      <c r="BI38" s="111"/>
      <c r="BJ38" s="111"/>
      <c r="BK38" s="111"/>
      <c r="BL38" s="111"/>
      <c r="BM38" s="117" t="e">
        <v>#N/A</v>
      </c>
      <c r="BN38" s="111"/>
      <c r="BO38" s="117"/>
      <c r="BP38" s="117"/>
      <c r="BQ38" s="117"/>
      <c r="BR38" s="111"/>
      <c r="BS38" s="118"/>
      <c r="BT38" s="111"/>
      <c r="BU38" s="118"/>
      <c r="BV38" s="111"/>
      <c r="BW38" s="111"/>
      <c r="BX38" s="111"/>
      <c r="BY38" s="111"/>
      <c r="BZ38" s="111"/>
      <c r="CA38" s="111"/>
      <c r="CB38" s="119"/>
      <c r="CC38" s="117"/>
      <c r="CD38" s="120" t="e">
        <v>#N/A</v>
      </c>
      <c r="CE38" s="120" t="e">
        <v>#N/A</v>
      </c>
      <c r="CF38" s="120" t="e">
        <v>#N/A</v>
      </c>
      <c r="CG38" s="123"/>
      <c r="CH38" s="120" t="e">
        <v>#N/A</v>
      </c>
      <c r="CI38" s="120" t="e">
        <v>#N/A</v>
      </c>
      <c r="CJ38" s="123"/>
    </row>
    <row r="39" spans="1:88" ht="130.5" hidden="1">
      <c r="A39" s="106" t="s">
        <v>183</v>
      </c>
      <c r="B39" s="107">
        <f>5.5+7+2+2+2</f>
        <v>18.5</v>
      </c>
      <c r="C39" s="49">
        <v>13</v>
      </c>
      <c r="D39" s="107">
        <f>Tracker6[[#This Row],[Estimated Hrs]]-Tracker6[[#This Row],[Actual Efforts (Hrs)]]</f>
        <v>-5.5</v>
      </c>
      <c r="E39" s="108"/>
      <c r="F39" s="108" t="s">
        <v>148</v>
      </c>
      <c r="G39" s="121" t="s">
        <v>148</v>
      </c>
      <c r="H39" s="109">
        <v>18522127</v>
      </c>
      <c r="I39" s="109">
        <v>18522127</v>
      </c>
      <c r="J39" s="108" t="s">
        <v>194</v>
      </c>
      <c r="K39" s="108" t="s">
        <v>104</v>
      </c>
      <c r="L39" s="108"/>
      <c r="M39" s="108"/>
      <c r="N39" s="146" t="s">
        <v>204</v>
      </c>
      <c r="O39" s="111" t="s">
        <v>106</v>
      </c>
      <c r="P39" s="111"/>
      <c r="Q39" s="111"/>
      <c r="R39" s="111"/>
      <c r="S39" s="111"/>
      <c r="T39" s="111"/>
      <c r="U39" s="108"/>
      <c r="V39" s="108"/>
      <c r="W39" s="108"/>
      <c r="X39" s="108"/>
      <c r="Y39" s="108"/>
      <c r="Z39" s="108"/>
      <c r="AA39" s="108" t="s">
        <v>107</v>
      </c>
      <c r="AB39" s="112"/>
      <c r="AC39" s="108"/>
      <c r="AD39" s="108" t="s">
        <v>116</v>
      </c>
      <c r="AE39" s="107"/>
      <c r="AF39" s="113"/>
      <c r="AG39" s="115">
        <v>46059.075613425928</v>
      </c>
      <c r="AH39" s="108" t="s">
        <v>100</v>
      </c>
      <c r="AI39" s="108" t="s">
        <v>95</v>
      </c>
      <c r="AJ39" s="114">
        <v>46081.395833333336</v>
      </c>
      <c r="AK39" s="108" t="s">
        <v>96</v>
      </c>
      <c r="AL39" s="115">
        <v>46045.662939814814</v>
      </c>
      <c r="AM39" s="116"/>
      <c r="AN39" s="116"/>
      <c r="AO39" s="116">
        <v>46058</v>
      </c>
      <c r="AP39" s="108"/>
      <c r="AQ39" s="107"/>
      <c r="AR39" s="107"/>
      <c r="AS39" s="116">
        <v>46058</v>
      </c>
      <c r="AT39" s="114">
        <v>46055</v>
      </c>
      <c r="AU39" s="114">
        <v>46057</v>
      </c>
      <c r="AV39" s="108"/>
      <c r="AW39" s="108"/>
      <c r="AX39" s="108" t="s">
        <v>97</v>
      </c>
      <c r="AY39" s="108" t="s">
        <v>98</v>
      </c>
      <c r="AZ39" s="108"/>
      <c r="BA39" s="108"/>
      <c r="BB39" s="108"/>
      <c r="BC39" s="108"/>
      <c r="BD39" s="111"/>
      <c r="BE39" s="111"/>
      <c r="BF39" s="111"/>
      <c r="BG39" s="111"/>
      <c r="BH39" s="111"/>
      <c r="BI39" s="111"/>
      <c r="BJ39" s="111"/>
      <c r="BK39" s="111"/>
      <c r="BL39" s="111"/>
      <c r="BM39" s="117" t="s">
        <v>193</v>
      </c>
      <c r="BN39" s="111"/>
      <c r="BO39" s="117"/>
      <c r="BP39" s="117"/>
      <c r="BQ39" s="117"/>
      <c r="BR39" s="111"/>
      <c r="BS39" s="118"/>
      <c r="BT39" s="111"/>
      <c r="BU39" s="118"/>
      <c r="BV39" s="111"/>
      <c r="BW39" s="111"/>
      <c r="BX39" s="111"/>
      <c r="BY39" s="111"/>
      <c r="BZ39" s="111"/>
      <c r="CA39" s="111"/>
      <c r="CB39" s="119">
        <v>1</v>
      </c>
      <c r="CC39" s="117"/>
      <c r="CD39" s="120" t="s">
        <v>125</v>
      </c>
      <c r="CE39" s="120" t="s">
        <v>125</v>
      </c>
      <c r="CF39" s="120" t="s">
        <v>125</v>
      </c>
      <c r="CG39" s="123"/>
      <c r="CH39" s="120" t="s">
        <v>182</v>
      </c>
      <c r="CI39" s="120" t="s">
        <v>125</v>
      </c>
      <c r="CJ39" s="123"/>
    </row>
    <row r="40" spans="1:88" ht="57.95" hidden="1">
      <c r="A40" s="147" t="s">
        <v>183</v>
      </c>
      <c r="B40" s="49">
        <f>5+4</f>
        <v>9</v>
      </c>
      <c r="C40" s="49">
        <v>167</v>
      </c>
      <c r="D40" s="49">
        <f>Tracker6[[#This Row],[Estimated Hrs]]-Tracker6[[#This Row],[Actual Efforts (Hrs)]]</f>
        <v>158</v>
      </c>
      <c r="E40" s="134"/>
      <c r="F40" s="134"/>
      <c r="G40" s="146"/>
      <c r="H40" s="135">
        <v>17803153</v>
      </c>
      <c r="I40" s="109">
        <v>17803153</v>
      </c>
      <c r="J40" s="134" t="s">
        <v>205</v>
      </c>
      <c r="K40" s="108" t="s">
        <v>118</v>
      </c>
      <c r="L40" s="134"/>
      <c r="M40" s="134"/>
      <c r="N40" s="146" t="s">
        <v>206</v>
      </c>
      <c r="O40" s="111" t="s">
        <v>207</v>
      </c>
      <c r="P40" s="123"/>
      <c r="Q40" s="123"/>
      <c r="R40" s="123"/>
      <c r="S40" s="123"/>
      <c r="T40" s="123"/>
      <c r="U40" s="134"/>
      <c r="V40" s="134"/>
      <c r="W40" s="134"/>
      <c r="X40" s="134"/>
      <c r="Y40" s="134"/>
      <c r="Z40" s="134"/>
      <c r="AA40" s="134" t="s">
        <v>139</v>
      </c>
      <c r="AC40" s="134"/>
      <c r="AD40" s="134" t="s">
        <v>93</v>
      </c>
      <c r="AE40" s="49"/>
      <c r="AF40" s="136"/>
      <c r="AG40" s="137">
        <v>46066</v>
      </c>
      <c r="AH40" s="134" t="s">
        <v>109</v>
      </c>
      <c r="AI40" s="134" t="s">
        <v>95</v>
      </c>
      <c r="AJ40" s="138">
        <v>46034.4375</v>
      </c>
      <c r="AK40" s="134" t="s">
        <v>96</v>
      </c>
      <c r="AL40" s="137">
        <v>45964.990347222221</v>
      </c>
      <c r="AM40" s="139"/>
      <c r="AN40" s="139"/>
      <c r="AO40" s="116">
        <v>46129</v>
      </c>
      <c r="AP40" s="134"/>
      <c r="AQ40" s="49"/>
      <c r="AR40" s="49"/>
      <c r="AS40" s="139"/>
      <c r="AT40" s="138"/>
      <c r="AU40" s="138"/>
      <c r="AV40" s="134"/>
      <c r="AW40" s="134"/>
      <c r="AX40" s="108" t="s">
        <v>97</v>
      </c>
      <c r="AY40" s="108" t="s">
        <v>98</v>
      </c>
      <c r="AZ40" s="134"/>
      <c r="BA40" s="134"/>
      <c r="BB40" s="134"/>
      <c r="BC40" s="134"/>
      <c r="BD40" s="123"/>
      <c r="BE40" s="123"/>
      <c r="BF40" s="123"/>
      <c r="BG40" s="123"/>
      <c r="BH40" s="123"/>
      <c r="BI40" s="123"/>
      <c r="BJ40" s="123"/>
      <c r="BK40" s="123"/>
      <c r="BL40" s="123"/>
      <c r="BM40" s="117" t="s">
        <v>208</v>
      </c>
      <c r="BN40" s="123"/>
      <c r="BO40" s="140"/>
      <c r="BP40" s="140"/>
      <c r="BQ40" s="140"/>
      <c r="BR40" s="123"/>
      <c r="BS40" s="141"/>
      <c r="BT40" s="123"/>
      <c r="BU40" s="141"/>
      <c r="BV40" s="123"/>
      <c r="BW40" s="123"/>
      <c r="BX40" s="123"/>
      <c r="BY40" s="123"/>
      <c r="BZ40" s="123"/>
      <c r="CA40" s="123"/>
      <c r="CB40" s="119"/>
      <c r="CC40" s="140"/>
      <c r="CD40" s="120">
        <v>46106</v>
      </c>
      <c r="CE40" s="120">
        <v>46108</v>
      </c>
      <c r="CF40" s="120">
        <v>46111</v>
      </c>
      <c r="CG40" s="123"/>
      <c r="CH40" s="120" t="s">
        <v>182</v>
      </c>
      <c r="CI40" s="120">
        <v>46084</v>
      </c>
      <c r="CJ40" s="123"/>
    </row>
    <row r="41" spans="1:88" ht="174" hidden="1">
      <c r="A41" s="106" t="s">
        <v>183</v>
      </c>
      <c r="B41" s="107">
        <f>8+7.5+7.5</f>
        <v>23</v>
      </c>
      <c r="C41" s="49">
        <v>23</v>
      </c>
      <c r="D41" s="107">
        <f>Tracker6[[#This Row],[Estimated Hrs]]-Tracker6[[#This Row],[Actual Efforts (Hrs)]]</f>
        <v>0</v>
      </c>
      <c r="E41" s="108"/>
      <c r="F41" s="108" t="s">
        <v>148</v>
      </c>
      <c r="G41" s="121" t="s">
        <v>148</v>
      </c>
      <c r="H41" s="109">
        <v>18860603</v>
      </c>
      <c r="I41" s="109">
        <v>18860603</v>
      </c>
      <c r="J41" s="108" t="s">
        <v>209</v>
      </c>
      <c r="K41" s="108" t="s">
        <v>118</v>
      </c>
      <c r="L41" s="108"/>
      <c r="M41" s="108"/>
      <c r="N41" s="146" t="s">
        <v>210</v>
      </c>
      <c r="O41" s="111" t="s">
        <v>106</v>
      </c>
      <c r="P41" s="111"/>
      <c r="Q41" s="123"/>
      <c r="R41" s="123"/>
      <c r="S41" s="123"/>
      <c r="T41" s="123"/>
      <c r="U41" s="134"/>
      <c r="V41" s="134"/>
      <c r="W41" s="134"/>
      <c r="X41" s="134"/>
      <c r="Y41" s="134"/>
      <c r="Z41" s="134"/>
      <c r="AA41" s="134"/>
      <c r="AC41" s="134"/>
      <c r="AD41" s="134"/>
      <c r="AE41" s="49"/>
      <c r="AF41" s="136"/>
      <c r="AG41" s="137">
        <v>46073</v>
      </c>
      <c r="AH41" s="134"/>
      <c r="AI41" s="134"/>
      <c r="AJ41" s="138"/>
      <c r="AK41" s="134"/>
      <c r="AL41" s="137"/>
      <c r="AM41" s="139"/>
      <c r="AN41" s="139"/>
      <c r="AO41" s="116">
        <v>46076</v>
      </c>
      <c r="AP41" s="134"/>
      <c r="AQ41" s="49"/>
      <c r="AR41" s="49"/>
      <c r="AS41" s="139">
        <v>46077</v>
      </c>
      <c r="AT41" s="138">
        <v>46076</v>
      </c>
      <c r="AU41" s="138">
        <v>46076</v>
      </c>
      <c r="AV41" s="134"/>
      <c r="AW41" s="134"/>
      <c r="AX41" s="108" t="s">
        <v>97</v>
      </c>
      <c r="AY41" s="108" t="s">
        <v>98</v>
      </c>
      <c r="AZ41" s="134"/>
      <c r="BA41" s="134"/>
      <c r="BB41" s="134"/>
      <c r="BC41" s="134"/>
      <c r="BD41" s="123"/>
      <c r="BE41" s="314"/>
      <c r="BF41" s="314"/>
      <c r="BG41" s="314"/>
      <c r="BH41" s="314"/>
      <c r="BI41" s="314"/>
      <c r="BJ41" s="314"/>
      <c r="BK41" s="314"/>
      <c r="BL41" s="314"/>
      <c r="BM41" s="117"/>
      <c r="BN41" s="314"/>
      <c r="BO41" s="311"/>
      <c r="BP41" s="311"/>
      <c r="BQ41" s="311"/>
      <c r="BR41" s="314"/>
      <c r="BS41" s="321"/>
      <c r="BT41" s="314"/>
      <c r="BU41" s="321"/>
      <c r="BV41" s="314"/>
      <c r="BW41" s="314"/>
      <c r="BX41" s="314"/>
      <c r="BY41" s="314"/>
      <c r="BZ41" s="314"/>
      <c r="CA41" s="314"/>
      <c r="CB41" s="143">
        <v>1</v>
      </c>
      <c r="CC41" s="311"/>
      <c r="CD41" s="120"/>
      <c r="CE41" s="120"/>
      <c r="CF41" s="120"/>
      <c r="CG41" s="123"/>
      <c r="CH41" s="120"/>
      <c r="CI41" s="120"/>
      <c r="CJ41" s="123"/>
    </row>
    <row r="42" spans="1:88" ht="57.95" hidden="1">
      <c r="A42" s="106" t="s">
        <v>183</v>
      </c>
      <c r="B42" s="107">
        <f>2</f>
        <v>2</v>
      </c>
      <c r="C42" s="49"/>
      <c r="D42" s="107"/>
      <c r="E42" s="108"/>
      <c r="F42" s="108"/>
      <c r="G42" s="121"/>
      <c r="H42" s="109">
        <v>17119227</v>
      </c>
      <c r="I42" s="109">
        <v>17119227</v>
      </c>
      <c r="J42" s="108"/>
      <c r="K42" s="108" t="s">
        <v>101</v>
      </c>
      <c r="L42" s="108"/>
      <c r="M42" s="108"/>
      <c r="N42" s="146" t="s">
        <v>211</v>
      </c>
      <c r="O42" s="111" t="s">
        <v>106</v>
      </c>
      <c r="P42" s="123"/>
      <c r="Q42" s="123"/>
      <c r="R42" s="123"/>
      <c r="S42" s="123"/>
      <c r="T42" s="123"/>
      <c r="U42" s="134"/>
      <c r="V42" s="134"/>
      <c r="W42" s="134"/>
      <c r="X42" s="134"/>
      <c r="Y42" s="134"/>
      <c r="Z42" s="134"/>
      <c r="AA42" s="134"/>
      <c r="AC42" s="134"/>
      <c r="AD42" s="134"/>
      <c r="AE42" s="49"/>
      <c r="AF42" s="317"/>
      <c r="AG42" s="318"/>
      <c r="AH42" s="146"/>
      <c r="AI42" s="146"/>
      <c r="AJ42" s="319"/>
      <c r="AK42" s="146"/>
      <c r="AL42" s="318"/>
      <c r="AM42" s="320"/>
      <c r="AN42" s="320"/>
      <c r="AO42" s="116"/>
      <c r="AP42" s="146"/>
      <c r="AQ42" s="316"/>
      <c r="AR42" s="316"/>
      <c r="AS42" s="320"/>
      <c r="AT42" s="319"/>
      <c r="AU42" s="319"/>
      <c r="AV42" s="146"/>
      <c r="AW42" s="146"/>
      <c r="AX42" s="108"/>
      <c r="AY42" s="108"/>
      <c r="AZ42" s="146"/>
      <c r="BA42" s="146"/>
      <c r="BB42" s="146"/>
      <c r="BC42" s="146"/>
      <c r="BD42" s="314"/>
      <c r="BE42" s="314"/>
      <c r="BF42" s="314"/>
      <c r="BG42" s="314"/>
      <c r="BH42" s="314"/>
      <c r="BI42" s="314"/>
      <c r="BJ42" s="314"/>
      <c r="BK42" s="314"/>
      <c r="BL42" s="314"/>
      <c r="BM42" s="117"/>
      <c r="BN42" s="314"/>
      <c r="BO42" s="311"/>
      <c r="BP42" s="311"/>
      <c r="BQ42" s="311"/>
      <c r="BR42" s="314"/>
      <c r="BS42" s="321"/>
      <c r="BT42" s="314"/>
      <c r="BU42" s="321"/>
      <c r="BV42" s="314"/>
      <c r="BW42" s="314"/>
      <c r="BX42" s="314"/>
      <c r="BY42" s="314"/>
      <c r="BZ42" s="314"/>
      <c r="CA42" s="314"/>
      <c r="CB42" s="143"/>
      <c r="CC42" s="311"/>
      <c r="CD42" s="120"/>
      <c r="CE42" s="120"/>
      <c r="CF42" s="120"/>
      <c r="CG42" s="123"/>
      <c r="CH42" s="120"/>
      <c r="CI42" s="120"/>
      <c r="CJ42" s="123"/>
    </row>
    <row r="43" spans="1:88" ht="409.5" hidden="1">
      <c r="A43" s="106" t="s">
        <v>212</v>
      </c>
      <c r="B43" s="107">
        <f>3+6.5+5+6.5+1+6.5+6.5+7+6+6.5+6.5+6+7+7+7+(8+6.5+8+7+7.5+8.5+7.5+8.5+7.5+6.5+8.5+7.5+8.5+8+8+8+8)</f>
        <v>220</v>
      </c>
      <c r="C43" s="49">
        <v>400</v>
      </c>
      <c r="D43" s="107">
        <f>Tracker6[[#This Row],[Estimated Hrs]]-Tracker6[[#This Row],[Actual Efforts (Hrs)]]</f>
        <v>180</v>
      </c>
      <c r="E43" s="108"/>
      <c r="F43" s="108"/>
      <c r="G43" s="121"/>
      <c r="H43" s="151">
        <v>15834223</v>
      </c>
      <c r="I43" s="109">
        <f>Tracker6[[#This Row],[DCR ID - PTC]]</f>
        <v>15834223</v>
      </c>
      <c r="J43" s="134" t="s">
        <v>213</v>
      </c>
      <c r="K43" s="108" t="s">
        <v>101</v>
      </c>
      <c r="L43" s="108"/>
      <c r="M43" s="108"/>
      <c r="N43" s="296" t="s">
        <v>214</v>
      </c>
      <c r="O43" s="111" t="s">
        <v>115</v>
      </c>
      <c r="P43" s="111"/>
      <c r="Q43" s="111"/>
      <c r="R43" s="111"/>
      <c r="S43" s="111"/>
      <c r="T43" s="111"/>
      <c r="U43" s="108"/>
      <c r="V43" s="108"/>
      <c r="W43" s="108"/>
      <c r="X43" s="108"/>
      <c r="Y43" s="108"/>
      <c r="Z43" s="108"/>
      <c r="AA43" s="108" t="s">
        <v>107</v>
      </c>
      <c r="AB43" s="112"/>
      <c r="AC43" s="108"/>
      <c r="AD43" s="108" t="s">
        <v>146</v>
      </c>
      <c r="AE43" s="107"/>
      <c r="AF43" s="317"/>
      <c r="AG43" s="318"/>
      <c r="AH43" s="146" t="s">
        <v>109</v>
      </c>
      <c r="AI43" s="146" t="s">
        <v>95</v>
      </c>
      <c r="AJ43" s="319">
        <v>45994.4375</v>
      </c>
      <c r="AK43" s="146" t="s">
        <v>96</v>
      </c>
      <c r="AL43" s="318">
        <v>45714.914398148147</v>
      </c>
      <c r="AM43" s="320"/>
      <c r="AN43" s="320"/>
      <c r="AO43" s="116">
        <v>46142</v>
      </c>
      <c r="AP43" s="146"/>
      <c r="AQ43" s="316"/>
      <c r="AR43" s="316"/>
      <c r="AS43" s="320"/>
      <c r="AT43" s="319"/>
      <c r="AU43" s="319"/>
      <c r="AV43" s="146"/>
      <c r="AW43" s="146"/>
      <c r="AX43" s="108" t="s">
        <v>97</v>
      </c>
      <c r="AY43" s="108" t="s">
        <v>98</v>
      </c>
      <c r="AZ43" s="146"/>
      <c r="BA43" s="146"/>
      <c r="BB43" s="146"/>
      <c r="BC43" s="146"/>
      <c r="BD43" s="314"/>
      <c r="BE43" s="314"/>
      <c r="BF43" s="314"/>
      <c r="BG43" s="314"/>
      <c r="BH43" s="314"/>
      <c r="BI43" s="314"/>
      <c r="BJ43" s="314"/>
      <c r="BK43" s="314"/>
      <c r="BL43" s="314"/>
      <c r="BM43" s="117" t="s">
        <v>215</v>
      </c>
      <c r="BN43" s="314"/>
      <c r="BO43" s="311"/>
      <c r="BP43" s="311"/>
      <c r="BQ43" s="311"/>
      <c r="BR43" s="314"/>
      <c r="BS43" s="321"/>
      <c r="BT43" s="314"/>
      <c r="BU43" s="321"/>
      <c r="BV43" s="314"/>
      <c r="BW43" s="314"/>
      <c r="BX43" s="314"/>
      <c r="BY43" s="314"/>
      <c r="BZ43" s="314"/>
      <c r="CA43" s="314"/>
      <c r="CB43" s="119"/>
      <c r="CC43" s="311"/>
      <c r="CD43" s="120">
        <v>0</v>
      </c>
      <c r="CE43" s="120">
        <v>0</v>
      </c>
      <c r="CF43" s="120">
        <v>0</v>
      </c>
      <c r="CG43" s="123"/>
      <c r="CH43" s="120" t="s">
        <v>112</v>
      </c>
      <c r="CI43" s="120">
        <v>0</v>
      </c>
      <c r="CJ43" s="123"/>
    </row>
    <row r="44" spans="1:88" ht="57.95" hidden="1">
      <c r="A44" s="134" t="s">
        <v>212</v>
      </c>
      <c r="B44" s="49">
        <v>115.5</v>
      </c>
      <c r="C44" s="49" t="e">
        <v>#N/A</v>
      </c>
      <c r="D44" s="49"/>
      <c r="E44" s="134"/>
      <c r="F44" s="134" t="s">
        <v>216</v>
      </c>
      <c r="G44" s="134"/>
      <c r="H44" s="154">
        <v>18142750</v>
      </c>
      <c r="I44" s="109">
        <f>Tracker6[[#This Row],[DCR ID - PTC]]</f>
        <v>18142750</v>
      </c>
      <c r="J44" s="268" t="s">
        <v>217</v>
      </c>
      <c r="K44" s="108" t="s">
        <v>176</v>
      </c>
      <c r="L44" s="134" t="s">
        <v>165</v>
      </c>
      <c r="M44" s="134"/>
      <c r="N44" s="146"/>
      <c r="O44" s="111"/>
      <c r="P44" s="111"/>
      <c r="Q44" s="111"/>
      <c r="R44" s="111"/>
      <c r="S44" s="111"/>
      <c r="T44" s="111"/>
      <c r="U44" s="108"/>
      <c r="V44" s="108"/>
      <c r="W44" s="108"/>
      <c r="X44" s="108"/>
      <c r="Y44" s="108"/>
      <c r="Z44" s="108"/>
      <c r="AA44" s="108" t="s">
        <v>139</v>
      </c>
      <c r="AB44" s="112"/>
      <c r="AC44" s="108" t="s">
        <v>165</v>
      </c>
      <c r="AD44" s="108" t="s">
        <v>116</v>
      </c>
      <c r="AE44" s="107"/>
      <c r="AF44" s="113"/>
      <c r="AG44" s="115">
        <v>46010.061319444445</v>
      </c>
      <c r="AH44" s="146" t="s">
        <v>94</v>
      </c>
      <c r="AI44" s="146" t="s">
        <v>95</v>
      </c>
      <c r="AJ44" s="319">
        <v>45823.395833333336</v>
      </c>
      <c r="AK44" s="146" t="s">
        <v>218</v>
      </c>
      <c r="AL44" s="318">
        <v>46000.996736111112</v>
      </c>
      <c r="AM44" s="320"/>
      <c r="AN44" s="320"/>
      <c r="AO44" s="116" t="e">
        <v>#N/A</v>
      </c>
      <c r="AP44" s="146"/>
      <c r="AQ44" s="316"/>
      <c r="AR44" s="316"/>
      <c r="AS44" s="116"/>
      <c r="AT44" s="114"/>
      <c r="AU44" s="114"/>
      <c r="AV44" s="146"/>
      <c r="AW44" s="146"/>
      <c r="AX44" s="108" t="s">
        <v>97</v>
      </c>
      <c r="AY44" s="108" t="s">
        <v>98</v>
      </c>
      <c r="AZ44" s="146"/>
      <c r="BA44" s="146"/>
      <c r="BB44" s="146"/>
      <c r="BC44" s="146"/>
      <c r="BD44" s="314"/>
      <c r="BE44" s="314"/>
      <c r="BF44" s="314"/>
      <c r="BG44" s="314"/>
      <c r="BH44" s="314"/>
      <c r="BI44" s="314"/>
      <c r="BJ44" s="314"/>
      <c r="BK44" s="314"/>
      <c r="BL44" s="314"/>
      <c r="BM44" s="117" t="e">
        <v>#N/A</v>
      </c>
      <c r="BN44" s="314"/>
      <c r="BO44" s="311"/>
      <c r="BP44" s="311"/>
      <c r="BQ44" s="311"/>
      <c r="BR44" s="314"/>
      <c r="BS44" s="321"/>
      <c r="BT44" s="314"/>
      <c r="BU44" s="321"/>
      <c r="BV44" s="314"/>
      <c r="BW44" s="314"/>
      <c r="BX44" s="314"/>
      <c r="BY44" s="314"/>
      <c r="BZ44" s="314"/>
      <c r="CA44" s="314"/>
      <c r="CB44" s="119"/>
      <c r="CC44" s="311"/>
      <c r="CD44" s="120" t="e">
        <v>#N/A</v>
      </c>
      <c r="CE44" s="120" t="e">
        <v>#N/A</v>
      </c>
      <c r="CF44" s="120" t="e">
        <v>#N/A</v>
      </c>
      <c r="CG44" s="123"/>
      <c r="CH44" s="120" t="e">
        <v>#N/A</v>
      </c>
      <c r="CI44" s="120" t="e">
        <v>#N/A</v>
      </c>
      <c r="CJ44" s="123"/>
    </row>
    <row r="45" spans="1:88" ht="409.5" hidden="1">
      <c r="A45" s="147" t="s">
        <v>219</v>
      </c>
      <c r="B45" s="49">
        <f>6+1+2+6+7+7+6+1+2+1+2+1+2+1+1+6.5+5+(8+1+9)+1+1+1+1</f>
        <v>79.5</v>
      </c>
      <c r="C45" s="49">
        <f>79+80</f>
        <v>159</v>
      </c>
      <c r="D45" s="107">
        <f>Tracker6[[#This Row],[Estimated Hrs]]-Tracker6[[#This Row],[Actual Efforts (Hrs)]]</f>
        <v>79.5</v>
      </c>
      <c r="E45" s="134"/>
      <c r="F45" s="108"/>
      <c r="G45" s="121"/>
      <c r="H45" s="154">
        <v>17803153</v>
      </c>
      <c r="I45" s="109">
        <f>Tracker6[[#This Row],[DCR ID - PTC]]</f>
        <v>17803153</v>
      </c>
      <c r="J45" s="134" t="s">
        <v>205</v>
      </c>
      <c r="K45" s="108" t="s">
        <v>104</v>
      </c>
      <c r="L45" s="134"/>
      <c r="M45" s="134"/>
      <c r="N45" s="146" t="s">
        <v>220</v>
      </c>
      <c r="O45" s="108" t="s">
        <v>115</v>
      </c>
      <c r="P45" s="123"/>
      <c r="Q45" s="123"/>
      <c r="R45" s="123"/>
      <c r="S45" s="123"/>
      <c r="T45" s="123"/>
      <c r="U45" s="134"/>
      <c r="V45" s="134"/>
      <c r="W45" s="134"/>
      <c r="X45" s="134"/>
      <c r="Y45" s="134"/>
      <c r="Z45" s="134"/>
      <c r="AA45" s="134" t="s">
        <v>139</v>
      </c>
      <c r="AC45" s="134"/>
      <c r="AD45" s="134" t="s">
        <v>93</v>
      </c>
      <c r="AE45" s="49"/>
      <c r="AF45" s="136"/>
      <c r="AG45" s="137">
        <v>46066</v>
      </c>
      <c r="AH45" s="134" t="s">
        <v>109</v>
      </c>
      <c r="AI45" s="134" t="s">
        <v>95</v>
      </c>
      <c r="AJ45" s="138">
        <v>46034.4375</v>
      </c>
      <c r="AK45" s="134" t="s">
        <v>96</v>
      </c>
      <c r="AL45" s="137">
        <v>45964.990347222221</v>
      </c>
      <c r="AM45" s="139"/>
      <c r="AN45" s="139"/>
      <c r="AO45" s="116">
        <v>46136</v>
      </c>
      <c r="AP45" s="134"/>
      <c r="AQ45" s="49"/>
      <c r="AR45" s="49"/>
      <c r="AS45" s="139"/>
      <c r="AT45" s="138"/>
      <c r="AU45" s="138"/>
      <c r="AV45" s="134"/>
      <c r="AW45" s="134"/>
      <c r="AX45" s="108" t="s">
        <v>97</v>
      </c>
      <c r="AY45" s="108" t="s">
        <v>98</v>
      </c>
      <c r="AZ45" s="134"/>
      <c r="BA45" s="134"/>
      <c r="BB45" s="134"/>
      <c r="BC45" s="134"/>
      <c r="BD45" s="123"/>
      <c r="BE45" s="123"/>
      <c r="BF45" s="123"/>
      <c r="BG45" s="123"/>
      <c r="BH45" s="123"/>
      <c r="BI45" s="123"/>
      <c r="BJ45" s="123"/>
      <c r="BK45" s="123"/>
      <c r="BL45" s="123"/>
      <c r="BM45" s="117" t="s">
        <v>208</v>
      </c>
      <c r="BN45" s="123"/>
      <c r="BO45" s="140"/>
      <c r="BP45" s="140"/>
      <c r="BQ45" s="140"/>
      <c r="BR45" s="123"/>
      <c r="BS45" s="141"/>
      <c r="BT45" s="123"/>
      <c r="BU45" s="141"/>
      <c r="BV45" s="123"/>
      <c r="BW45" s="123"/>
      <c r="BX45" s="123"/>
      <c r="BY45" s="123"/>
      <c r="BZ45" s="123"/>
      <c r="CA45" s="123"/>
      <c r="CB45" s="143">
        <v>0.8</v>
      </c>
      <c r="CC45" s="140"/>
      <c r="CD45" s="120">
        <v>46076</v>
      </c>
      <c r="CE45" s="120">
        <v>46077</v>
      </c>
      <c r="CF45" s="120">
        <v>46079</v>
      </c>
      <c r="CG45" s="123"/>
      <c r="CH45" s="120" t="s">
        <v>182</v>
      </c>
      <c r="CI45" s="120">
        <v>46084</v>
      </c>
      <c r="CJ45" s="123"/>
    </row>
    <row r="46" spans="1:88" ht="87" hidden="1">
      <c r="A46" s="106" t="s">
        <v>221</v>
      </c>
      <c r="B46" s="107">
        <v>0</v>
      </c>
      <c r="C46" s="49" t="e">
        <v>#N/A</v>
      </c>
      <c r="D46" s="107">
        <v>0</v>
      </c>
      <c r="E46" s="108"/>
      <c r="F46" s="108"/>
      <c r="G46" s="121"/>
      <c r="H46" s="151">
        <v>18431092</v>
      </c>
      <c r="I46" s="109">
        <f>Tracker6[[#This Row],[DCR ID - PTC]]</f>
        <v>18431092</v>
      </c>
      <c r="J46" s="108" t="s">
        <v>222</v>
      </c>
      <c r="K46" s="108" t="s">
        <v>176</v>
      </c>
      <c r="L46" s="108" t="s">
        <v>223</v>
      </c>
      <c r="M46" s="108"/>
      <c r="N46" s="146"/>
      <c r="O46" s="111"/>
      <c r="P46" s="111"/>
      <c r="Q46" s="111"/>
      <c r="R46" s="111"/>
      <c r="S46" s="111"/>
      <c r="T46" s="111"/>
      <c r="U46" s="108"/>
      <c r="V46" s="108"/>
      <c r="W46" s="108"/>
      <c r="X46" s="108"/>
      <c r="Y46" s="108"/>
      <c r="Z46" s="108"/>
      <c r="AA46" s="108"/>
      <c r="AB46" s="112"/>
      <c r="AC46" s="108" t="s">
        <v>223</v>
      </c>
      <c r="AD46" s="108" t="s">
        <v>93</v>
      </c>
      <c r="AE46" s="107"/>
      <c r="AF46" s="113"/>
      <c r="AG46" s="115"/>
      <c r="AH46" s="108" t="s">
        <v>109</v>
      </c>
      <c r="AI46" s="108" t="s">
        <v>95</v>
      </c>
      <c r="AJ46" s="114">
        <v>46112</v>
      </c>
      <c r="AK46" s="108" t="s">
        <v>218</v>
      </c>
      <c r="AL46" s="115">
        <v>46036.957187499997</v>
      </c>
      <c r="AM46" s="116"/>
      <c r="AN46" s="116"/>
      <c r="AO46" s="116" t="e">
        <v>#N/A</v>
      </c>
      <c r="AP46" s="108"/>
      <c r="AQ46" s="107"/>
      <c r="AR46" s="107"/>
      <c r="AS46" s="116"/>
      <c r="AT46" s="114"/>
      <c r="AU46" s="114"/>
      <c r="AV46" s="108"/>
      <c r="AW46" s="108"/>
      <c r="AX46" s="108" t="s">
        <v>97</v>
      </c>
      <c r="AY46" s="108" t="s">
        <v>98</v>
      </c>
      <c r="AZ46" s="108"/>
      <c r="BA46" s="108"/>
      <c r="BB46" s="108"/>
      <c r="BC46" s="108"/>
      <c r="BD46" s="111"/>
      <c r="BE46" s="111"/>
      <c r="BF46" s="111"/>
      <c r="BG46" s="111"/>
      <c r="BH46" s="111"/>
      <c r="BI46" s="111"/>
      <c r="BJ46" s="111"/>
      <c r="BK46" s="111"/>
      <c r="BL46" s="111"/>
      <c r="BM46" s="117" t="e">
        <v>#N/A</v>
      </c>
      <c r="BN46" s="111"/>
      <c r="BO46" s="117"/>
      <c r="BP46" s="117"/>
      <c r="BQ46" s="117"/>
      <c r="BR46" s="111"/>
      <c r="BS46" s="118"/>
      <c r="BT46" s="111"/>
      <c r="BU46" s="118"/>
      <c r="BV46" s="111"/>
      <c r="BW46" s="111"/>
      <c r="BX46" s="111"/>
      <c r="BY46" s="111"/>
      <c r="BZ46" s="111"/>
      <c r="CA46" s="111"/>
      <c r="CB46" s="143"/>
      <c r="CC46" s="117"/>
      <c r="CD46" s="120" t="e">
        <v>#N/A</v>
      </c>
      <c r="CE46" s="120" t="e">
        <v>#N/A</v>
      </c>
      <c r="CF46" s="120" t="e">
        <v>#N/A</v>
      </c>
      <c r="CG46" s="123"/>
      <c r="CH46" s="120" t="e">
        <v>#N/A</v>
      </c>
      <c r="CI46" s="120" t="e">
        <v>#N/A</v>
      </c>
      <c r="CJ46" s="123"/>
    </row>
    <row r="47" spans="1:88" ht="57.95" hidden="1" customHeight="1">
      <c r="A47" s="147" t="s">
        <v>221</v>
      </c>
      <c r="B47" s="49"/>
      <c r="C47" s="49">
        <v>42.5</v>
      </c>
      <c r="D47" s="49"/>
      <c r="E47" s="134"/>
      <c r="F47" s="134"/>
      <c r="G47" s="108"/>
      <c r="H47" s="253">
        <v>18802857</v>
      </c>
      <c r="I47" s="274">
        <v>18802857</v>
      </c>
      <c r="J47" s="329" t="s">
        <v>224</v>
      </c>
      <c r="K47" s="108" t="s">
        <v>118</v>
      </c>
      <c r="L47" s="134"/>
      <c r="M47" s="134"/>
      <c r="N47" s="146"/>
      <c r="O47" s="111" t="s">
        <v>207</v>
      </c>
      <c r="P47" s="123"/>
      <c r="Q47" s="123"/>
      <c r="R47" s="123"/>
      <c r="S47" s="123"/>
      <c r="T47" s="123"/>
      <c r="U47" s="134"/>
      <c r="V47" s="134"/>
      <c r="W47" s="134"/>
      <c r="X47" s="134"/>
      <c r="Y47" s="134"/>
      <c r="Z47" s="134"/>
      <c r="AA47" s="134"/>
      <c r="AC47" s="134"/>
      <c r="AD47" s="134"/>
      <c r="AE47" s="49"/>
      <c r="AF47" s="136"/>
      <c r="AG47" s="137"/>
      <c r="AH47" s="134"/>
      <c r="AI47" s="134"/>
      <c r="AJ47" s="138"/>
      <c r="AK47" s="134"/>
      <c r="AL47" s="137"/>
      <c r="AM47" s="139"/>
      <c r="AN47" s="139"/>
      <c r="AO47" s="116">
        <v>46112</v>
      </c>
      <c r="AP47" s="134"/>
      <c r="AQ47" s="49"/>
      <c r="AR47" s="49"/>
      <c r="AS47" s="116"/>
      <c r="AT47" s="114"/>
      <c r="AU47" s="114"/>
      <c r="AV47" s="134"/>
      <c r="AW47" s="134"/>
      <c r="AX47" s="108" t="s">
        <v>97</v>
      </c>
      <c r="AY47" s="108" t="s">
        <v>98</v>
      </c>
      <c r="AZ47" s="134"/>
      <c r="BA47" s="134"/>
      <c r="BB47" s="134"/>
      <c r="BC47" s="134"/>
      <c r="BD47" s="123"/>
      <c r="BE47" s="123"/>
      <c r="BF47" s="123"/>
      <c r="BG47" s="123"/>
      <c r="BH47" s="123"/>
      <c r="BI47" s="123"/>
      <c r="BJ47" s="123"/>
      <c r="BK47" s="123"/>
      <c r="BL47" s="123"/>
      <c r="BM47" s="117" t="s">
        <v>225</v>
      </c>
      <c r="BN47" s="123"/>
      <c r="BO47" s="140"/>
      <c r="BP47" s="140"/>
      <c r="BQ47" s="140"/>
      <c r="BR47" s="123"/>
      <c r="BS47" s="141"/>
      <c r="BT47" s="123"/>
      <c r="BU47" s="141"/>
      <c r="BV47" s="123"/>
      <c r="BW47" s="123"/>
      <c r="BX47" s="123"/>
      <c r="BY47" s="123"/>
      <c r="BZ47" s="123"/>
      <c r="CA47" s="123"/>
      <c r="CB47" s="119"/>
      <c r="CC47" s="117"/>
      <c r="CD47" s="120">
        <v>46106</v>
      </c>
      <c r="CE47" s="120">
        <v>46108</v>
      </c>
      <c r="CF47" s="120">
        <v>46111</v>
      </c>
      <c r="CG47" s="123"/>
      <c r="CH47" s="120" t="s">
        <v>182</v>
      </c>
      <c r="CI47" s="120">
        <v>46084</v>
      </c>
      <c r="CJ47" s="314"/>
    </row>
    <row r="48" spans="1:88" ht="72.599999999999994" hidden="1" customHeight="1">
      <c r="A48" s="106" t="s">
        <v>221</v>
      </c>
      <c r="B48" s="107"/>
      <c r="C48" s="49">
        <v>85</v>
      </c>
      <c r="D48" s="107"/>
      <c r="E48" s="108"/>
      <c r="F48" s="108"/>
      <c r="G48" s="108"/>
      <c r="H48" s="274">
        <v>18815112</v>
      </c>
      <c r="I48" s="274">
        <v>18815112</v>
      </c>
      <c r="J48" s="330" t="s">
        <v>226</v>
      </c>
      <c r="K48" s="108" t="s">
        <v>118</v>
      </c>
      <c r="L48" s="108"/>
      <c r="M48" s="108"/>
      <c r="N48" s="146"/>
      <c r="O48" s="111" t="s">
        <v>207</v>
      </c>
      <c r="P48" s="111"/>
      <c r="Q48" s="111"/>
      <c r="R48" s="111"/>
      <c r="S48" s="111"/>
      <c r="T48" s="111"/>
      <c r="U48" s="108"/>
      <c r="V48" s="108"/>
      <c r="W48" s="108"/>
      <c r="X48" s="108"/>
      <c r="Y48" s="108"/>
      <c r="Z48" s="108"/>
      <c r="AA48" s="108"/>
      <c r="AB48" s="112"/>
      <c r="AC48" s="108"/>
      <c r="AD48" s="108"/>
      <c r="AE48" s="107"/>
      <c r="AF48" s="113"/>
      <c r="AG48" s="115"/>
      <c r="AH48" s="108"/>
      <c r="AI48" s="108"/>
      <c r="AJ48" s="114"/>
      <c r="AK48" s="108"/>
      <c r="AL48" s="115"/>
      <c r="AM48" s="116"/>
      <c r="AN48" s="116"/>
      <c r="AO48" s="116">
        <v>46112</v>
      </c>
      <c r="AP48" s="108"/>
      <c r="AQ48" s="107"/>
      <c r="AR48" s="107"/>
      <c r="AS48" s="116"/>
      <c r="AT48" s="114"/>
      <c r="AU48" s="114"/>
      <c r="AV48" s="108"/>
      <c r="AW48" s="108"/>
      <c r="AX48" s="108" t="s">
        <v>97</v>
      </c>
      <c r="AY48" s="108" t="s">
        <v>98</v>
      </c>
      <c r="AZ48" s="108"/>
      <c r="BA48" s="108"/>
      <c r="BB48" s="108"/>
      <c r="BC48" s="108"/>
      <c r="BD48" s="111"/>
      <c r="BE48" s="111"/>
      <c r="BF48" s="111"/>
      <c r="BG48" s="111"/>
      <c r="BH48" s="111"/>
      <c r="BI48" s="111"/>
      <c r="BJ48" s="111"/>
      <c r="BK48" s="111"/>
      <c r="BL48" s="111"/>
      <c r="BM48" s="117" t="s">
        <v>227</v>
      </c>
      <c r="BN48" s="111"/>
      <c r="BO48" s="117"/>
      <c r="BP48" s="117"/>
      <c r="BQ48" s="117"/>
      <c r="BR48" s="111"/>
      <c r="BS48" s="118"/>
      <c r="BT48" s="111"/>
      <c r="BU48" s="118"/>
      <c r="BV48" s="111"/>
      <c r="BW48" s="111"/>
      <c r="BX48" s="111"/>
      <c r="BY48" s="111"/>
      <c r="BZ48" s="111"/>
      <c r="CA48" s="111"/>
      <c r="CB48" s="119"/>
      <c r="CC48" s="117"/>
      <c r="CD48" s="120">
        <v>46106</v>
      </c>
      <c r="CE48" s="120">
        <v>46108</v>
      </c>
      <c r="CF48" s="120">
        <v>46111</v>
      </c>
      <c r="CG48" s="111"/>
      <c r="CH48" s="120" t="s">
        <v>182</v>
      </c>
      <c r="CI48" s="120">
        <v>46084</v>
      </c>
      <c r="CJ48" s="314"/>
    </row>
    <row r="49" spans="1:88" ht="217.5" hidden="1">
      <c r="A49" s="106" t="s">
        <v>228</v>
      </c>
      <c r="B49" s="107">
        <f>(7+7)+5+3+6.5+4+1+1.5+1</f>
        <v>36</v>
      </c>
      <c r="C49" s="49">
        <v>36</v>
      </c>
      <c r="D49" s="107">
        <f>Tracker6[[#This Row],[Estimated Hrs]]-Tracker6[[#This Row],[Actual Efforts (Hrs)]]</f>
        <v>0</v>
      </c>
      <c r="E49" s="108"/>
      <c r="F49" s="108"/>
      <c r="G49" s="121"/>
      <c r="H49" s="109">
        <v>15725020</v>
      </c>
      <c r="I49" s="109">
        <v>15725020</v>
      </c>
      <c r="J49" s="108" t="s">
        <v>229</v>
      </c>
      <c r="K49" s="108" t="s">
        <v>104</v>
      </c>
      <c r="L49" s="108"/>
      <c r="M49" s="108"/>
      <c r="N49" s="146" t="s">
        <v>230</v>
      </c>
      <c r="O49" s="111" t="s">
        <v>231</v>
      </c>
      <c r="P49" s="123"/>
      <c r="Q49" s="111"/>
      <c r="R49" s="314"/>
      <c r="S49" s="314"/>
      <c r="T49" s="123"/>
      <c r="U49" s="134"/>
      <c r="V49" s="134"/>
      <c r="W49" s="134"/>
      <c r="X49" s="146"/>
      <c r="Y49" s="146"/>
      <c r="Z49" s="146"/>
      <c r="AA49" s="146"/>
      <c r="AB49" s="315"/>
      <c r="AC49" s="146"/>
      <c r="AD49" s="146"/>
      <c r="AE49" s="316"/>
      <c r="AF49" s="113"/>
      <c r="AG49" s="115">
        <v>46064</v>
      </c>
      <c r="AH49" s="146"/>
      <c r="AI49" s="146"/>
      <c r="AJ49" s="319"/>
      <c r="AK49" s="146"/>
      <c r="AL49" s="318"/>
      <c r="AM49" s="320"/>
      <c r="AN49" s="320"/>
      <c r="AO49" s="116">
        <v>46127</v>
      </c>
      <c r="AP49" s="146"/>
      <c r="AQ49" s="316"/>
      <c r="AR49" s="316"/>
      <c r="AS49" s="116"/>
      <c r="AT49" s="114"/>
      <c r="AU49" s="114"/>
      <c r="AV49" s="146"/>
      <c r="AW49" s="146"/>
      <c r="AX49" s="108" t="s">
        <v>97</v>
      </c>
      <c r="AY49" s="108" t="s">
        <v>98</v>
      </c>
      <c r="AZ49" s="146"/>
      <c r="BA49" s="146"/>
      <c r="BB49" s="146"/>
      <c r="BC49" s="146"/>
      <c r="BD49" s="314"/>
      <c r="BE49" s="314"/>
      <c r="BF49" s="314"/>
      <c r="BG49" s="314"/>
      <c r="BH49" s="314"/>
      <c r="BI49" s="314"/>
      <c r="BJ49" s="314"/>
      <c r="BK49" s="314"/>
      <c r="BL49" s="314"/>
      <c r="BM49" s="117">
        <v>0</v>
      </c>
      <c r="BN49" s="314"/>
      <c r="BO49" s="311"/>
      <c r="BP49" s="311"/>
      <c r="BQ49" s="311"/>
      <c r="BR49" s="314"/>
      <c r="BS49" s="321"/>
      <c r="BT49" s="314"/>
      <c r="BU49" s="321"/>
      <c r="BV49" s="314"/>
      <c r="BW49" s="314"/>
      <c r="BX49" s="314"/>
      <c r="BY49" s="314"/>
      <c r="BZ49" s="314"/>
      <c r="CA49" s="314"/>
      <c r="CB49" s="119">
        <v>0.4</v>
      </c>
      <c r="CC49" s="311"/>
      <c r="CD49" s="120">
        <v>46104</v>
      </c>
      <c r="CE49" s="120">
        <v>46106</v>
      </c>
      <c r="CF49" s="120">
        <v>46108</v>
      </c>
      <c r="CG49" s="314"/>
      <c r="CH49" s="120">
        <v>0</v>
      </c>
      <c r="CI49" s="120" t="s">
        <v>125</v>
      </c>
      <c r="CJ49" s="123"/>
    </row>
    <row r="50" spans="1:88" ht="57.95" hidden="1">
      <c r="A50" s="147" t="s">
        <v>228</v>
      </c>
      <c r="B50" s="49">
        <f>2+5</f>
        <v>7</v>
      </c>
      <c r="C50" s="49">
        <v>7</v>
      </c>
      <c r="D50" s="49">
        <f>Tracker6[[#This Row],[Estimated Hrs]]-Tracker6[[#This Row],[Actual Efforts (Hrs)]]</f>
        <v>0</v>
      </c>
      <c r="E50" s="134"/>
      <c r="F50" s="108"/>
      <c r="G50" s="108"/>
      <c r="H50" s="135">
        <v>18218093</v>
      </c>
      <c r="I50" s="109">
        <v>18218093</v>
      </c>
      <c r="J50" s="107" t="s">
        <v>232</v>
      </c>
      <c r="K50" s="107" t="s">
        <v>104</v>
      </c>
      <c r="L50" s="134"/>
      <c r="M50" s="134"/>
      <c r="N50" s="146" t="s">
        <v>233</v>
      </c>
      <c r="O50" s="111" t="s">
        <v>234</v>
      </c>
      <c r="P50" s="123"/>
      <c r="Q50" s="123"/>
      <c r="R50" s="123"/>
      <c r="S50" s="123"/>
      <c r="T50" s="123"/>
      <c r="U50" s="134"/>
      <c r="V50" s="134"/>
      <c r="W50" s="134"/>
      <c r="X50" s="134"/>
      <c r="Y50" s="134"/>
      <c r="Z50" s="134"/>
      <c r="AA50" s="134"/>
      <c r="AC50" s="134"/>
      <c r="AD50" s="134"/>
      <c r="AE50" s="49"/>
      <c r="AF50" s="136"/>
      <c r="AG50" s="137"/>
      <c r="AH50" s="134"/>
      <c r="AI50" s="134"/>
      <c r="AJ50" s="138"/>
      <c r="AK50" s="134"/>
      <c r="AL50" s="137"/>
      <c r="AM50" s="139"/>
      <c r="AN50" s="139"/>
      <c r="AO50" s="116">
        <v>46080</v>
      </c>
      <c r="AP50" s="134"/>
      <c r="AQ50" s="49"/>
      <c r="AR50" s="49"/>
      <c r="AS50" s="116"/>
      <c r="AT50" s="114"/>
      <c r="AU50" s="114"/>
      <c r="AV50" s="134"/>
      <c r="AW50" s="134"/>
      <c r="AX50" s="108" t="s">
        <v>97</v>
      </c>
      <c r="AY50" s="108" t="s">
        <v>98</v>
      </c>
      <c r="AZ50" s="134"/>
      <c r="BA50" s="134"/>
      <c r="BB50" s="134"/>
      <c r="BC50" s="134"/>
      <c r="BD50" s="123"/>
      <c r="BE50" s="123"/>
      <c r="BF50" s="123"/>
      <c r="BG50" s="123"/>
      <c r="BH50" s="123"/>
      <c r="BI50" s="123"/>
      <c r="BJ50" s="123"/>
      <c r="BK50" s="123"/>
      <c r="BL50" s="123"/>
      <c r="BM50" s="117">
        <v>0</v>
      </c>
      <c r="BN50" s="123"/>
      <c r="BO50" s="140"/>
      <c r="BP50" s="140"/>
      <c r="BQ50" s="140"/>
      <c r="BR50" s="123"/>
      <c r="BS50" s="141"/>
      <c r="BT50" s="123"/>
      <c r="BU50" s="141"/>
      <c r="BV50" s="123"/>
      <c r="BW50" s="123"/>
      <c r="BX50" s="123"/>
      <c r="BY50" s="123"/>
      <c r="BZ50" s="123"/>
      <c r="CA50" s="123"/>
      <c r="CB50" s="143" t="s">
        <v>125</v>
      </c>
      <c r="CC50" s="140"/>
      <c r="CD50" s="120">
        <v>46073</v>
      </c>
      <c r="CE50" s="120">
        <v>46076</v>
      </c>
      <c r="CF50" s="120">
        <v>46078</v>
      </c>
      <c r="CG50" s="123"/>
      <c r="CH50" s="120">
        <v>0</v>
      </c>
      <c r="CI50" s="120" t="s">
        <v>125</v>
      </c>
      <c r="CJ50" s="123"/>
    </row>
    <row r="51" spans="1:88" ht="409.5">
      <c r="A51" s="106" t="s">
        <v>228</v>
      </c>
      <c r="B51" s="107">
        <f>1.5+0.5+1+0.5+0.5+2+2+1+1.5+1+1+4.5+5.5+6+6+5.5+7+7+7+7.5+2+1.5+1+1+1</f>
        <v>75</v>
      </c>
      <c r="C51" s="49">
        <v>75</v>
      </c>
      <c r="D51" s="107">
        <f>Tracker6[[#This Row],[Estimated Hrs]]-Tracker6[[#This Row],[Actual Efforts (Hrs)]]</f>
        <v>0</v>
      </c>
      <c r="E51" s="108"/>
      <c r="F51" s="108"/>
      <c r="G51" s="121"/>
      <c r="H51" s="109">
        <v>13471314</v>
      </c>
      <c r="I51" s="109">
        <v>13471314</v>
      </c>
      <c r="J51" s="49" t="s">
        <v>235</v>
      </c>
      <c r="K51" s="107" t="s">
        <v>118</v>
      </c>
      <c r="L51" s="108"/>
      <c r="M51" s="108"/>
      <c r="N51" s="108" t="s">
        <v>236</v>
      </c>
      <c r="O51" s="111" t="s">
        <v>115</v>
      </c>
      <c r="P51" s="111"/>
      <c r="Q51" s="111"/>
      <c r="R51" s="111"/>
      <c r="S51" s="111"/>
      <c r="T51" s="111"/>
      <c r="U51" s="108"/>
      <c r="V51" s="108"/>
      <c r="W51" s="108"/>
      <c r="X51" s="108"/>
      <c r="Y51" s="108"/>
      <c r="Z51" s="108"/>
      <c r="AA51" s="108"/>
      <c r="AB51" s="112"/>
      <c r="AC51" s="108"/>
      <c r="AD51" s="108"/>
      <c r="AE51" s="107"/>
      <c r="AF51" s="113"/>
      <c r="AG51" s="115"/>
      <c r="AH51" s="108"/>
      <c r="AI51" s="108"/>
      <c r="AJ51" s="114"/>
      <c r="AK51" s="108"/>
      <c r="AL51" s="115"/>
      <c r="AM51" s="116"/>
      <c r="AN51" s="116"/>
      <c r="AO51" s="116">
        <v>46129</v>
      </c>
      <c r="AP51" s="108"/>
      <c r="AQ51" s="107"/>
      <c r="AR51" s="107"/>
      <c r="AS51" s="116"/>
      <c r="AT51" s="114"/>
      <c r="AU51" s="114"/>
      <c r="AV51" s="108"/>
      <c r="AW51" s="108"/>
      <c r="AX51" s="108" t="s">
        <v>97</v>
      </c>
      <c r="AY51" s="108" t="s">
        <v>98</v>
      </c>
      <c r="AZ51" s="108"/>
      <c r="BA51" s="108"/>
      <c r="BB51" s="108"/>
      <c r="BC51" s="108"/>
      <c r="BD51" s="111"/>
      <c r="BE51" s="111"/>
      <c r="BF51" s="111"/>
      <c r="BG51" s="111"/>
      <c r="BH51" s="111"/>
      <c r="BI51" s="111"/>
      <c r="BJ51" s="111"/>
      <c r="BK51" s="111"/>
      <c r="BL51" s="111"/>
      <c r="BM51" s="117">
        <v>0</v>
      </c>
      <c r="BN51" s="111"/>
      <c r="BO51" s="117"/>
      <c r="BP51" s="117"/>
      <c r="BQ51" s="117"/>
      <c r="BR51" s="111"/>
      <c r="BS51" s="118"/>
      <c r="BT51" s="111"/>
      <c r="BU51" s="118"/>
      <c r="BV51" s="111"/>
      <c r="BW51" s="111"/>
      <c r="BX51" s="111"/>
      <c r="BY51" s="111"/>
      <c r="BZ51" s="111"/>
      <c r="CA51" s="111"/>
      <c r="CB51" s="119">
        <v>0.94499999999999995</v>
      </c>
      <c r="CC51" s="117"/>
      <c r="CD51" s="120" t="s">
        <v>125</v>
      </c>
      <c r="CE51" s="120" t="s">
        <v>125</v>
      </c>
      <c r="CF51" s="120">
        <v>46120</v>
      </c>
      <c r="CG51" s="111"/>
      <c r="CH51" s="120">
        <v>0</v>
      </c>
      <c r="CI51" s="120" t="s">
        <v>125</v>
      </c>
      <c r="CJ51" s="123"/>
    </row>
    <row r="52" spans="1:88" ht="130.5" hidden="1">
      <c r="A52" s="106" t="s">
        <v>228</v>
      </c>
      <c r="B52" s="107">
        <f>0.5+4+3+0.5+0.5+1+1.5</f>
        <v>11</v>
      </c>
      <c r="C52" s="49">
        <v>15</v>
      </c>
      <c r="D52" s="107"/>
      <c r="E52" s="108"/>
      <c r="F52" s="108"/>
      <c r="G52" s="121"/>
      <c r="H52" s="135">
        <v>13152395</v>
      </c>
      <c r="I52" s="135">
        <v>13152395</v>
      </c>
      <c r="J52" s="49" t="s">
        <v>237</v>
      </c>
      <c r="K52" s="49" t="s">
        <v>118</v>
      </c>
      <c r="L52" s="134"/>
      <c r="M52" s="134"/>
      <c r="N52" s="134" t="s">
        <v>238</v>
      </c>
      <c r="O52" s="111" t="s">
        <v>106</v>
      </c>
      <c r="P52" s="111"/>
      <c r="Q52" s="111"/>
      <c r="R52" s="111"/>
      <c r="S52" s="111"/>
      <c r="T52" s="111"/>
      <c r="U52" s="108"/>
      <c r="V52" s="108"/>
      <c r="W52" s="108"/>
      <c r="X52" s="108"/>
      <c r="Y52" s="108"/>
      <c r="Z52" s="108"/>
      <c r="AA52" s="108"/>
      <c r="AB52" s="112"/>
      <c r="AC52" s="108"/>
      <c r="AD52" s="108"/>
      <c r="AE52" s="107"/>
      <c r="AF52" s="113"/>
      <c r="AG52" s="115"/>
      <c r="AH52" s="108"/>
      <c r="AI52" s="108"/>
      <c r="AJ52" s="114"/>
      <c r="AK52" s="108"/>
      <c r="AL52" s="115"/>
      <c r="AM52" s="116"/>
      <c r="AN52" s="116"/>
      <c r="AO52" s="116">
        <v>46091</v>
      </c>
      <c r="AP52" s="108"/>
      <c r="AQ52" s="107"/>
      <c r="AR52" s="107"/>
      <c r="AS52" s="116"/>
      <c r="AT52" s="114"/>
      <c r="AU52" s="114"/>
      <c r="AV52" s="108"/>
      <c r="AW52" s="108"/>
      <c r="AX52" s="108" t="s">
        <v>97</v>
      </c>
      <c r="AY52" s="108" t="s">
        <v>98</v>
      </c>
      <c r="AZ52" s="108"/>
      <c r="BA52" s="108"/>
      <c r="BB52" s="108"/>
      <c r="BC52" s="108"/>
      <c r="BD52" s="111"/>
      <c r="BE52" s="111"/>
      <c r="BF52" s="111"/>
      <c r="BG52" s="111"/>
      <c r="BH52" s="111"/>
      <c r="BI52" s="111"/>
      <c r="BJ52" s="111"/>
      <c r="BK52" s="111"/>
      <c r="BL52" s="111"/>
      <c r="BM52" s="117">
        <v>0</v>
      </c>
      <c r="BN52" s="111"/>
      <c r="BO52" s="117"/>
      <c r="BP52" s="117"/>
      <c r="BQ52" s="117"/>
      <c r="BR52" s="111"/>
      <c r="BS52" s="118"/>
      <c r="BT52" s="111"/>
      <c r="BU52" s="118"/>
      <c r="BV52" s="111"/>
      <c r="BW52" s="111"/>
      <c r="BX52" s="111"/>
      <c r="BY52" s="111"/>
      <c r="BZ52" s="111"/>
      <c r="CA52" s="111"/>
      <c r="CB52" s="119"/>
      <c r="CC52" s="117"/>
      <c r="CD52" s="120">
        <v>46087</v>
      </c>
      <c r="CE52" s="120">
        <v>46090</v>
      </c>
      <c r="CF52" s="120">
        <v>46091</v>
      </c>
      <c r="CG52" s="123"/>
      <c r="CH52" s="120">
        <v>0</v>
      </c>
      <c r="CI52" s="120" t="s">
        <v>125</v>
      </c>
      <c r="CJ52" s="123"/>
    </row>
    <row r="53" spans="1:88" ht="101.45" hidden="1">
      <c r="A53" s="147" t="s">
        <v>228</v>
      </c>
      <c r="B53" s="49">
        <f>7+2+5.5+2</f>
        <v>16.5</v>
      </c>
      <c r="C53" s="49">
        <v>17</v>
      </c>
      <c r="D53" s="49">
        <f>Tracker6[[#This Row],[Estimated Hrs]]-Tracker6[[#This Row],[Actual Efforts (Hrs)]]</f>
        <v>0.5</v>
      </c>
      <c r="E53" s="134"/>
      <c r="F53" s="134"/>
      <c r="G53" s="150"/>
      <c r="H53" s="135">
        <v>15605848</v>
      </c>
      <c r="I53" s="135">
        <v>15605848</v>
      </c>
      <c r="J53" s="49" t="s">
        <v>239</v>
      </c>
      <c r="K53" s="49" t="s">
        <v>104</v>
      </c>
      <c r="L53" s="134"/>
      <c r="M53" s="134"/>
      <c r="N53" s="134" t="s">
        <v>240</v>
      </c>
      <c r="O53" s="123" t="s">
        <v>231</v>
      </c>
      <c r="P53" s="123"/>
      <c r="Q53" s="123"/>
      <c r="R53" s="123"/>
      <c r="S53" s="123"/>
      <c r="T53" s="123"/>
      <c r="U53" s="134"/>
      <c r="V53" s="134"/>
      <c r="W53" s="134"/>
      <c r="X53" s="134"/>
      <c r="Y53" s="134"/>
      <c r="Z53" s="134"/>
      <c r="AA53" s="134"/>
      <c r="AC53" s="134"/>
      <c r="AD53" s="134"/>
      <c r="AE53" s="49"/>
      <c r="AF53" s="136"/>
      <c r="AG53" s="137"/>
      <c r="AH53" s="134"/>
      <c r="AI53" s="134"/>
      <c r="AJ53" s="138"/>
      <c r="AK53" s="134"/>
      <c r="AL53" s="137"/>
      <c r="AM53" s="139"/>
      <c r="AN53" s="139"/>
      <c r="AO53" s="116">
        <v>46112</v>
      </c>
      <c r="AP53" s="134"/>
      <c r="AQ53" s="49"/>
      <c r="AR53" s="49"/>
      <c r="AS53" s="139"/>
      <c r="AT53" s="138"/>
      <c r="AU53" s="138"/>
      <c r="AV53" s="134"/>
      <c r="AW53" s="134"/>
      <c r="AX53" s="108" t="s">
        <v>97</v>
      </c>
      <c r="AY53" s="108" t="s">
        <v>98</v>
      </c>
      <c r="AZ53" s="134"/>
      <c r="BA53" s="134"/>
      <c r="BB53" s="134"/>
      <c r="BC53" s="134"/>
      <c r="BD53" s="123"/>
      <c r="BE53" s="123"/>
      <c r="BF53" s="123"/>
      <c r="BG53" s="123"/>
      <c r="BH53" s="123"/>
      <c r="BI53" s="123"/>
      <c r="BJ53" s="123"/>
      <c r="BK53" s="123"/>
      <c r="BL53" s="123"/>
      <c r="BM53" s="117">
        <v>0</v>
      </c>
      <c r="BN53" s="123"/>
      <c r="BO53" s="140"/>
      <c r="BP53" s="140"/>
      <c r="BQ53" s="140"/>
      <c r="BR53" s="123"/>
      <c r="BS53" s="141"/>
      <c r="BT53" s="123"/>
      <c r="BU53" s="141"/>
      <c r="BV53" s="123"/>
      <c r="BW53" s="123"/>
      <c r="BX53" s="123"/>
      <c r="BY53" s="123"/>
      <c r="BZ53" s="123"/>
      <c r="CA53" s="123"/>
      <c r="CB53" s="143">
        <v>0.4</v>
      </c>
      <c r="CC53" s="140"/>
      <c r="CD53" s="120">
        <v>46091</v>
      </c>
      <c r="CE53" s="120">
        <v>46094</v>
      </c>
      <c r="CF53" s="120">
        <v>46095</v>
      </c>
      <c r="CG53" s="123"/>
      <c r="CH53" s="120">
        <v>0</v>
      </c>
      <c r="CI53" s="120" t="s">
        <v>125</v>
      </c>
      <c r="CJ53" s="123"/>
    </row>
    <row r="54" spans="1:88" ht="130.5" hidden="1">
      <c r="A54" s="147" t="s">
        <v>228</v>
      </c>
      <c r="B54" s="49">
        <f>0.5+1+2.5+4.5+1+2+1.5+3+5.5+1.5+2+1</f>
        <v>26</v>
      </c>
      <c r="C54" s="49">
        <v>30</v>
      </c>
      <c r="D54" s="49"/>
      <c r="E54" s="134"/>
      <c r="F54" s="134"/>
      <c r="G54" s="150"/>
      <c r="H54" s="135">
        <v>9376659</v>
      </c>
      <c r="I54" s="135">
        <v>9376659</v>
      </c>
      <c r="J54" s="49" t="s">
        <v>241</v>
      </c>
      <c r="K54" s="49" t="s">
        <v>118</v>
      </c>
      <c r="L54" s="134"/>
      <c r="M54" s="134"/>
      <c r="N54" s="134" t="s">
        <v>242</v>
      </c>
      <c r="O54" s="123" t="s">
        <v>106</v>
      </c>
      <c r="P54" s="123"/>
      <c r="Q54" s="123"/>
      <c r="R54" s="123"/>
      <c r="S54" s="123"/>
      <c r="T54" s="123"/>
      <c r="U54" s="134"/>
      <c r="V54" s="134"/>
      <c r="W54" s="134"/>
      <c r="X54" s="134"/>
      <c r="Y54" s="134"/>
      <c r="Z54" s="134"/>
      <c r="AA54" s="134"/>
      <c r="AC54" s="134"/>
      <c r="AD54" s="134"/>
      <c r="AE54" s="49"/>
      <c r="AF54" s="136"/>
      <c r="AG54" s="137"/>
      <c r="AH54" s="134"/>
      <c r="AI54" s="134"/>
      <c r="AJ54" s="138"/>
      <c r="AK54" s="134"/>
      <c r="AL54" s="137"/>
      <c r="AM54" s="139"/>
      <c r="AN54" s="139"/>
      <c r="AO54" s="116">
        <v>46091</v>
      </c>
      <c r="AP54" s="134"/>
      <c r="AQ54" s="49"/>
      <c r="AR54" s="49"/>
      <c r="AS54" s="139"/>
      <c r="AT54" s="138"/>
      <c r="AU54" s="138"/>
      <c r="AV54" s="134"/>
      <c r="AW54" s="134"/>
      <c r="AX54" s="108" t="s">
        <v>97</v>
      </c>
      <c r="AY54" s="108" t="s">
        <v>98</v>
      </c>
      <c r="AZ54" s="134"/>
      <c r="BA54" s="134"/>
      <c r="BB54" s="134"/>
      <c r="BC54" s="134"/>
      <c r="BD54" s="123"/>
      <c r="BE54" s="123"/>
      <c r="BF54" s="123"/>
      <c r="BG54" s="123"/>
      <c r="BH54" s="123"/>
      <c r="BI54" s="123"/>
      <c r="BJ54" s="123"/>
      <c r="BK54" s="123"/>
      <c r="BL54" s="123"/>
      <c r="BM54" s="117">
        <v>0</v>
      </c>
      <c r="BN54" s="123"/>
      <c r="BO54" s="140"/>
      <c r="BP54" s="140"/>
      <c r="BQ54" s="140"/>
      <c r="BR54" s="123"/>
      <c r="BS54" s="141"/>
      <c r="BT54" s="123"/>
      <c r="BU54" s="141"/>
      <c r="BV54" s="123"/>
      <c r="BW54" s="123"/>
      <c r="BX54" s="123"/>
      <c r="BY54" s="123"/>
      <c r="BZ54" s="123"/>
      <c r="CA54" s="123"/>
      <c r="CB54" s="143"/>
      <c r="CC54" s="140"/>
      <c r="CD54" s="120">
        <v>46087</v>
      </c>
      <c r="CE54" s="120">
        <v>46090</v>
      </c>
      <c r="CF54" s="120">
        <v>46091</v>
      </c>
      <c r="CG54" s="123"/>
      <c r="CH54" s="120">
        <v>0</v>
      </c>
      <c r="CI54" s="120" t="s">
        <v>125</v>
      </c>
      <c r="CJ54" s="123"/>
    </row>
    <row r="55" spans="1:88" ht="57.95" hidden="1">
      <c r="A55" s="147" t="s">
        <v>228</v>
      </c>
      <c r="B55" s="49">
        <f>0</f>
        <v>0</v>
      </c>
      <c r="C55" s="49">
        <v>0</v>
      </c>
      <c r="D55" s="49"/>
      <c r="E55" s="134"/>
      <c r="F55" s="134"/>
      <c r="G55" s="150"/>
      <c r="H55" s="135">
        <v>18218093</v>
      </c>
      <c r="I55" s="135">
        <v>18218093</v>
      </c>
      <c r="J55" s="49" t="s">
        <v>232</v>
      </c>
      <c r="K55" s="49" t="s">
        <v>118</v>
      </c>
      <c r="L55" s="134"/>
      <c r="M55" s="134"/>
      <c r="N55" s="134"/>
      <c r="O55" s="123" t="s">
        <v>234</v>
      </c>
      <c r="P55" s="123"/>
      <c r="Q55" s="123"/>
      <c r="R55" s="123"/>
      <c r="S55" s="123"/>
      <c r="T55" s="123"/>
      <c r="U55" s="134"/>
      <c r="V55" s="134"/>
      <c r="W55" s="134"/>
      <c r="X55" s="134"/>
      <c r="Y55" s="134"/>
      <c r="Z55" s="134"/>
      <c r="AA55" s="134"/>
      <c r="AC55" s="134"/>
      <c r="AD55" s="134"/>
      <c r="AE55" s="49"/>
      <c r="AF55" s="136"/>
      <c r="AG55" s="137"/>
      <c r="AH55" s="134"/>
      <c r="AI55" s="134"/>
      <c r="AJ55" s="138"/>
      <c r="AK55" s="134"/>
      <c r="AL55" s="137"/>
      <c r="AM55" s="139"/>
      <c r="AN55" s="139"/>
      <c r="AO55" s="116">
        <v>46129</v>
      </c>
      <c r="AP55" s="134"/>
      <c r="AQ55" s="49"/>
      <c r="AR55" s="49"/>
      <c r="AS55" s="139"/>
      <c r="AT55" s="138"/>
      <c r="AU55" s="138"/>
      <c r="AV55" s="134"/>
      <c r="AW55" s="134"/>
      <c r="AX55" s="108" t="s">
        <v>97</v>
      </c>
      <c r="AY55" s="108" t="s">
        <v>98</v>
      </c>
      <c r="AZ55" s="134"/>
      <c r="BA55" s="134"/>
      <c r="BB55" s="134"/>
      <c r="BC55" s="134"/>
      <c r="BD55" s="123"/>
      <c r="BE55" s="123"/>
      <c r="BF55" s="123"/>
      <c r="BG55" s="123"/>
      <c r="BH55" s="123"/>
      <c r="BI55" s="123"/>
      <c r="BJ55" s="123"/>
      <c r="BK55" s="123"/>
      <c r="BL55" s="123"/>
      <c r="BM55" s="117">
        <v>0</v>
      </c>
      <c r="BN55" s="123"/>
      <c r="BO55" s="140"/>
      <c r="BP55" s="140"/>
      <c r="BQ55" s="140"/>
      <c r="BR55" s="123"/>
      <c r="BS55" s="141"/>
      <c r="BT55" s="123"/>
      <c r="BU55" s="141"/>
      <c r="BV55" s="123"/>
      <c r="BW55" s="123"/>
      <c r="BX55" s="123"/>
      <c r="BY55" s="123"/>
      <c r="BZ55" s="123"/>
      <c r="CA55" s="123"/>
      <c r="CB55" s="143"/>
      <c r="CC55" s="140"/>
      <c r="CD55" s="120">
        <v>46113</v>
      </c>
      <c r="CE55" s="120">
        <v>46115</v>
      </c>
      <c r="CF55" s="120">
        <v>46118</v>
      </c>
      <c r="CG55" s="123"/>
      <c r="CH55" s="120">
        <v>0</v>
      </c>
      <c r="CI55" s="120" t="s">
        <v>125</v>
      </c>
      <c r="CJ55" s="123"/>
    </row>
    <row r="56" spans="1:88" ht="231.95" hidden="1">
      <c r="A56" s="147" t="s">
        <v>228</v>
      </c>
      <c r="B56" s="49">
        <f>1+4+1.5+3.5+0.5+2+0.5</f>
        <v>13</v>
      </c>
      <c r="C56" s="49">
        <v>15</v>
      </c>
      <c r="D56" s="49">
        <f>Tracker6[[#This Row],[Estimated Hrs]]-Tracker6[[#This Row],[Actual Efforts (Hrs)]]</f>
        <v>2</v>
      </c>
      <c r="E56" s="134"/>
      <c r="F56" s="134" t="s">
        <v>243</v>
      </c>
      <c r="G56" s="150" t="s">
        <v>243</v>
      </c>
      <c r="H56" s="135">
        <v>18668048</v>
      </c>
      <c r="I56" s="135">
        <v>18668048</v>
      </c>
      <c r="J56" s="134" t="s">
        <v>244</v>
      </c>
      <c r="K56" s="134" t="s">
        <v>118</v>
      </c>
      <c r="L56" s="134"/>
      <c r="M56" s="134"/>
      <c r="N56" s="134" t="s">
        <v>245</v>
      </c>
      <c r="O56" s="123" t="s">
        <v>106</v>
      </c>
      <c r="P56" s="123"/>
      <c r="Q56" s="123"/>
      <c r="R56" s="123"/>
      <c r="S56" s="123"/>
      <c r="T56" s="123"/>
      <c r="U56" s="134"/>
      <c r="V56" s="134"/>
      <c r="W56" s="134"/>
      <c r="X56" s="134"/>
      <c r="Y56" s="134"/>
      <c r="Z56" s="134"/>
      <c r="AA56" s="134"/>
      <c r="AC56" s="134"/>
      <c r="AD56" s="134"/>
      <c r="AE56" s="49"/>
      <c r="AF56" s="136"/>
      <c r="AG56" s="137">
        <v>46085</v>
      </c>
      <c r="AH56" s="134"/>
      <c r="AI56" s="134"/>
      <c r="AJ56" s="138"/>
      <c r="AK56" s="134"/>
      <c r="AL56" s="137"/>
      <c r="AM56" s="139" t="s">
        <v>246</v>
      </c>
      <c r="AN56" s="139" t="s">
        <v>246</v>
      </c>
      <c r="AO56" s="116">
        <v>46080</v>
      </c>
      <c r="AP56" s="134"/>
      <c r="AQ56" s="49"/>
      <c r="AR56" s="49"/>
      <c r="AS56" s="139">
        <v>46087</v>
      </c>
      <c r="AT56" s="138" t="s">
        <v>125</v>
      </c>
      <c r="AU56" s="138" t="s">
        <v>125</v>
      </c>
      <c r="AV56" s="134"/>
      <c r="AW56" s="134"/>
      <c r="AX56" s="108" t="s">
        <v>97</v>
      </c>
      <c r="AY56" s="108" t="s">
        <v>98</v>
      </c>
      <c r="AZ56" s="134"/>
      <c r="BA56" s="134"/>
      <c r="BB56" s="134"/>
      <c r="BC56" s="134"/>
      <c r="BD56" s="123"/>
      <c r="BE56" s="123"/>
      <c r="BF56" s="123"/>
      <c r="BG56" s="123"/>
      <c r="BH56" s="123"/>
      <c r="BI56" s="123"/>
      <c r="BJ56" s="123"/>
      <c r="BK56" s="123"/>
      <c r="BL56" s="123"/>
      <c r="BM56" s="117" t="s">
        <v>247</v>
      </c>
      <c r="BN56" s="123"/>
      <c r="BO56" s="140"/>
      <c r="BP56" s="140"/>
      <c r="BQ56" s="140"/>
      <c r="BR56" s="123"/>
      <c r="BS56" s="141"/>
      <c r="BT56" s="123"/>
      <c r="BU56" s="141"/>
      <c r="BV56" s="123"/>
      <c r="BW56" s="123"/>
      <c r="BX56" s="123"/>
      <c r="BY56" s="123"/>
      <c r="BZ56" s="123"/>
      <c r="CA56" s="123"/>
      <c r="CB56" s="143">
        <v>1</v>
      </c>
      <c r="CC56" s="140"/>
      <c r="CD56" s="120"/>
      <c r="CE56" s="120"/>
      <c r="CF56" s="120"/>
      <c r="CG56" s="123"/>
      <c r="CH56" s="120"/>
      <c r="CI56" s="120"/>
      <c r="CJ56" s="123"/>
    </row>
    <row r="57" spans="1:88" ht="57.95" hidden="1">
      <c r="A57" s="147" t="s">
        <v>248</v>
      </c>
      <c r="B57" s="49">
        <v>0</v>
      </c>
      <c r="C57" s="49" t="e">
        <v>#N/A</v>
      </c>
      <c r="D57" s="49">
        <v>0</v>
      </c>
      <c r="E57" s="134"/>
      <c r="F57" s="134"/>
      <c r="G57" s="150"/>
      <c r="H57" s="154">
        <v>17119319</v>
      </c>
      <c r="I57" s="135">
        <f>Tracker6[[#This Row],[DCR ID - PTC]]</f>
        <v>17119319</v>
      </c>
      <c r="J57" s="134" t="s">
        <v>249</v>
      </c>
      <c r="K57" s="134"/>
      <c r="L57" s="134"/>
      <c r="M57" s="134"/>
      <c r="N57" s="134"/>
      <c r="O57" s="123"/>
      <c r="P57" s="123"/>
      <c r="Q57" s="123"/>
      <c r="R57" s="123"/>
      <c r="S57" s="123"/>
      <c r="T57" s="123"/>
      <c r="U57" s="134"/>
      <c r="V57" s="134"/>
      <c r="W57" s="134"/>
      <c r="X57" s="134"/>
      <c r="Y57" s="134"/>
      <c r="Z57" s="134"/>
      <c r="AA57" s="134" t="s">
        <v>107</v>
      </c>
      <c r="AC57" s="134"/>
      <c r="AD57" s="134" t="s">
        <v>146</v>
      </c>
      <c r="AE57" s="49"/>
      <c r="AF57" s="136"/>
      <c r="AG57" s="137"/>
      <c r="AH57" s="134" t="s">
        <v>109</v>
      </c>
      <c r="AI57" s="134" t="s">
        <v>95</v>
      </c>
      <c r="AJ57" s="138">
        <v>45961.395833333336</v>
      </c>
      <c r="AK57" s="134" t="s">
        <v>96</v>
      </c>
      <c r="AL57" s="137">
        <v>45864.047280092593</v>
      </c>
      <c r="AM57" s="139"/>
      <c r="AN57" s="139"/>
      <c r="AO57" s="116" t="e">
        <v>#N/A</v>
      </c>
      <c r="AP57" s="134"/>
      <c r="AQ57" s="49"/>
      <c r="AR57" s="49"/>
      <c r="AS57" s="139"/>
      <c r="AT57" s="138"/>
      <c r="AU57" s="138"/>
      <c r="AV57" s="134"/>
      <c r="AW57" s="134"/>
      <c r="AX57" s="108" t="s">
        <v>97</v>
      </c>
      <c r="AY57" s="108" t="s">
        <v>98</v>
      </c>
      <c r="AZ57" s="134"/>
      <c r="BA57" s="134"/>
      <c r="BB57" s="134"/>
      <c r="BC57" s="134"/>
      <c r="BD57" s="123"/>
      <c r="BE57" s="123"/>
      <c r="BF57" s="123"/>
      <c r="BG57" s="123"/>
      <c r="BH57" s="123"/>
      <c r="BI57" s="123"/>
      <c r="BJ57" s="123"/>
      <c r="BK57" s="123"/>
      <c r="BL57" s="123"/>
      <c r="BM57" s="117" t="e">
        <v>#N/A</v>
      </c>
      <c r="BN57" s="123"/>
      <c r="BO57" s="140"/>
      <c r="BP57" s="140"/>
      <c r="BQ57" s="140"/>
      <c r="BR57" s="123"/>
      <c r="BS57" s="141"/>
      <c r="BT57" s="123"/>
      <c r="BU57" s="141"/>
      <c r="BV57" s="123"/>
      <c r="BW57" s="123"/>
      <c r="BX57" s="123"/>
      <c r="BY57" s="123"/>
      <c r="BZ57" s="123"/>
      <c r="CA57" s="123"/>
      <c r="CB57" s="143"/>
      <c r="CC57" s="140"/>
      <c r="CD57" s="120" t="e">
        <v>#N/A</v>
      </c>
      <c r="CE57" s="120" t="e">
        <v>#N/A</v>
      </c>
      <c r="CF57" s="120" t="e">
        <v>#N/A</v>
      </c>
      <c r="CG57" s="123"/>
      <c r="CH57" s="120" t="e">
        <v>#N/A</v>
      </c>
      <c r="CI57" s="120" t="e">
        <v>#N/A</v>
      </c>
      <c r="CJ57" s="123"/>
    </row>
    <row r="58" spans="1:88" ht="57.95" hidden="1">
      <c r="A58" s="147" t="s">
        <v>248</v>
      </c>
      <c r="B58" s="49">
        <v>35</v>
      </c>
      <c r="C58" s="49" t="e">
        <v>#N/A</v>
      </c>
      <c r="D58" s="49"/>
      <c r="E58" s="134"/>
      <c r="F58" s="134" t="s">
        <v>127</v>
      </c>
      <c r="G58" s="150"/>
      <c r="H58" s="154">
        <v>17650320</v>
      </c>
      <c r="I58" s="135">
        <f>Tracker6[[#This Row],[DCR ID - PTC]]</f>
        <v>17650320</v>
      </c>
      <c r="J58" s="134" t="s">
        <v>250</v>
      </c>
      <c r="K58" s="134"/>
      <c r="L58" s="134" t="s">
        <v>131</v>
      </c>
      <c r="M58" s="134"/>
      <c r="N58" s="134"/>
      <c r="O58" s="123"/>
      <c r="P58" s="123"/>
      <c r="Q58" s="123"/>
      <c r="R58" s="123"/>
      <c r="S58" s="123"/>
      <c r="T58" s="123"/>
      <c r="U58" s="134"/>
      <c r="V58" s="134"/>
      <c r="W58" s="134"/>
      <c r="X58" s="134"/>
      <c r="Y58" s="134"/>
      <c r="Z58" s="134"/>
      <c r="AA58" s="134" t="s">
        <v>130</v>
      </c>
      <c r="AB58" s="29">
        <v>46080</v>
      </c>
      <c r="AC58" s="134" t="s">
        <v>131</v>
      </c>
      <c r="AD58" s="134" t="s">
        <v>146</v>
      </c>
      <c r="AE58" s="49"/>
      <c r="AF58" s="136"/>
      <c r="AG58" s="137">
        <v>46006.804722222223</v>
      </c>
      <c r="AH58" s="134" t="s">
        <v>94</v>
      </c>
      <c r="AI58" s="134" t="s">
        <v>95</v>
      </c>
      <c r="AJ58" s="138">
        <v>45930.395833333336</v>
      </c>
      <c r="AK58" s="134" t="s">
        <v>96</v>
      </c>
      <c r="AL58" s="137">
        <v>45939.666655092595</v>
      </c>
      <c r="AM58" s="139"/>
      <c r="AN58" s="139"/>
      <c r="AO58" s="116" t="e">
        <v>#N/A</v>
      </c>
      <c r="AP58" s="134"/>
      <c r="AQ58" s="49"/>
      <c r="AR58" s="49"/>
      <c r="AS58" s="139"/>
      <c r="AT58" s="138"/>
      <c r="AU58" s="138"/>
      <c r="AV58" s="134"/>
      <c r="AW58" s="134"/>
      <c r="AX58" s="108" t="s">
        <v>97</v>
      </c>
      <c r="AY58" s="108" t="s">
        <v>98</v>
      </c>
      <c r="AZ58" s="134"/>
      <c r="BA58" s="134"/>
      <c r="BB58" s="134"/>
      <c r="BC58" s="134"/>
      <c r="BD58" s="123"/>
      <c r="BE58" s="123"/>
      <c r="BF58" s="123"/>
      <c r="BG58" s="123"/>
      <c r="BH58" s="123"/>
      <c r="BI58" s="123"/>
      <c r="BJ58" s="123"/>
      <c r="BK58" s="123"/>
      <c r="BL58" s="123"/>
      <c r="BM58" s="117" t="e">
        <v>#N/A</v>
      </c>
      <c r="BN58" s="123"/>
      <c r="BO58" s="140"/>
      <c r="BP58" s="140"/>
      <c r="BQ58" s="140"/>
      <c r="BR58" s="123"/>
      <c r="BS58" s="141"/>
      <c r="BT58" s="123"/>
      <c r="BU58" s="141"/>
      <c r="BV58" s="123"/>
      <c r="BW58" s="123"/>
      <c r="BX58" s="123"/>
      <c r="BY58" s="123"/>
      <c r="BZ58" s="123"/>
      <c r="CA58" s="123"/>
      <c r="CB58" s="143"/>
      <c r="CC58" s="140"/>
      <c r="CD58" s="120" t="e">
        <v>#N/A</v>
      </c>
      <c r="CE58" s="120" t="e">
        <v>#N/A</v>
      </c>
      <c r="CF58" s="120" t="e">
        <v>#N/A</v>
      </c>
      <c r="CG58" s="123"/>
      <c r="CH58" s="120" t="e">
        <v>#N/A</v>
      </c>
      <c r="CI58" s="120" t="e">
        <v>#N/A</v>
      </c>
      <c r="CJ58" s="123"/>
    </row>
    <row r="59" spans="1:88" ht="57.95" hidden="1">
      <c r="A59" s="147" t="s">
        <v>248</v>
      </c>
      <c r="B59" s="49">
        <v>0</v>
      </c>
      <c r="C59" s="49" t="e">
        <v>#N/A</v>
      </c>
      <c r="D59" s="49">
        <v>0</v>
      </c>
      <c r="E59" s="134"/>
      <c r="F59" s="134" t="s">
        <v>127</v>
      </c>
      <c r="G59" s="150"/>
      <c r="H59" s="154">
        <v>17965355</v>
      </c>
      <c r="I59" s="135">
        <f>Tracker6[[#This Row],[DCR ID - PTC]]</f>
        <v>17965355</v>
      </c>
      <c r="J59" s="134" t="s">
        <v>251</v>
      </c>
      <c r="K59" s="134"/>
      <c r="L59" s="134" t="s">
        <v>252</v>
      </c>
      <c r="M59" s="134"/>
      <c r="N59" s="134"/>
      <c r="O59" s="123"/>
      <c r="P59" s="123"/>
      <c r="Q59" s="123"/>
      <c r="R59" s="123"/>
      <c r="S59" s="123"/>
      <c r="T59" s="123"/>
      <c r="U59" s="134"/>
      <c r="V59" s="134"/>
      <c r="W59" s="134"/>
      <c r="X59" s="134"/>
      <c r="Y59" s="134"/>
      <c r="Z59" s="134"/>
      <c r="AA59" s="134" t="s">
        <v>253</v>
      </c>
      <c r="AB59" s="29">
        <v>45991</v>
      </c>
      <c r="AC59" s="134" t="s">
        <v>252</v>
      </c>
      <c r="AD59" s="134" t="s">
        <v>116</v>
      </c>
      <c r="AE59" s="49"/>
      <c r="AF59" s="136"/>
      <c r="AG59" s="137">
        <v>45986.781701388885</v>
      </c>
      <c r="AH59" s="134" t="s">
        <v>254</v>
      </c>
      <c r="AI59" s="134" t="s">
        <v>110</v>
      </c>
      <c r="AJ59" s="138">
        <v>45991.4375</v>
      </c>
      <c r="AK59" s="134" t="s">
        <v>96</v>
      </c>
      <c r="AL59" s="137">
        <v>45976.499479166669</v>
      </c>
      <c r="AM59" s="139"/>
      <c r="AN59" s="139"/>
      <c r="AO59" s="116" t="e">
        <v>#N/A</v>
      </c>
      <c r="AP59" s="134"/>
      <c r="AQ59" s="49"/>
      <c r="AR59" s="49"/>
      <c r="AS59" s="139"/>
      <c r="AT59" s="138"/>
      <c r="AU59" s="138"/>
      <c r="AV59" s="134"/>
      <c r="AW59" s="134"/>
      <c r="AX59" s="108" t="s">
        <v>97</v>
      </c>
      <c r="AY59" s="108" t="s">
        <v>98</v>
      </c>
      <c r="AZ59" s="134"/>
      <c r="BA59" s="134"/>
      <c r="BB59" s="134"/>
      <c r="BC59" s="134"/>
      <c r="BD59" s="123"/>
      <c r="BE59" s="123"/>
      <c r="BF59" s="123"/>
      <c r="BG59" s="123"/>
      <c r="BH59" s="123"/>
      <c r="BI59" s="123"/>
      <c r="BJ59" s="123"/>
      <c r="BK59" s="123"/>
      <c r="BL59" s="123"/>
      <c r="BM59" s="117" t="e">
        <v>#N/A</v>
      </c>
      <c r="BN59" s="123"/>
      <c r="BO59" s="140"/>
      <c r="BP59" s="140"/>
      <c r="BQ59" s="140"/>
      <c r="BR59" s="123"/>
      <c r="BS59" s="141"/>
      <c r="BT59" s="123"/>
      <c r="BU59" s="141"/>
      <c r="BV59" s="123"/>
      <c r="BW59" s="123"/>
      <c r="BX59" s="123"/>
      <c r="BY59" s="123"/>
      <c r="BZ59" s="123"/>
      <c r="CA59" s="123"/>
      <c r="CB59" s="143"/>
      <c r="CC59" s="140"/>
      <c r="CD59" s="120" t="e">
        <v>#N/A</v>
      </c>
      <c r="CE59" s="120" t="e">
        <v>#N/A</v>
      </c>
      <c r="CF59" s="120" t="e">
        <v>#N/A</v>
      </c>
      <c r="CG59" s="123"/>
      <c r="CH59" s="120" t="e">
        <v>#N/A</v>
      </c>
      <c r="CI59" s="120" t="e">
        <v>#N/A</v>
      </c>
      <c r="CJ59" s="123"/>
    </row>
    <row r="60" spans="1:88" ht="57.95" hidden="1">
      <c r="A60" s="147" t="s">
        <v>248</v>
      </c>
      <c r="B60" s="49">
        <v>0</v>
      </c>
      <c r="C60" s="49" t="e">
        <v>#N/A</v>
      </c>
      <c r="D60" s="49">
        <v>0</v>
      </c>
      <c r="E60" s="134"/>
      <c r="F60" s="134"/>
      <c r="G60" s="150"/>
      <c r="H60" s="154">
        <v>18480332</v>
      </c>
      <c r="I60" s="135">
        <f>Tracker6[[#This Row],[DCR ID - PTC]]</f>
        <v>18480332</v>
      </c>
      <c r="J60" s="134" t="s">
        <v>255</v>
      </c>
      <c r="K60" s="134"/>
      <c r="L60" s="134"/>
      <c r="M60" s="134"/>
      <c r="N60" s="134"/>
      <c r="O60" s="123"/>
      <c r="P60" s="123"/>
      <c r="Q60" s="123"/>
      <c r="R60" s="123"/>
      <c r="S60" s="123"/>
      <c r="T60" s="123"/>
      <c r="U60" s="134"/>
      <c r="V60" s="134"/>
      <c r="W60" s="134"/>
      <c r="X60" s="134"/>
      <c r="Y60" s="134"/>
      <c r="Z60" s="134"/>
      <c r="AA60" s="134"/>
      <c r="AB60" s="29">
        <v>46142</v>
      </c>
      <c r="AC60" s="134"/>
      <c r="AD60" s="134" t="s">
        <v>116</v>
      </c>
      <c r="AE60" s="49"/>
      <c r="AF60" s="136"/>
      <c r="AG60" s="137"/>
      <c r="AH60" s="134" t="s">
        <v>117</v>
      </c>
      <c r="AI60" s="134" t="s">
        <v>95</v>
      </c>
      <c r="AJ60" s="138">
        <v>45535</v>
      </c>
      <c r="AK60" s="134" t="s">
        <v>96</v>
      </c>
      <c r="AL60" s="137">
        <v>46041.681863425925</v>
      </c>
      <c r="AM60" s="139"/>
      <c r="AN60" s="139"/>
      <c r="AO60" s="116" t="e">
        <v>#N/A</v>
      </c>
      <c r="AP60" s="134"/>
      <c r="AQ60" s="49"/>
      <c r="AR60" s="49"/>
      <c r="AS60" s="139"/>
      <c r="AT60" s="138"/>
      <c r="AU60" s="138"/>
      <c r="AV60" s="134"/>
      <c r="AW60" s="134"/>
      <c r="AX60" s="108" t="s">
        <v>97</v>
      </c>
      <c r="AY60" s="108" t="s">
        <v>98</v>
      </c>
      <c r="AZ60" s="134"/>
      <c r="BA60" s="134"/>
      <c r="BB60" s="134"/>
      <c r="BC60" s="134"/>
      <c r="BD60" s="123"/>
      <c r="BE60" s="123"/>
      <c r="BF60" s="123"/>
      <c r="BG60" s="123"/>
      <c r="BH60" s="123"/>
      <c r="BI60" s="123"/>
      <c r="BJ60" s="123"/>
      <c r="BK60" s="123"/>
      <c r="BL60" s="123"/>
      <c r="BM60" s="117" t="e">
        <v>#N/A</v>
      </c>
      <c r="BN60" s="123"/>
      <c r="BO60" s="140"/>
      <c r="BP60" s="140"/>
      <c r="BQ60" s="140"/>
      <c r="BR60" s="123"/>
      <c r="BS60" s="141"/>
      <c r="BT60" s="123"/>
      <c r="BU60" s="141"/>
      <c r="BV60" s="123"/>
      <c r="BW60" s="123"/>
      <c r="BX60" s="123"/>
      <c r="BY60" s="123"/>
      <c r="BZ60" s="123"/>
      <c r="CA60" s="123"/>
      <c r="CB60" s="143"/>
      <c r="CC60" s="140"/>
      <c r="CD60" s="120" t="e">
        <v>#N/A</v>
      </c>
      <c r="CE60" s="120" t="e">
        <v>#N/A</v>
      </c>
      <c r="CF60" s="120" t="e">
        <v>#N/A</v>
      </c>
      <c r="CG60" s="123"/>
      <c r="CH60" s="120" t="e">
        <v>#N/A</v>
      </c>
      <c r="CI60" s="120" t="e">
        <v>#N/A</v>
      </c>
      <c r="CJ60" s="123"/>
    </row>
    <row r="61" spans="1:88" ht="304.5" hidden="1">
      <c r="A61" s="147" t="s">
        <v>248</v>
      </c>
      <c r="B61" s="49">
        <f>4+4+5+5+3+2+5+6+4+5+5.5+5.5+5+5.5+0.5+1</f>
        <v>66</v>
      </c>
      <c r="C61" s="49">
        <v>50</v>
      </c>
      <c r="D61" s="49">
        <f>Tracker6[[#This Row],[Estimated Hrs]]-Tracker6[[#This Row],[Actual Efforts (Hrs)]]</f>
        <v>-16</v>
      </c>
      <c r="E61" s="134"/>
      <c r="F61" s="134"/>
      <c r="G61" s="150"/>
      <c r="H61" s="154">
        <v>18622558</v>
      </c>
      <c r="I61" s="109">
        <f>Tracker6[[#This Row],[DCR ID - PTC]]</f>
        <v>18622558</v>
      </c>
      <c r="J61" s="134" t="s">
        <v>256</v>
      </c>
      <c r="K61" s="134" t="s">
        <v>104</v>
      </c>
      <c r="L61" s="134"/>
      <c r="M61" s="134"/>
      <c r="N61" s="134" t="s">
        <v>257</v>
      </c>
      <c r="O61" s="123" t="s">
        <v>106</v>
      </c>
      <c r="P61" s="123"/>
      <c r="Q61" s="123"/>
      <c r="R61" s="123"/>
      <c r="S61" s="123"/>
      <c r="T61" s="123"/>
      <c r="U61" s="134"/>
      <c r="V61" s="134"/>
      <c r="W61" s="134"/>
      <c r="X61" s="134"/>
      <c r="Y61" s="134"/>
      <c r="Z61" s="134"/>
      <c r="AA61" s="134"/>
      <c r="AC61" s="134"/>
      <c r="AD61" s="134" t="s">
        <v>116</v>
      </c>
      <c r="AE61" s="49"/>
      <c r="AF61" s="136"/>
      <c r="AG61" s="137"/>
      <c r="AH61" s="134" t="s">
        <v>109</v>
      </c>
      <c r="AI61" s="134" t="s">
        <v>110</v>
      </c>
      <c r="AJ61" s="138">
        <v>46078.4375</v>
      </c>
      <c r="AK61" s="134" t="s">
        <v>96</v>
      </c>
      <c r="AL61" s="137">
        <v>46053.04246527778</v>
      </c>
      <c r="AM61" s="139"/>
      <c r="AN61" s="139"/>
      <c r="AO61" s="116">
        <v>46083</v>
      </c>
      <c r="AP61" s="134"/>
      <c r="AQ61" s="49"/>
      <c r="AR61" s="49"/>
      <c r="AS61" s="139"/>
      <c r="AT61" s="138"/>
      <c r="AU61" s="138"/>
      <c r="AV61" s="134"/>
      <c r="AW61" s="134"/>
      <c r="AX61" s="108" t="s">
        <v>97</v>
      </c>
      <c r="AY61" s="108" t="s">
        <v>98</v>
      </c>
      <c r="AZ61" s="134"/>
      <c r="BA61" s="134"/>
      <c r="BB61" s="134"/>
      <c r="BC61" s="134"/>
      <c r="BD61" s="123"/>
      <c r="BE61" s="123"/>
      <c r="BF61" s="123"/>
      <c r="BG61" s="123"/>
      <c r="BH61" s="123"/>
      <c r="BI61" s="123"/>
      <c r="BJ61" s="123"/>
      <c r="BK61" s="123"/>
      <c r="BL61" s="123"/>
      <c r="BM61" s="117" t="s">
        <v>132</v>
      </c>
      <c r="BN61" s="123"/>
      <c r="BO61" s="140"/>
      <c r="BP61" s="140"/>
      <c r="BQ61" s="140"/>
      <c r="BR61" s="123"/>
      <c r="BS61" s="141"/>
      <c r="BT61" s="123"/>
      <c r="BU61" s="141"/>
      <c r="BV61" s="123"/>
      <c r="BW61" s="123"/>
      <c r="BX61" s="123"/>
      <c r="BY61" s="123"/>
      <c r="BZ61" s="123"/>
      <c r="CA61" s="123"/>
      <c r="CB61" s="143">
        <v>1</v>
      </c>
      <c r="CC61" s="140"/>
      <c r="CD61" s="120">
        <v>46072</v>
      </c>
      <c r="CE61" s="120">
        <v>46077</v>
      </c>
      <c r="CF61" s="120">
        <v>46080</v>
      </c>
      <c r="CG61" s="123"/>
      <c r="CH61" s="120" t="s">
        <v>112</v>
      </c>
      <c r="CI61" s="120">
        <v>46086</v>
      </c>
      <c r="CJ61" s="123"/>
    </row>
    <row r="62" spans="1:88" ht="57.95" hidden="1">
      <c r="A62" s="147" t="s">
        <v>248</v>
      </c>
      <c r="B62" s="49">
        <v>0</v>
      </c>
      <c r="C62" s="49">
        <v>30</v>
      </c>
      <c r="D62" s="49">
        <f>Tracker6[[#This Row],[Estimated Hrs]]-Tracker6[[#This Row],[Actual Efforts (Hrs)]]</f>
        <v>30</v>
      </c>
      <c r="E62" s="134"/>
      <c r="F62" s="134"/>
      <c r="G62" s="150"/>
      <c r="H62" s="154">
        <v>18664459</v>
      </c>
      <c r="I62" s="149">
        <f>Tracker6[[#This Row],[DCR ID - PTC]]</f>
        <v>18664459</v>
      </c>
      <c r="J62" s="134" t="s">
        <v>258</v>
      </c>
      <c r="K62" s="134" t="s">
        <v>104</v>
      </c>
      <c r="L62" s="134"/>
      <c r="M62" s="134"/>
      <c r="N62" s="134" t="s">
        <v>259</v>
      </c>
      <c r="O62" s="123" t="s">
        <v>106</v>
      </c>
      <c r="P62" s="123"/>
      <c r="Q62" s="123"/>
      <c r="R62" s="123"/>
      <c r="S62" s="123"/>
      <c r="T62" s="123"/>
      <c r="U62" s="134"/>
      <c r="V62" s="134"/>
      <c r="W62" s="134"/>
      <c r="X62" s="134"/>
      <c r="Y62" s="134"/>
      <c r="Z62" s="134"/>
      <c r="AA62" s="134"/>
      <c r="AB62" s="29">
        <v>46112</v>
      </c>
      <c r="AC62" s="134"/>
      <c r="AD62" s="134" t="s">
        <v>116</v>
      </c>
      <c r="AE62" s="49"/>
      <c r="AF62" s="136"/>
      <c r="AG62" s="137"/>
      <c r="AH62" s="134" t="s">
        <v>117</v>
      </c>
      <c r="AI62" s="134" t="s">
        <v>95</v>
      </c>
      <c r="AJ62" s="138">
        <v>46078.4375</v>
      </c>
      <c r="AK62" s="134" t="s">
        <v>96</v>
      </c>
      <c r="AL62" s="137">
        <v>46057.586284722223</v>
      </c>
      <c r="AM62" s="139"/>
      <c r="AN62" s="139"/>
      <c r="AO62" s="116">
        <v>46083</v>
      </c>
      <c r="AP62" s="134"/>
      <c r="AQ62" s="49"/>
      <c r="AR62" s="49"/>
      <c r="AS62" s="139"/>
      <c r="AT62" s="138"/>
      <c r="AU62" s="138"/>
      <c r="AV62" s="134"/>
      <c r="AW62" s="134"/>
      <c r="AX62" s="108" t="s">
        <v>97</v>
      </c>
      <c r="AY62" s="108" t="s">
        <v>98</v>
      </c>
      <c r="AZ62" s="134"/>
      <c r="BA62" s="134"/>
      <c r="BB62" s="134"/>
      <c r="BC62" s="134"/>
      <c r="BD62" s="123"/>
      <c r="BE62" s="123"/>
      <c r="BF62" s="123"/>
      <c r="BG62" s="123"/>
      <c r="BH62" s="123"/>
      <c r="BI62" s="123"/>
      <c r="BJ62" s="123"/>
      <c r="BK62" s="123"/>
      <c r="BL62" s="123"/>
      <c r="BM62" s="117" t="s">
        <v>181</v>
      </c>
      <c r="BN62" s="123"/>
      <c r="BO62" s="140"/>
      <c r="BP62" s="140"/>
      <c r="BQ62" s="140"/>
      <c r="BR62" s="123"/>
      <c r="BS62" s="141"/>
      <c r="BT62" s="123"/>
      <c r="BU62" s="141"/>
      <c r="BV62" s="123"/>
      <c r="BW62" s="123"/>
      <c r="BX62" s="123"/>
      <c r="BY62" s="123"/>
      <c r="BZ62" s="123"/>
      <c r="CA62" s="123"/>
      <c r="CB62" s="143">
        <v>1</v>
      </c>
      <c r="CC62" s="140"/>
      <c r="CD62" s="120">
        <v>46072</v>
      </c>
      <c r="CE62" s="120">
        <v>46077</v>
      </c>
      <c r="CF62" s="120">
        <v>46080</v>
      </c>
      <c r="CG62" s="123"/>
      <c r="CH62" s="120" t="s">
        <v>182</v>
      </c>
      <c r="CI62" s="120">
        <v>46084</v>
      </c>
      <c r="CJ62" s="123"/>
    </row>
    <row r="63" spans="1:88" ht="57.95">
      <c r="A63" s="147" t="s">
        <v>260</v>
      </c>
      <c r="B63" s="49">
        <v>0</v>
      </c>
      <c r="C63" s="49">
        <v>167</v>
      </c>
      <c r="D63" s="49">
        <f>Tracker6[[#This Row],[Estimated Hrs]]-Tracker6[[#This Row],[Actual Efforts (Hrs)]]</f>
        <v>167</v>
      </c>
      <c r="E63" s="134"/>
      <c r="F63" s="134"/>
      <c r="G63" s="150"/>
      <c r="H63" s="135">
        <v>18664459</v>
      </c>
      <c r="I63" s="149">
        <v>18664459</v>
      </c>
      <c r="J63" s="134" t="s">
        <v>258</v>
      </c>
      <c r="K63" s="134" t="s">
        <v>118</v>
      </c>
      <c r="L63" s="134"/>
      <c r="M63" s="134"/>
      <c r="N63" s="134"/>
      <c r="O63" s="123" t="s">
        <v>122</v>
      </c>
      <c r="P63" s="123"/>
      <c r="Q63" s="123"/>
      <c r="R63" s="123"/>
      <c r="S63" s="123"/>
      <c r="T63" s="123"/>
      <c r="U63" s="134"/>
      <c r="V63" s="134"/>
      <c r="W63" s="134"/>
      <c r="X63" s="134"/>
      <c r="Y63" s="134"/>
      <c r="Z63" s="134"/>
      <c r="AA63" s="134"/>
      <c r="AB63" s="29">
        <v>46112</v>
      </c>
      <c r="AC63" s="134"/>
      <c r="AD63" s="134" t="s">
        <v>116</v>
      </c>
      <c r="AE63" s="49"/>
      <c r="AF63" s="136"/>
      <c r="AG63" s="137"/>
      <c r="AH63" s="134" t="s">
        <v>117</v>
      </c>
      <c r="AI63" s="134" t="s">
        <v>95</v>
      </c>
      <c r="AJ63" s="138">
        <v>46078.4375</v>
      </c>
      <c r="AK63" s="134" t="s">
        <v>96</v>
      </c>
      <c r="AL63" s="137">
        <v>46057.586284722223</v>
      </c>
      <c r="AM63" s="139"/>
      <c r="AN63" s="139"/>
      <c r="AO63" s="116">
        <v>46129</v>
      </c>
      <c r="AP63" s="134"/>
      <c r="AQ63" s="49"/>
      <c r="AR63" s="49"/>
      <c r="AS63" s="139"/>
      <c r="AT63" s="138"/>
      <c r="AU63" s="138"/>
      <c r="AV63" s="134"/>
      <c r="AW63" s="134"/>
      <c r="AX63" s="108" t="s">
        <v>97</v>
      </c>
      <c r="AY63" s="108" t="s">
        <v>98</v>
      </c>
      <c r="AZ63" s="134"/>
      <c r="BA63" s="134"/>
      <c r="BB63" s="134"/>
      <c r="BC63" s="134"/>
      <c r="BD63" s="123"/>
      <c r="BE63" s="123"/>
      <c r="BF63" s="123"/>
      <c r="BG63" s="123"/>
      <c r="BH63" s="123"/>
      <c r="BI63" s="123"/>
      <c r="BJ63" s="123"/>
      <c r="BK63" s="123"/>
      <c r="BL63" s="123"/>
      <c r="BM63" s="117" t="s">
        <v>181</v>
      </c>
      <c r="BN63" s="123"/>
      <c r="BO63" s="140"/>
      <c r="BP63" s="140"/>
      <c r="BQ63" s="140"/>
      <c r="BR63" s="123"/>
      <c r="BS63" s="141"/>
      <c r="BT63" s="123"/>
      <c r="BU63" s="141"/>
      <c r="BV63" s="123"/>
      <c r="BW63" s="123"/>
      <c r="BX63" s="123"/>
      <c r="BY63" s="123"/>
      <c r="BZ63" s="123"/>
      <c r="CA63" s="123"/>
      <c r="CB63" s="143">
        <v>0</v>
      </c>
      <c r="CC63" s="140"/>
      <c r="CD63" s="120">
        <v>46134</v>
      </c>
      <c r="CE63" s="120">
        <v>46135</v>
      </c>
      <c r="CF63" s="120">
        <v>46136</v>
      </c>
      <c r="CG63" s="123"/>
      <c r="CH63" s="120" t="s">
        <v>182</v>
      </c>
      <c r="CI63" s="120">
        <v>46084</v>
      </c>
      <c r="CJ63" s="123"/>
    </row>
    <row r="64" spans="1:88" ht="72.599999999999994" hidden="1">
      <c r="A64" s="147" t="s">
        <v>261</v>
      </c>
      <c r="B64" s="49">
        <v>0</v>
      </c>
      <c r="C64" s="49">
        <v>12</v>
      </c>
      <c r="D64" s="49">
        <v>0</v>
      </c>
      <c r="E64" s="134"/>
      <c r="F64" s="134" t="s">
        <v>136</v>
      </c>
      <c r="G64" s="150"/>
      <c r="H64" s="154">
        <v>18430898</v>
      </c>
      <c r="I64" s="149">
        <f>Tracker6[[#This Row],[DCR ID - PTC]]</f>
        <v>18430898</v>
      </c>
      <c r="J64" s="134" t="s">
        <v>262</v>
      </c>
      <c r="K64" s="134" t="s">
        <v>118</v>
      </c>
      <c r="L64" s="134"/>
      <c r="M64" s="134"/>
      <c r="N64" s="278" t="s">
        <v>263</v>
      </c>
      <c r="O64" s="123" t="s">
        <v>106</v>
      </c>
      <c r="P64" s="123"/>
      <c r="Q64" s="123"/>
      <c r="R64" s="123"/>
      <c r="S64" s="123"/>
      <c r="T64" s="123"/>
      <c r="U64" s="134"/>
      <c r="V64" s="134"/>
      <c r="W64" s="134"/>
      <c r="X64" s="134"/>
      <c r="Y64" s="134"/>
      <c r="Z64" s="134"/>
      <c r="AA64" s="134" t="s">
        <v>107</v>
      </c>
      <c r="AC64" s="134"/>
      <c r="AD64" s="134" t="s">
        <v>93</v>
      </c>
      <c r="AE64" s="49"/>
      <c r="AF64" s="136"/>
      <c r="AG64" s="137"/>
      <c r="AH64" s="134" t="s">
        <v>109</v>
      </c>
      <c r="AI64" s="134" t="s">
        <v>110</v>
      </c>
      <c r="AJ64" s="138">
        <v>46112.395833333336</v>
      </c>
      <c r="AK64" s="134" t="s">
        <v>96</v>
      </c>
      <c r="AL64" s="137">
        <v>46036.897951388892</v>
      </c>
      <c r="AM64" s="139"/>
      <c r="AN64" s="139"/>
      <c r="AO64" s="116">
        <v>46090</v>
      </c>
      <c r="AP64" s="134"/>
      <c r="AQ64" s="49"/>
      <c r="AR64" s="49"/>
      <c r="AS64" s="139"/>
      <c r="AT64" s="138"/>
      <c r="AU64" s="138"/>
      <c r="AV64" s="134"/>
      <c r="AW64" s="134"/>
      <c r="AX64" s="108" t="s">
        <v>97</v>
      </c>
      <c r="AY64" s="108" t="s">
        <v>98</v>
      </c>
      <c r="AZ64" s="134"/>
      <c r="BA64" s="134"/>
      <c r="BB64" s="134"/>
      <c r="BC64" s="134"/>
      <c r="BD64" s="123"/>
      <c r="BE64" s="123"/>
      <c r="BF64" s="123"/>
      <c r="BG64" s="123"/>
      <c r="BH64" s="123"/>
      <c r="BI64" s="123"/>
      <c r="BJ64" s="123"/>
      <c r="BK64" s="123"/>
      <c r="BL64" s="123"/>
      <c r="BM64" s="117" t="s">
        <v>264</v>
      </c>
      <c r="BN64" s="123"/>
      <c r="BO64" s="140"/>
      <c r="BP64" s="140"/>
      <c r="BQ64" s="140"/>
      <c r="BR64" s="123"/>
      <c r="BS64" s="141"/>
      <c r="BT64" s="123"/>
      <c r="BU64" s="141"/>
      <c r="BV64" s="123"/>
      <c r="BW64" s="123"/>
      <c r="BX64" s="123"/>
      <c r="BY64" s="123"/>
      <c r="BZ64" s="123"/>
      <c r="CA64" s="123"/>
      <c r="CB64" s="143"/>
      <c r="CC64" s="140"/>
      <c r="CD64" s="120">
        <v>46079</v>
      </c>
      <c r="CE64" s="120">
        <v>46083</v>
      </c>
      <c r="CF64" s="120">
        <v>46085</v>
      </c>
      <c r="CG64" s="123"/>
      <c r="CH64" s="120" t="s">
        <v>265</v>
      </c>
      <c r="CI64" s="120" t="s">
        <v>125</v>
      </c>
      <c r="CJ64" s="123"/>
    </row>
    <row r="65" spans="1:88" ht="57.95" hidden="1">
      <c r="A65" s="147" t="s">
        <v>261</v>
      </c>
      <c r="B65" s="49">
        <v>0</v>
      </c>
      <c r="C65" s="49">
        <v>12</v>
      </c>
      <c r="D65" s="49">
        <v>0</v>
      </c>
      <c r="E65" s="134"/>
      <c r="F65" s="134" t="s">
        <v>136</v>
      </c>
      <c r="G65" s="150"/>
      <c r="H65" s="154" t="s">
        <v>266</v>
      </c>
      <c r="I65" s="149" t="str">
        <f>Tracker6[[#This Row],[DCR ID - PTC]]</f>
        <v>18430904 / 19097469</v>
      </c>
      <c r="J65" s="134" t="s">
        <v>267</v>
      </c>
      <c r="K65" s="134" t="s">
        <v>118</v>
      </c>
      <c r="L65" s="134"/>
      <c r="M65" s="134"/>
      <c r="N65" s="278" t="s">
        <v>268</v>
      </c>
      <c r="O65" s="123" t="s">
        <v>106</v>
      </c>
      <c r="P65" s="123"/>
      <c r="Q65" s="123"/>
      <c r="R65" s="123"/>
      <c r="S65" s="123"/>
      <c r="T65" s="123"/>
      <c r="U65" s="134"/>
      <c r="V65" s="134"/>
      <c r="W65" s="134"/>
      <c r="X65" s="134"/>
      <c r="Y65" s="134"/>
      <c r="Z65" s="134"/>
      <c r="AA65" s="134" t="s">
        <v>107</v>
      </c>
      <c r="AC65" s="134"/>
      <c r="AD65" s="134" t="s">
        <v>93</v>
      </c>
      <c r="AE65" s="49"/>
      <c r="AF65" s="136"/>
      <c r="AG65" s="137"/>
      <c r="AH65" s="134" t="s">
        <v>109</v>
      </c>
      <c r="AI65" s="134" t="s">
        <v>110</v>
      </c>
      <c r="AJ65" s="138">
        <v>46112.395833333336</v>
      </c>
      <c r="AK65" s="134" t="s">
        <v>96</v>
      </c>
      <c r="AL65" s="137">
        <v>46036.900219907409</v>
      </c>
      <c r="AM65" s="139"/>
      <c r="AN65" s="139"/>
      <c r="AO65" s="116">
        <v>46098</v>
      </c>
      <c r="AP65" s="134"/>
      <c r="AQ65" s="49"/>
      <c r="AR65" s="49"/>
      <c r="AS65" s="139"/>
      <c r="AT65" s="138"/>
      <c r="AU65" s="138"/>
      <c r="AV65" s="134"/>
      <c r="AW65" s="134"/>
      <c r="AX65" s="108" t="s">
        <v>97</v>
      </c>
      <c r="AY65" s="108" t="s">
        <v>98</v>
      </c>
      <c r="AZ65" s="134"/>
      <c r="BA65" s="134"/>
      <c r="BB65" s="134"/>
      <c r="BC65" s="134"/>
      <c r="BD65" s="123"/>
      <c r="BE65" s="123"/>
      <c r="BF65" s="123"/>
      <c r="BG65" s="123"/>
      <c r="BH65" s="123"/>
      <c r="BI65" s="123"/>
      <c r="BJ65" s="123"/>
      <c r="BK65" s="123"/>
      <c r="BL65" s="123"/>
      <c r="BM65" s="117" t="s">
        <v>269</v>
      </c>
      <c r="BN65" s="123"/>
      <c r="BO65" s="140"/>
      <c r="BP65" s="140"/>
      <c r="BQ65" s="140"/>
      <c r="BR65" s="123"/>
      <c r="BS65" s="141"/>
      <c r="BT65" s="123"/>
      <c r="BU65" s="141"/>
      <c r="BV65" s="123"/>
      <c r="BW65" s="123"/>
      <c r="BX65" s="123"/>
      <c r="BY65" s="123"/>
      <c r="BZ65" s="123"/>
      <c r="CA65" s="123"/>
      <c r="CB65" s="143"/>
      <c r="CC65" s="140"/>
      <c r="CD65" s="120">
        <v>46087</v>
      </c>
      <c r="CE65" s="120">
        <v>46091</v>
      </c>
      <c r="CF65" s="120">
        <v>46093</v>
      </c>
      <c r="CG65" s="123"/>
      <c r="CH65" s="120" t="s">
        <v>270</v>
      </c>
      <c r="CI65" s="120" t="s">
        <v>125</v>
      </c>
      <c r="CJ65" s="123"/>
    </row>
    <row r="66" spans="1:88" ht="72.599999999999994" hidden="1">
      <c r="A66" s="147" t="s">
        <v>261</v>
      </c>
      <c r="B66" s="49">
        <v>0</v>
      </c>
      <c r="C66" s="49">
        <v>12</v>
      </c>
      <c r="D66" s="49">
        <v>0</v>
      </c>
      <c r="E66" s="134"/>
      <c r="F66" s="134" t="s">
        <v>136</v>
      </c>
      <c r="G66" s="150"/>
      <c r="H66" s="154">
        <v>18430908</v>
      </c>
      <c r="I66" s="149">
        <f>Tracker6[[#This Row],[DCR ID - PTC]]</f>
        <v>18430908</v>
      </c>
      <c r="J66" s="134" t="s">
        <v>271</v>
      </c>
      <c r="K66" s="134" t="s">
        <v>118</v>
      </c>
      <c r="L66" s="134"/>
      <c r="M66" s="134"/>
      <c r="N66" s="278" t="s">
        <v>263</v>
      </c>
      <c r="O66" s="123" t="s">
        <v>106</v>
      </c>
      <c r="P66" s="123"/>
      <c r="Q66" s="123"/>
      <c r="R66" s="123"/>
      <c r="S66" s="123"/>
      <c r="T66" s="123"/>
      <c r="U66" s="134"/>
      <c r="V66" s="134"/>
      <c r="W66" s="134"/>
      <c r="X66" s="134"/>
      <c r="Y66" s="134"/>
      <c r="Z66" s="134"/>
      <c r="AA66" s="134" t="s">
        <v>107</v>
      </c>
      <c r="AC66" s="134"/>
      <c r="AD66" s="134" t="s">
        <v>93</v>
      </c>
      <c r="AE66" s="49"/>
      <c r="AF66" s="136"/>
      <c r="AG66" s="137"/>
      <c r="AH66" s="134" t="s">
        <v>109</v>
      </c>
      <c r="AI66" s="134" t="s">
        <v>110</v>
      </c>
      <c r="AJ66" s="138">
        <v>46112.395833333336</v>
      </c>
      <c r="AK66" s="134" t="s">
        <v>96</v>
      </c>
      <c r="AL66" s="137">
        <v>46036.900601851848</v>
      </c>
      <c r="AM66" s="139"/>
      <c r="AN66" s="139"/>
      <c r="AO66" s="116">
        <v>46098</v>
      </c>
      <c r="AP66" s="134"/>
      <c r="AQ66" s="49"/>
      <c r="AR66" s="49"/>
      <c r="AS66" s="139"/>
      <c r="AT66" s="138"/>
      <c r="AU66" s="138"/>
      <c r="AV66" s="134"/>
      <c r="AW66" s="134"/>
      <c r="AX66" s="108" t="s">
        <v>97</v>
      </c>
      <c r="AY66" s="108" t="s">
        <v>98</v>
      </c>
      <c r="AZ66" s="134"/>
      <c r="BA66" s="134"/>
      <c r="BB66" s="134"/>
      <c r="BC66" s="134"/>
      <c r="BD66" s="123"/>
      <c r="BE66" s="123"/>
      <c r="BF66" s="123"/>
      <c r="BG66" s="123"/>
      <c r="BH66" s="123"/>
      <c r="BI66" s="123"/>
      <c r="BJ66" s="123"/>
      <c r="BK66" s="123"/>
      <c r="BL66" s="123"/>
      <c r="BM66" s="117" t="s">
        <v>272</v>
      </c>
      <c r="BN66" s="123"/>
      <c r="BO66" s="140"/>
      <c r="BP66" s="140"/>
      <c r="BQ66" s="140"/>
      <c r="BR66" s="123"/>
      <c r="BS66" s="141"/>
      <c r="BT66" s="123"/>
      <c r="BU66" s="141"/>
      <c r="BV66" s="123"/>
      <c r="BW66" s="123"/>
      <c r="BX66" s="123"/>
      <c r="BY66" s="123"/>
      <c r="BZ66" s="123"/>
      <c r="CA66" s="123"/>
      <c r="CB66" s="143"/>
      <c r="CC66" s="140"/>
      <c r="CD66" s="120">
        <v>46087</v>
      </c>
      <c r="CE66" s="120">
        <v>46091</v>
      </c>
      <c r="CF66" s="120">
        <v>46093</v>
      </c>
      <c r="CG66" s="123"/>
      <c r="CH66" s="120" t="s">
        <v>270</v>
      </c>
      <c r="CI66" s="120" t="s">
        <v>125</v>
      </c>
      <c r="CJ66" s="123"/>
    </row>
    <row r="67" spans="1:88" ht="57.95" hidden="1">
      <c r="A67" s="147" t="s">
        <v>261</v>
      </c>
      <c r="B67" s="49">
        <v>0</v>
      </c>
      <c r="C67" s="49">
        <v>12</v>
      </c>
      <c r="D67" s="49">
        <v>0</v>
      </c>
      <c r="E67" s="134"/>
      <c r="F67" s="134" t="s">
        <v>136</v>
      </c>
      <c r="G67" s="150"/>
      <c r="H67" s="154">
        <v>18430914</v>
      </c>
      <c r="I67" s="149">
        <f>Tracker6[[#This Row],[DCR ID - PTC]]</f>
        <v>18430914</v>
      </c>
      <c r="J67" s="134" t="s">
        <v>273</v>
      </c>
      <c r="K67" s="134" t="s">
        <v>118</v>
      </c>
      <c r="L67" s="134"/>
      <c r="M67" s="134"/>
      <c r="N67" s="278" t="s">
        <v>263</v>
      </c>
      <c r="O67" s="123" t="s">
        <v>106</v>
      </c>
      <c r="P67" s="123"/>
      <c r="Q67" s="123"/>
      <c r="R67" s="123"/>
      <c r="S67" s="123"/>
      <c r="T67" s="123"/>
      <c r="U67" s="134"/>
      <c r="V67" s="134"/>
      <c r="W67" s="134"/>
      <c r="X67" s="134"/>
      <c r="Y67" s="134"/>
      <c r="Z67" s="134"/>
      <c r="AA67" s="134" t="s">
        <v>107</v>
      </c>
      <c r="AC67" s="134"/>
      <c r="AD67" s="134" t="s">
        <v>93</v>
      </c>
      <c r="AE67" s="49"/>
      <c r="AF67" s="136"/>
      <c r="AG67" s="137"/>
      <c r="AH67" s="134" t="s">
        <v>109</v>
      </c>
      <c r="AI67" s="134" t="s">
        <v>110</v>
      </c>
      <c r="AJ67" s="138">
        <v>46112.395833333336</v>
      </c>
      <c r="AK67" s="134" t="s">
        <v>96</v>
      </c>
      <c r="AL67" s="137">
        <v>46036.901134259257</v>
      </c>
      <c r="AM67" s="139"/>
      <c r="AN67" s="139"/>
      <c r="AO67" s="116">
        <v>46098</v>
      </c>
      <c r="AP67" s="134"/>
      <c r="AQ67" s="49"/>
      <c r="AR67" s="49"/>
      <c r="AS67" s="139"/>
      <c r="AT67" s="138"/>
      <c r="AU67" s="138"/>
      <c r="AV67" s="134"/>
      <c r="AW67" s="134"/>
      <c r="AX67" s="108" t="s">
        <v>97</v>
      </c>
      <c r="AY67" s="108" t="s">
        <v>98</v>
      </c>
      <c r="AZ67" s="134"/>
      <c r="BA67" s="134"/>
      <c r="BB67" s="134"/>
      <c r="BC67" s="134"/>
      <c r="BD67" s="123"/>
      <c r="BE67" s="123"/>
      <c r="BF67" s="123"/>
      <c r="BG67" s="123"/>
      <c r="BH67" s="123"/>
      <c r="BI67" s="123"/>
      <c r="BJ67" s="123"/>
      <c r="BK67" s="123"/>
      <c r="BL67" s="123"/>
      <c r="BM67" s="117" t="s">
        <v>274</v>
      </c>
      <c r="BN67" s="123"/>
      <c r="BO67" s="140"/>
      <c r="BP67" s="140"/>
      <c r="BQ67" s="140"/>
      <c r="BR67" s="123"/>
      <c r="BS67" s="141"/>
      <c r="BT67" s="123"/>
      <c r="BU67" s="141"/>
      <c r="BV67" s="123"/>
      <c r="BW67" s="123"/>
      <c r="BX67" s="123"/>
      <c r="BY67" s="123"/>
      <c r="BZ67" s="123"/>
      <c r="CA67" s="123"/>
      <c r="CB67" s="143"/>
      <c r="CC67" s="140"/>
      <c r="CD67" s="120">
        <v>46087</v>
      </c>
      <c r="CE67" s="120">
        <v>46091</v>
      </c>
      <c r="CF67" s="120">
        <v>46093</v>
      </c>
      <c r="CG67" s="123"/>
      <c r="CH67" s="120" t="s">
        <v>270</v>
      </c>
      <c r="CI67" s="120" t="s">
        <v>125</v>
      </c>
      <c r="CJ67" s="123"/>
    </row>
    <row r="68" spans="1:88" ht="57.95" hidden="1">
      <c r="A68" s="147" t="s">
        <v>261</v>
      </c>
      <c r="B68" s="49">
        <v>0</v>
      </c>
      <c r="C68" s="49">
        <v>12</v>
      </c>
      <c r="D68" s="49">
        <v>0</v>
      </c>
      <c r="E68" s="134"/>
      <c r="F68" s="134" t="s">
        <v>136</v>
      </c>
      <c r="G68" s="150"/>
      <c r="H68" s="154">
        <v>18430915</v>
      </c>
      <c r="I68" s="149">
        <f>Tracker6[[#This Row],[DCR ID - PTC]]</f>
        <v>18430915</v>
      </c>
      <c r="J68" s="134" t="s">
        <v>275</v>
      </c>
      <c r="K68" s="134" t="s">
        <v>118</v>
      </c>
      <c r="L68" s="134"/>
      <c r="M68" s="134"/>
      <c r="N68" s="278" t="s">
        <v>263</v>
      </c>
      <c r="O68" s="123" t="s">
        <v>106</v>
      </c>
      <c r="P68" s="123"/>
      <c r="Q68" s="123"/>
      <c r="R68" s="123"/>
      <c r="S68" s="123"/>
      <c r="T68" s="123"/>
      <c r="U68" s="134"/>
      <c r="V68" s="134"/>
      <c r="W68" s="134"/>
      <c r="X68" s="134"/>
      <c r="Y68" s="134"/>
      <c r="Z68" s="134"/>
      <c r="AA68" s="134" t="s">
        <v>107</v>
      </c>
      <c r="AC68" s="134"/>
      <c r="AD68" s="134" t="s">
        <v>93</v>
      </c>
      <c r="AE68" s="49"/>
      <c r="AF68" s="136"/>
      <c r="AG68" s="137"/>
      <c r="AH68" s="134" t="s">
        <v>109</v>
      </c>
      <c r="AI68" s="134" t="s">
        <v>110</v>
      </c>
      <c r="AJ68" s="138">
        <v>46112.395833333336</v>
      </c>
      <c r="AK68" s="134" t="s">
        <v>96</v>
      </c>
      <c r="AL68" s="137">
        <v>46036.901238425926</v>
      </c>
      <c r="AM68" s="139"/>
      <c r="AN68" s="139"/>
      <c r="AO68" s="116">
        <v>46098</v>
      </c>
      <c r="AP68" s="134"/>
      <c r="AQ68" s="49"/>
      <c r="AR68" s="49"/>
      <c r="AS68" s="139"/>
      <c r="AT68" s="138"/>
      <c r="AU68" s="138"/>
      <c r="AV68" s="134"/>
      <c r="AW68" s="134"/>
      <c r="AX68" s="108" t="s">
        <v>97</v>
      </c>
      <c r="AY68" s="108" t="s">
        <v>98</v>
      </c>
      <c r="AZ68" s="134"/>
      <c r="BA68" s="134"/>
      <c r="BB68" s="134"/>
      <c r="BC68" s="134"/>
      <c r="BD68" s="123"/>
      <c r="BE68" s="123"/>
      <c r="BF68" s="123"/>
      <c r="BG68" s="123"/>
      <c r="BH68" s="123"/>
      <c r="BI68" s="123"/>
      <c r="BJ68" s="123"/>
      <c r="BK68" s="123"/>
      <c r="BL68" s="123"/>
      <c r="BM68" s="117" t="s">
        <v>276</v>
      </c>
      <c r="BN68" s="123"/>
      <c r="BO68" s="140"/>
      <c r="BP68" s="140"/>
      <c r="BQ68" s="140"/>
      <c r="BR68" s="123"/>
      <c r="BS68" s="141"/>
      <c r="BT68" s="123"/>
      <c r="BU68" s="141"/>
      <c r="BV68" s="123"/>
      <c r="BW68" s="123"/>
      <c r="BX68" s="123"/>
      <c r="BY68" s="123"/>
      <c r="BZ68" s="123"/>
      <c r="CA68" s="123"/>
      <c r="CB68" s="143"/>
      <c r="CC68" s="140"/>
      <c r="CD68" s="120">
        <v>46087</v>
      </c>
      <c r="CE68" s="120">
        <v>46091</v>
      </c>
      <c r="CF68" s="120">
        <v>46093</v>
      </c>
      <c r="CG68" s="123"/>
      <c r="CH68" s="120" t="s">
        <v>270</v>
      </c>
      <c r="CI68" s="120" t="s">
        <v>125</v>
      </c>
      <c r="CJ68" s="123"/>
    </row>
    <row r="69" spans="1:88" ht="72.599999999999994" hidden="1">
      <c r="A69" s="147" t="s">
        <v>261</v>
      </c>
      <c r="B69" s="49">
        <v>0</v>
      </c>
      <c r="C69" s="49">
        <v>12</v>
      </c>
      <c r="D69" s="49">
        <v>0</v>
      </c>
      <c r="E69" s="134"/>
      <c r="F69" s="134" t="s">
        <v>136</v>
      </c>
      <c r="G69" s="150"/>
      <c r="H69" s="154">
        <v>18430916</v>
      </c>
      <c r="I69" s="149">
        <f>Tracker6[[#This Row],[DCR ID - PTC]]</f>
        <v>18430916</v>
      </c>
      <c r="J69" s="134" t="s">
        <v>277</v>
      </c>
      <c r="K69" s="134" t="s">
        <v>118</v>
      </c>
      <c r="L69" s="134"/>
      <c r="M69" s="134"/>
      <c r="N69" s="278" t="s">
        <v>263</v>
      </c>
      <c r="O69" s="123" t="s">
        <v>106</v>
      </c>
      <c r="P69" s="123"/>
      <c r="Q69" s="123"/>
      <c r="R69" s="123"/>
      <c r="S69" s="123"/>
      <c r="T69" s="123"/>
      <c r="U69" s="134"/>
      <c r="V69" s="134"/>
      <c r="W69" s="134"/>
      <c r="X69" s="134"/>
      <c r="Y69" s="134"/>
      <c r="Z69" s="134"/>
      <c r="AA69" s="134" t="s">
        <v>107</v>
      </c>
      <c r="AC69" s="134"/>
      <c r="AD69" s="134" t="s">
        <v>93</v>
      </c>
      <c r="AE69" s="49"/>
      <c r="AF69" s="136"/>
      <c r="AG69" s="137"/>
      <c r="AH69" s="134" t="s">
        <v>109</v>
      </c>
      <c r="AI69" s="134" t="s">
        <v>110</v>
      </c>
      <c r="AJ69" s="138">
        <v>46112.395833333336</v>
      </c>
      <c r="AK69" s="134" t="s">
        <v>96</v>
      </c>
      <c r="AL69" s="137">
        <v>46036.901365740741</v>
      </c>
      <c r="AM69" s="139"/>
      <c r="AN69" s="139"/>
      <c r="AO69" s="116">
        <v>46093</v>
      </c>
      <c r="AP69" s="134"/>
      <c r="AQ69" s="49"/>
      <c r="AR69" s="49"/>
      <c r="AS69" s="139"/>
      <c r="AT69" s="138"/>
      <c r="AU69" s="138"/>
      <c r="AV69" s="134"/>
      <c r="AW69" s="134"/>
      <c r="AX69" s="108" t="s">
        <v>97</v>
      </c>
      <c r="AY69" s="108" t="s">
        <v>98</v>
      </c>
      <c r="AZ69" s="134"/>
      <c r="BA69" s="134"/>
      <c r="BB69" s="134"/>
      <c r="BC69" s="134"/>
      <c r="BD69" s="123"/>
      <c r="BE69" s="123"/>
      <c r="BF69" s="123"/>
      <c r="BG69" s="123"/>
      <c r="BH69" s="123"/>
      <c r="BI69" s="123"/>
      <c r="BJ69" s="123"/>
      <c r="BK69" s="123"/>
      <c r="BL69" s="123"/>
      <c r="BM69" s="117" t="s">
        <v>278</v>
      </c>
      <c r="BN69" s="123"/>
      <c r="BO69" s="140"/>
      <c r="BP69" s="140"/>
      <c r="BQ69" s="140"/>
      <c r="BR69" s="123"/>
      <c r="BS69" s="141"/>
      <c r="BT69" s="123"/>
      <c r="BU69" s="141"/>
      <c r="BV69" s="123"/>
      <c r="BW69" s="123"/>
      <c r="BX69" s="123"/>
      <c r="BY69" s="123"/>
      <c r="BZ69" s="123"/>
      <c r="CA69" s="123"/>
      <c r="CB69" s="143"/>
      <c r="CC69" s="140"/>
      <c r="CD69" s="120">
        <v>46084</v>
      </c>
      <c r="CE69" s="120">
        <v>46058</v>
      </c>
      <c r="CF69" s="120">
        <v>46090</v>
      </c>
      <c r="CG69" s="123"/>
      <c r="CH69" s="120" t="s">
        <v>270</v>
      </c>
      <c r="CI69" s="120" t="s">
        <v>125</v>
      </c>
      <c r="CJ69" s="123"/>
    </row>
    <row r="70" spans="1:88" ht="57.95" hidden="1">
      <c r="A70" s="147" t="s">
        <v>261</v>
      </c>
      <c r="B70" s="49">
        <v>0</v>
      </c>
      <c r="C70" s="49">
        <v>12</v>
      </c>
      <c r="D70" s="49">
        <v>0</v>
      </c>
      <c r="E70" s="134"/>
      <c r="F70" s="134" t="s">
        <v>136</v>
      </c>
      <c r="G70" s="150"/>
      <c r="H70" s="154">
        <v>18430923</v>
      </c>
      <c r="I70" s="149">
        <f>Tracker6[[#This Row],[DCR ID - PTC]]</f>
        <v>18430923</v>
      </c>
      <c r="J70" s="134" t="s">
        <v>279</v>
      </c>
      <c r="K70" s="134" t="s">
        <v>118</v>
      </c>
      <c r="L70" s="134"/>
      <c r="M70" s="134"/>
      <c r="N70" s="278" t="s">
        <v>263</v>
      </c>
      <c r="O70" s="123" t="s">
        <v>106</v>
      </c>
      <c r="P70" s="123"/>
      <c r="Q70" s="123"/>
      <c r="R70" s="123"/>
      <c r="S70" s="123"/>
      <c r="T70" s="123"/>
      <c r="U70" s="134"/>
      <c r="V70" s="134"/>
      <c r="W70" s="134"/>
      <c r="X70" s="134"/>
      <c r="Y70" s="134"/>
      <c r="Z70" s="134"/>
      <c r="AA70" s="134" t="s">
        <v>107</v>
      </c>
      <c r="AC70" s="134"/>
      <c r="AD70" s="134" t="s">
        <v>93</v>
      </c>
      <c r="AE70" s="49"/>
      <c r="AF70" s="136"/>
      <c r="AG70" s="137"/>
      <c r="AH70" s="134" t="s">
        <v>109</v>
      </c>
      <c r="AI70" s="134" t="s">
        <v>110</v>
      </c>
      <c r="AJ70" s="138">
        <v>46112.395833333336</v>
      </c>
      <c r="AK70" s="134" t="s">
        <v>96</v>
      </c>
      <c r="AL70" s="137">
        <v>46036.902060185188</v>
      </c>
      <c r="AM70" s="139"/>
      <c r="AN70" s="139"/>
      <c r="AO70" s="116">
        <v>46093</v>
      </c>
      <c r="AP70" s="134"/>
      <c r="AQ70" s="49"/>
      <c r="AR70" s="49"/>
      <c r="AS70" s="139"/>
      <c r="AT70" s="138"/>
      <c r="AU70" s="138"/>
      <c r="AV70" s="134"/>
      <c r="AW70" s="134"/>
      <c r="AX70" s="108" t="s">
        <v>97</v>
      </c>
      <c r="AY70" s="108" t="s">
        <v>98</v>
      </c>
      <c r="AZ70" s="134"/>
      <c r="BA70" s="134"/>
      <c r="BB70" s="134"/>
      <c r="BC70" s="134"/>
      <c r="BD70" s="123"/>
      <c r="BE70" s="123"/>
      <c r="BF70" s="123"/>
      <c r="BG70" s="123"/>
      <c r="BH70" s="123"/>
      <c r="BI70" s="123"/>
      <c r="BJ70" s="123"/>
      <c r="BK70" s="123"/>
      <c r="BL70" s="123"/>
      <c r="BM70" s="117" t="s">
        <v>280</v>
      </c>
      <c r="BN70" s="123"/>
      <c r="BO70" s="140"/>
      <c r="BP70" s="140"/>
      <c r="BQ70" s="140"/>
      <c r="BR70" s="123"/>
      <c r="BS70" s="141"/>
      <c r="BT70" s="123"/>
      <c r="BU70" s="141"/>
      <c r="BV70" s="123"/>
      <c r="BW70" s="123"/>
      <c r="BX70" s="123"/>
      <c r="BY70" s="123"/>
      <c r="BZ70" s="123"/>
      <c r="CA70" s="123"/>
      <c r="CB70" s="143"/>
      <c r="CC70" s="140"/>
      <c r="CD70" s="120">
        <v>46084</v>
      </c>
      <c r="CE70" s="120">
        <v>46086</v>
      </c>
      <c r="CF70" s="120">
        <v>46090</v>
      </c>
      <c r="CG70" s="123"/>
      <c r="CH70" s="120" t="s">
        <v>270</v>
      </c>
      <c r="CI70" s="120" t="s">
        <v>125</v>
      </c>
      <c r="CJ70" s="123"/>
    </row>
    <row r="71" spans="1:88" ht="57.95" hidden="1">
      <c r="A71" s="147" t="s">
        <v>261</v>
      </c>
      <c r="B71" s="49">
        <v>0</v>
      </c>
      <c r="C71" s="49">
        <v>12</v>
      </c>
      <c r="D71" s="49">
        <v>0</v>
      </c>
      <c r="E71" s="134"/>
      <c r="F71" s="134" t="s">
        <v>136</v>
      </c>
      <c r="G71" s="150"/>
      <c r="H71" s="154" t="s">
        <v>281</v>
      </c>
      <c r="I71" s="149" t="str">
        <f>Tracker6[[#This Row],[DCR ID - PTC]]</f>
        <v>18430929 / 19097464</v>
      </c>
      <c r="J71" s="134" t="s">
        <v>282</v>
      </c>
      <c r="K71" s="134" t="s">
        <v>118</v>
      </c>
      <c r="L71" s="134"/>
      <c r="M71" s="134"/>
      <c r="N71" s="278" t="s">
        <v>283</v>
      </c>
      <c r="O71" s="123" t="s">
        <v>106</v>
      </c>
      <c r="P71" s="123"/>
      <c r="Q71" s="123"/>
      <c r="R71" s="123"/>
      <c r="S71" s="123"/>
      <c r="T71" s="123"/>
      <c r="U71" s="134"/>
      <c r="V71" s="134"/>
      <c r="W71" s="134"/>
      <c r="X71" s="134"/>
      <c r="Y71" s="134"/>
      <c r="Z71" s="134"/>
      <c r="AA71" s="134" t="s">
        <v>107</v>
      </c>
      <c r="AC71" s="134"/>
      <c r="AD71" s="134" t="s">
        <v>93</v>
      </c>
      <c r="AE71" s="49"/>
      <c r="AF71" s="136"/>
      <c r="AG71" s="137"/>
      <c r="AH71" s="134" t="s">
        <v>109</v>
      </c>
      <c r="AI71" s="134" t="s">
        <v>110</v>
      </c>
      <c r="AJ71" s="138">
        <v>46112.395833333336</v>
      </c>
      <c r="AK71" s="134" t="s">
        <v>96</v>
      </c>
      <c r="AL71" s="137">
        <v>46036.902442129627</v>
      </c>
      <c r="AM71" s="139"/>
      <c r="AN71" s="139"/>
      <c r="AO71" s="116">
        <v>46093</v>
      </c>
      <c r="AP71" s="134"/>
      <c r="AQ71" s="49"/>
      <c r="AR71" s="49"/>
      <c r="AS71" s="139"/>
      <c r="AT71" s="138"/>
      <c r="AU71" s="138"/>
      <c r="AV71" s="134"/>
      <c r="AW71" s="134"/>
      <c r="AX71" s="108" t="s">
        <v>97</v>
      </c>
      <c r="AY71" s="108" t="s">
        <v>98</v>
      </c>
      <c r="AZ71" s="134"/>
      <c r="BA71" s="134"/>
      <c r="BB71" s="134"/>
      <c r="BC71" s="134"/>
      <c r="BD71" s="123"/>
      <c r="BE71" s="123"/>
      <c r="BF71" s="123"/>
      <c r="BG71" s="123"/>
      <c r="BH71" s="123"/>
      <c r="BI71" s="123"/>
      <c r="BJ71" s="123"/>
      <c r="BK71" s="123"/>
      <c r="BL71" s="123"/>
      <c r="BM71" s="117" t="s">
        <v>284</v>
      </c>
      <c r="BN71" s="123"/>
      <c r="BO71" s="140"/>
      <c r="BP71" s="140"/>
      <c r="BQ71" s="140"/>
      <c r="BR71" s="123"/>
      <c r="BS71" s="141"/>
      <c r="BT71" s="123"/>
      <c r="BU71" s="141"/>
      <c r="BV71" s="123"/>
      <c r="BW71" s="123"/>
      <c r="BX71" s="123"/>
      <c r="BY71" s="123"/>
      <c r="BZ71" s="123"/>
      <c r="CA71" s="123"/>
      <c r="CB71" s="143"/>
      <c r="CC71" s="140"/>
      <c r="CD71" s="120">
        <v>46084</v>
      </c>
      <c r="CE71" s="120">
        <v>46058</v>
      </c>
      <c r="CF71" s="120">
        <v>46090</v>
      </c>
      <c r="CG71" s="123"/>
      <c r="CH71" s="120" t="s">
        <v>270</v>
      </c>
      <c r="CI71" s="120" t="s">
        <v>125</v>
      </c>
      <c r="CJ71" s="123"/>
    </row>
    <row r="72" spans="1:88" ht="72.599999999999994" hidden="1">
      <c r="A72" s="147" t="s">
        <v>261</v>
      </c>
      <c r="B72" s="49">
        <v>0</v>
      </c>
      <c r="C72" s="49">
        <v>12</v>
      </c>
      <c r="D72" s="49">
        <v>0</v>
      </c>
      <c r="E72" s="134"/>
      <c r="F72" s="134" t="s">
        <v>136</v>
      </c>
      <c r="G72" s="150"/>
      <c r="H72" s="154">
        <v>18430934</v>
      </c>
      <c r="I72" s="149">
        <f>Tracker6[[#This Row],[DCR ID - PTC]]</f>
        <v>18430934</v>
      </c>
      <c r="J72" s="134" t="s">
        <v>285</v>
      </c>
      <c r="K72" s="134" t="s">
        <v>118</v>
      </c>
      <c r="L72" s="134"/>
      <c r="M72" s="134"/>
      <c r="N72" s="278" t="s">
        <v>263</v>
      </c>
      <c r="O72" s="123" t="s">
        <v>106</v>
      </c>
      <c r="P72" s="123"/>
      <c r="Q72" s="123"/>
      <c r="R72" s="123"/>
      <c r="S72" s="123"/>
      <c r="T72" s="123"/>
      <c r="U72" s="134"/>
      <c r="V72" s="134"/>
      <c r="W72" s="134"/>
      <c r="X72" s="134"/>
      <c r="Y72" s="134"/>
      <c r="Z72" s="134"/>
      <c r="AA72" s="134" t="s">
        <v>107</v>
      </c>
      <c r="AC72" s="134"/>
      <c r="AD72" s="134" t="s">
        <v>93</v>
      </c>
      <c r="AE72" s="49"/>
      <c r="AF72" s="136"/>
      <c r="AG72" s="137"/>
      <c r="AH72" s="134" t="s">
        <v>109</v>
      </c>
      <c r="AI72" s="134" t="s">
        <v>110</v>
      </c>
      <c r="AJ72" s="138">
        <v>46112.395833333336</v>
      </c>
      <c r="AK72" s="134" t="s">
        <v>96</v>
      </c>
      <c r="AL72" s="137">
        <v>46036.902800925927</v>
      </c>
      <c r="AM72" s="139"/>
      <c r="AN72" s="139"/>
      <c r="AO72" s="116">
        <v>46093</v>
      </c>
      <c r="AP72" s="134"/>
      <c r="AQ72" s="49"/>
      <c r="AR72" s="49"/>
      <c r="AS72" s="139"/>
      <c r="AT72" s="138"/>
      <c r="AU72" s="138"/>
      <c r="AV72" s="134"/>
      <c r="AW72" s="134"/>
      <c r="AX72" s="108" t="s">
        <v>97</v>
      </c>
      <c r="AY72" s="108" t="s">
        <v>98</v>
      </c>
      <c r="AZ72" s="134"/>
      <c r="BA72" s="134"/>
      <c r="BB72" s="134"/>
      <c r="BC72" s="134"/>
      <c r="BD72" s="123"/>
      <c r="BE72" s="123"/>
      <c r="BF72" s="123"/>
      <c r="BG72" s="123"/>
      <c r="BH72" s="123"/>
      <c r="BI72" s="123"/>
      <c r="BJ72" s="123"/>
      <c r="BK72" s="123"/>
      <c r="BL72" s="123"/>
      <c r="BM72" s="117" t="s">
        <v>286</v>
      </c>
      <c r="BN72" s="123"/>
      <c r="BO72" s="140"/>
      <c r="BP72" s="140"/>
      <c r="BQ72" s="140"/>
      <c r="BR72" s="123"/>
      <c r="BS72" s="141"/>
      <c r="BT72" s="123"/>
      <c r="BU72" s="141"/>
      <c r="BV72" s="123"/>
      <c r="BW72" s="123"/>
      <c r="BX72" s="123"/>
      <c r="BY72" s="123"/>
      <c r="BZ72" s="123"/>
      <c r="CA72" s="123"/>
      <c r="CB72" s="143"/>
      <c r="CC72" s="140"/>
      <c r="CD72" s="120">
        <v>46084</v>
      </c>
      <c r="CE72" s="120">
        <v>46058</v>
      </c>
      <c r="CF72" s="120">
        <v>46090</v>
      </c>
      <c r="CG72" s="123"/>
      <c r="CH72" s="120" t="s">
        <v>270</v>
      </c>
      <c r="CI72" s="120" t="s">
        <v>125</v>
      </c>
      <c r="CJ72" s="123"/>
    </row>
    <row r="73" spans="1:88" ht="72.599999999999994" hidden="1">
      <c r="A73" s="147" t="s">
        <v>261</v>
      </c>
      <c r="B73" s="49">
        <f>1.5+3+5</f>
        <v>9.5</v>
      </c>
      <c r="C73" s="49">
        <v>46</v>
      </c>
      <c r="D73" s="49">
        <f>Tracker6[[#This Row],[Estimated Hrs]]-Tracker6[[#This Row],[Actual Efforts (Hrs)]]</f>
        <v>36.5</v>
      </c>
      <c r="E73" s="134"/>
      <c r="F73" s="134" t="s">
        <v>136</v>
      </c>
      <c r="G73" s="150"/>
      <c r="H73" s="154" t="s">
        <v>287</v>
      </c>
      <c r="I73" s="149" t="str">
        <f>Tracker6[[#This Row],[DCR ID - PTC]]</f>
        <v>18430935 / 19163955</v>
      </c>
      <c r="J73" s="134" t="s">
        <v>288</v>
      </c>
      <c r="K73" s="134" t="s">
        <v>118</v>
      </c>
      <c r="L73" s="134"/>
      <c r="M73" s="134"/>
      <c r="N73" s="340" t="s">
        <v>289</v>
      </c>
      <c r="O73" s="123" t="s">
        <v>115</v>
      </c>
      <c r="P73" s="123"/>
      <c r="Q73" s="123"/>
      <c r="R73" s="123"/>
      <c r="S73" s="123"/>
      <c r="T73" s="123"/>
      <c r="U73" s="134"/>
      <c r="V73" s="134"/>
      <c r="W73" s="134"/>
      <c r="X73" s="134"/>
      <c r="Y73" s="134"/>
      <c r="Z73" s="134"/>
      <c r="AA73" s="134" t="s">
        <v>107</v>
      </c>
      <c r="AC73" s="134"/>
      <c r="AD73" s="134" t="s">
        <v>93</v>
      </c>
      <c r="AE73" s="49"/>
      <c r="AF73" s="136"/>
      <c r="AG73" s="137"/>
      <c r="AH73" s="134" t="s">
        <v>109</v>
      </c>
      <c r="AI73" s="134" t="s">
        <v>110</v>
      </c>
      <c r="AJ73" s="138">
        <v>46112.395833333336</v>
      </c>
      <c r="AK73" s="134" t="s">
        <v>96</v>
      </c>
      <c r="AL73" s="137">
        <v>46036.902939814812</v>
      </c>
      <c r="AM73" s="139"/>
      <c r="AN73" s="139"/>
      <c r="AO73" s="116">
        <v>46136</v>
      </c>
      <c r="AP73" s="134"/>
      <c r="AQ73" s="49"/>
      <c r="AR73" s="49"/>
      <c r="AS73" s="139"/>
      <c r="AT73" s="138"/>
      <c r="AU73" s="138"/>
      <c r="AV73" s="134"/>
      <c r="AW73" s="134"/>
      <c r="AX73" s="108" t="s">
        <v>97</v>
      </c>
      <c r="AY73" s="108" t="s">
        <v>98</v>
      </c>
      <c r="AZ73" s="134"/>
      <c r="BA73" s="134"/>
      <c r="BB73" s="134"/>
      <c r="BC73" s="134"/>
      <c r="BD73" s="123"/>
      <c r="BE73" s="123"/>
      <c r="BF73" s="123"/>
      <c r="BG73" s="123"/>
      <c r="BH73" s="123"/>
      <c r="BI73" s="123"/>
      <c r="BJ73" s="123"/>
      <c r="BK73" s="123"/>
      <c r="BL73" s="123"/>
      <c r="BM73" s="117" t="s">
        <v>290</v>
      </c>
      <c r="BN73" s="123"/>
      <c r="BO73" s="140"/>
      <c r="BP73" s="140"/>
      <c r="BQ73" s="140"/>
      <c r="BR73" s="123"/>
      <c r="BS73" s="141"/>
      <c r="BT73" s="123"/>
      <c r="BU73" s="141"/>
      <c r="BV73" s="123"/>
      <c r="BW73" s="123"/>
      <c r="BX73" s="123"/>
      <c r="BY73" s="123"/>
      <c r="BZ73" s="123"/>
      <c r="CA73" s="123"/>
      <c r="CB73" s="143">
        <v>0.01</v>
      </c>
      <c r="CC73" s="140"/>
      <c r="CD73" s="120" t="s">
        <v>270</v>
      </c>
      <c r="CE73" s="120" t="s">
        <v>270</v>
      </c>
      <c r="CF73" s="120" t="s">
        <v>270</v>
      </c>
      <c r="CG73" s="123"/>
      <c r="CH73" s="120" t="s">
        <v>270</v>
      </c>
      <c r="CI73" s="120" t="s">
        <v>125</v>
      </c>
      <c r="CJ73" s="123"/>
    </row>
    <row r="74" spans="1:88" ht="72.599999999999994" hidden="1">
      <c r="A74" s="147" t="s">
        <v>261</v>
      </c>
      <c r="B74" s="49">
        <v>0</v>
      </c>
      <c r="C74" s="49">
        <v>12</v>
      </c>
      <c r="D74" s="49">
        <v>0</v>
      </c>
      <c r="E74" s="134"/>
      <c r="F74" s="134" t="s">
        <v>136</v>
      </c>
      <c r="G74" s="150"/>
      <c r="H74" s="154">
        <v>18430943</v>
      </c>
      <c r="I74" s="149">
        <f>Tracker6[[#This Row],[DCR ID - PTC]]</f>
        <v>18430943</v>
      </c>
      <c r="J74" s="134" t="s">
        <v>291</v>
      </c>
      <c r="K74" s="134" t="s">
        <v>118</v>
      </c>
      <c r="L74" s="134"/>
      <c r="M74" s="134"/>
      <c r="N74" s="278" t="s">
        <v>263</v>
      </c>
      <c r="O74" s="123" t="s">
        <v>106</v>
      </c>
      <c r="P74" s="123"/>
      <c r="Q74" s="123"/>
      <c r="R74" s="123"/>
      <c r="S74" s="123"/>
      <c r="T74" s="123"/>
      <c r="U74" s="134"/>
      <c r="V74" s="134"/>
      <c r="W74" s="134"/>
      <c r="X74" s="134"/>
      <c r="Y74" s="134"/>
      <c r="Z74" s="134"/>
      <c r="AA74" s="134" t="s">
        <v>107</v>
      </c>
      <c r="AC74" s="134"/>
      <c r="AD74" s="134" t="s">
        <v>93</v>
      </c>
      <c r="AE74" s="49"/>
      <c r="AF74" s="136"/>
      <c r="AG74" s="137"/>
      <c r="AH74" s="134" t="s">
        <v>109</v>
      </c>
      <c r="AI74" s="134" t="s">
        <v>110</v>
      </c>
      <c r="AJ74" s="138">
        <v>46112.395833333336</v>
      </c>
      <c r="AK74" s="134" t="s">
        <v>96</v>
      </c>
      <c r="AL74" s="137">
        <v>46036.903090277781</v>
      </c>
      <c r="AM74" s="139"/>
      <c r="AN74" s="139"/>
      <c r="AO74" s="116">
        <v>46090</v>
      </c>
      <c r="AP74" s="134"/>
      <c r="AQ74" s="49"/>
      <c r="AR74" s="49"/>
      <c r="AS74" s="139"/>
      <c r="AT74" s="138"/>
      <c r="AU74" s="138"/>
      <c r="AV74" s="134"/>
      <c r="AW74" s="134"/>
      <c r="AX74" s="108" t="s">
        <v>97</v>
      </c>
      <c r="AY74" s="108" t="s">
        <v>98</v>
      </c>
      <c r="AZ74" s="134"/>
      <c r="BA74" s="134"/>
      <c r="BB74" s="134"/>
      <c r="BC74" s="134"/>
      <c r="BD74" s="123"/>
      <c r="BE74" s="123"/>
      <c r="BF74" s="123"/>
      <c r="BG74" s="123"/>
      <c r="BH74" s="123"/>
      <c r="BI74" s="123"/>
      <c r="BJ74" s="123"/>
      <c r="BK74" s="123"/>
      <c r="BL74" s="123"/>
      <c r="BM74" s="117" t="s">
        <v>292</v>
      </c>
      <c r="BN74" s="123"/>
      <c r="BO74" s="140"/>
      <c r="BP74" s="140"/>
      <c r="BQ74" s="140"/>
      <c r="BR74" s="123"/>
      <c r="BS74" s="141"/>
      <c r="BT74" s="123"/>
      <c r="BU74" s="141"/>
      <c r="BV74" s="123"/>
      <c r="BW74" s="123"/>
      <c r="BX74" s="123"/>
      <c r="BY74" s="123"/>
      <c r="BZ74" s="123"/>
      <c r="CA74" s="123"/>
      <c r="CB74" s="143"/>
      <c r="CC74" s="140"/>
      <c r="CD74" s="120">
        <v>46079</v>
      </c>
      <c r="CE74" s="120">
        <v>46083</v>
      </c>
      <c r="CF74" s="120">
        <v>46085</v>
      </c>
      <c r="CG74" s="123"/>
      <c r="CH74" s="120" t="s">
        <v>270</v>
      </c>
      <c r="CI74" s="120" t="s">
        <v>125</v>
      </c>
      <c r="CJ74" s="123"/>
    </row>
    <row r="75" spans="1:88" ht="57.95" hidden="1">
      <c r="A75" s="147" t="s">
        <v>261</v>
      </c>
      <c r="B75" s="49">
        <v>0</v>
      </c>
      <c r="C75" s="49">
        <v>12</v>
      </c>
      <c r="D75" s="49">
        <v>0</v>
      </c>
      <c r="E75" s="134"/>
      <c r="F75" s="134" t="s">
        <v>136</v>
      </c>
      <c r="G75" s="150"/>
      <c r="H75" s="154">
        <v>18430944</v>
      </c>
      <c r="I75" s="149">
        <f>Tracker6[[#This Row],[DCR ID - PTC]]</f>
        <v>18430944</v>
      </c>
      <c r="J75" s="134" t="s">
        <v>293</v>
      </c>
      <c r="K75" s="134" t="s">
        <v>118</v>
      </c>
      <c r="L75" s="134"/>
      <c r="M75" s="134"/>
      <c r="N75" s="278" t="s">
        <v>263</v>
      </c>
      <c r="O75" s="123" t="s">
        <v>106</v>
      </c>
      <c r="P75" s="123"/>
      <c r="Q75" s="123"/>
      <c r="R75" s="123"/>
      <c r="S75" s="123"/>
      <c r="T75" s="123"/>
      <c r="U75" s="134"/>
      <c r="V75" s="134"/>
      <c r="W75" s="134"/>
      <c r="X75" s="134"/>
      <c r="Y75" s="134"/>
      <c r="Z75" s="134"/>
      <c r="AA75" s="134" t="s">
        <v>107</v>
      </c>
      <c r="AC75" s="134"/>
      <c r="AD75" s="134" t="s">
        <v>93</v>
      </c>
      <c r="AE75" s="49"/>
      <c r="AF75" s="136"/>
      <c r="AG75" s="137"/>
      <c r="AH75" s="134" t="s">
        <v>109</v>
      </c>
      <c r="AI75" s="134" t="s">
        <v>110</v>
      </c>
      <c r="AJ75" s="138">
        <v>46112.395833333336</v>
      </c>
      <c r="AK75" s="134" t="s">
        <v>96</v>
      </c>
      <c r="AL75" s="137">
        <v>46036.90320601852</v>
      </c>
      <c r="AM75" s="139"/>
      <c r="AN75" s="139"/>
      <c r="AO75" s="116">
        <v>46090</v>
      </c>
      <c r="AP75" s="134"/>
      <c r="AQ75" s="49"/>
      <c r="AR75" s="49"/>
      <c r="AS75" s="139"/>
      <c r="AT75" s="138"/>
      <c r="AU75" s="138"/>
      <c r="AV75" s="134"/>
      <c r="AW75" s="134"/>
      <c r="AX75" s="108" t="s">
        <v>97</v>
      </c>
      <c r="AY75" s="108" t="s">
        <v>98</v>
      </c>
      <c r="AZ75" s="134"/>
      <c r="BA75" s="134"/>
      <c r="BB75" s="134"/>
      <c r="BC75" s="134"/>
      <c r="BD75" s="123"/>
      <c r="BE75" s="123"/>
      <c r="BF75" s="123"/>
      <c r="BG75" s="123"/>
      <c r="BH75" s="123"/>
      <c r="BI75" s="123"/>
      <c r="BJ75" s="123"/>
      <c r="BK75" s="123"/>
      <c r="BL75" s="123"/>
      <c r="BM75" s="117" t="s">
        <v>294</v>
      </c>
      <c r="BN75" s="123"/>
      <c r="BO75" s="140"/>
      <c r="BP75" s="140"/>
      <c r="BQ75" s="140"/>
      <c r="BR75" s="123"/>
      <c r="BS75" s="141"/>
      <c r="BT75" s="123"/>
      <c r="BU75" s="141"/>
      <c r="BV75" s="123"/>
      <c r="BW75" s="123"/>
      <c r="BX75" s="123"/>
      <c r="BY75" s="123"/>
      <c r="BZ75" s="123"/>
      <c r="CA75" s="123"/>
      <c r="CB75" s="143"/>
      <c r="CC75" s="140"/>
      <c r="CD75" s="120">
        <v>46079</v>
      </c>
      <c r="CE75" s="120">
        <v>46083</v>
      </c>
      <c r="CF75" s="120">
        <v>46085</v>
      </c>
      <c r="CG75" s="123"/>
      <c r="CH75" s="120" t="s">
        <v>270</v>
      </c>
      <c r="CI75" s="120" t="s">
        <v>125</v>
      </c>
      <c r="CJ75" s="123"/>
    </row>
    <row r="76" spans="1:88" ht="72.599999999999994" hidden="1">
      <c r="A76" s="147" t="s">
        <v>261</v>
      </c>
      <c r="B76" s="49">
        <v>0</v>
      </c>
      <c r="C76" s="49">
        <v>12</v>
      </c>
      <c r="D76" s="49">
        <v>0</v>
      </c>
      <c r="E76" s="134"/>
      <c r="F76" s="134" t="s">
        <v>136</v>
      </c>
      <c r="G76" s="150"/>
      <c r="H76" s="154">
        <v>18430945</v>
      </c>
      <c r="I76" s="149">
        <f>Tracker6[[#This Row],[DCR ID - PTC]]</f>
        <v>18430945</v>
      </c>
      <c r="J76" s="134" t="s">
        <v>295</v>
      </c>
      <c r="K76" s="134" t="s">
        <v>118</v>
      </c>
      <c r="L76" s="134"/>
      <c r="M76" s="134"/>
      <c r="N76" s="278" t="s">
        <v>263</v>
      </c>
      <c r="O76" s="123" t="s">
        <v>115</v>
      </c>
      <c r="P76" s="123"/>
      <c r="Q76" s="123"/>
      <c r="R76" s="123"/>
      <c r="S76" s="123"/>
      <c r="T76" s="123"/>
      <c r="U76" s="134"/>
      <c r="V76" s="134"/>
      <c r="W76" s="134"/>
      <c r="X76" s="134"/>
      <c r="Y76" s="134"/>
      <c r="Z76" s="134"/>
      <c r="AA76" s="134" t="s">
        <v>107</v>
      </c>
      <c r="AC76" s="134"/>
      <c r="AD76" s="134" t="s">
        <v>93</v>
      </c>
      <c r="AE76" s="49"/>
      <c r="AF76" s="136"/>
      <c r="AG76" s="137"/>
      <c r="AH76" s="134" t="s">
        <v>109</v>
      </c>
      <c r="AI76" s="134" t="s">
        <v>110</v>
      </c>
      <c r="AJ76" s="138">
        <v>46112.395833333336</v>
      </c>
      <c r="AK76" s="134" t="s">
        <v>96</v>
      </c>
      <c r="AL76" s="137">
        <v>46036.903391203705</v>
      </c>
      <c r="AM76" s="139"/>
      <c r="AN76" s="139"/>
      <c r="AO76" s="116">
        <v>46115</v>
      </c>
      <c r="AP76" s="134"/>
      <c r="AQ76" s="49"/>
      <c r="AR76" s="49"/>
      <c r="AS76" s="139"/>
      <c r="AT76" s="138"/>
      <c r="AU76" s="138"/>
      <c r="AV76" s="134"/>
      <c r="AW76" s="134"/>
      <c r="AX76" s="108" t="s">
        <v>97</v>
      </c>
      <c r="AY76" s="108" t="s">
        <v>98</v>
      </c>
      <c r="AZ76" s="134"/>
      <c r="BA76" s="134"/>
      <c r="BB76" s="134"/>
      <c r="BC76" s="134"/>
      <c r="BD76" s="123"/>
      <c r="BE76" s="123"/>
      <c r="BF76" s="123"/>
      <c r="BG76" s="123"/>
      <c r="BH76" s="123"/>
      <c r="BI76" s="123"/>
      <c r="BJ76" s="123"/>
      <c r="BK76" s="123"/>
      <c r="BL76" s="123"/>
      <c r="BM76" s="117" t="s">
        <v>296</v>
      </c>
      <c r="BN76" s="123"/>
      <c r="BO76" s="140"/>
      <c r="BP76" s="140"/>
      <c r="BQ76" s="140"/>
      <c r="BR76" s="123"/>
      <c r="BS76" s="141"/>
      <c r="BT76" s="123"/>
      <c r="BU76" s="141"/>
      <c r="BV76" s="123"/>
      <c r="BW76" s="123"/>
      <c r="BX76" s="123"/>
      <c r="BY76" s="123"/>
      <c r="BZ76" s="123"/>
      <c r="CA76" s="123"/>
      <c r="CB76" s="143">
        <v>0.96499999999999997</v>
      </c>
      <c r="CC76" s="140"/>
      <c r="CD76" s="120">
        <v>46079</v>
      </c>
      <c r="CE76" s="120">
        <v>46083</v>
      </c>
      <c r="CF76" s="120">
        <v>46085</v>
      </c>
      <c r="CG76" s="123"/>
      <c r="CH76" s="120" t="s">
        <v>270</v>
      </c>
      <c r="CI76" s="120" t="s">
        <v>125</v>
      </c>
      <c r="CJ76" s="123"/>
    </row>
    <row r="77" spans="1:88" ht="57.95" hidden="1">
      <c r="A77" s="147" t="s">
        <v>261</v>
      </c>
      <c r="B77" s="49">
        <v>0</v>
      </c>
      <c r="C77" s="49">
        <v>12</v>
      </c>
      <c r="D77" s="49">
        <v>0</v>
      </c>
      <c r="E77" s="134"/>
      <c r="F77" s="134" t="s">
        <v>136</v>
      </c>
      <c r="G77" s="150"/>
      <c r="H77" s="154">
        <v>18430948</v>
      </c>
      <c r="I77" s="149">
        <f>Tracker6[[#This Row],[DCR ID - PTC]]</f>
        <v>18430948</v>
      </c>
      <c r="J77" s="134" t="s">
        <v>297</v>
      </c>
      <c r="K77" s="134" t="s">
        <v>118</v>
      </c>
      <c r="L77" s="134"/>
      <c r="M77" s="134"/>
      <c r="N77" s="278" t="s">
        <v>263</v>
      </c>
      <c r="O77" s="123" t="s">
        <v>106</v>
      </c>
      <c r="P77" s="123"/>
      <c r="Q77" s="123"/>
      <c r="R77" s="123"/>
      <c r="S77" s="123"/>
      <c r="T77" s="123"/>
      <c r="U77" s="134"/>
      <c r="V77" s="134"/>
      <c r="W77" s="134"/>
      <c r="X77" s="134"/>
      <c r="Y77" s="134"/>
      <c r="Z77" s="134"/>
      <c r="AA77" s="134" t="s">
        <v>107</v>
      </c>
      <c r="AC77" s="134"/>
      <c r="AD77" s="134" t="s">
        <v>93</v>
      </c>
      <c r="AE77" s="49"/>
      <c r="AF77" s="136"/>
      <c r="AG77" s="137"/>
      <c r="AH77" s="134" t="s">
        <v>109</v>
      </c>
      <c r="AI77" s="134" t="s">
        <v>110</v>
      </c>
      <c r="AJ77" s="138">
        <v>46112.395833333336</v>
      </c>
      <c r="AK77" s="134" t="s">
        <v>96</v>
      </c>
      <c r="AL77" s="137">
        <v>46036.903773148151</v>
      </c>
      <c r="AM77" s="139"/>
      <c r="AN77" s="139"/>
      <c r="AO77" s="116">
        <v>46090</v>
      </c>
      <c r="AP77" s="134"/>
      <c r="AQ77" s="49"/>
      <c r="AR77" s="49"/>
      <c r="AS77" s="139"/>
      <c r="AT77" s="138"/>
      <c r="AU77" s="138"/>
      <c r="AV77" s="134"/>
      <c r="AW77" s="134"/>
      <c r="AX77" s="108" t="s">
        <v>97</v>
      </c>
      <c r="AY77" s="108" t="s">
        <v>98</v>
      </c>
      <c r="AZ77" s="134"/>
      <c r="BA77" s="134"/>
      <c r="BB77" s="134"/>
      <c r="BC77" s="134"/>
      <c r="BD77" s="123"/>
      <c r="BE77" s="123"/>
      <c r="BF77" s="123"/>
      <c r="BG77" s="123"/>
      <c r="BH77" s="123"/>
      <c r="BI77" s="123"/>
      <c r="BJ77" s="123"/>
      <c r="BK77" s="123"/>
      <c r="BL77" s="123"/>
      <c r="BM77" s="117" t="s">
        <v>298</v>
      </c>
      <c r="BN77" s="123"/>
      <c r="BO77" s="140"/>
      <c r="BP77" s="140"/>
      <c r="BQ77" s="140"/>
      <c r="BR77" s="123"/>
      <c r="BS77" s="141"/>
      <c r="BT77" s="123"/>
      <c r="BU77" s="141"/>
      <c r="BV77" s="123"/>
      <c r="BW77" s="123"/>
      <c r="BX77" s="123"/>
      <c r="BY77" s="123"/>
      <c r="BZ77" s="123"/>
      <c r="CA77" s="123"/>
      <c r="CB77" s="143"/>
      <c r="CC77" s="140"/>
      <c r="CD77" s="120">
        <v>46079</v>
      </c>
      <c r="CE77" s="120">
        <v>46083</v>
      </c>
      <c r="CF77" s="120">
        <v>46085</v>
      </c>
      <c r="CG77" s="123"/>
      <c r="CH77" s="120" t="s">
        <v>265</v>
      </c>
      <c r="CI77" s="120" t="s">
        <v>125</v>
      </c>
      <c r="CJ77" s="123"/>
    </row>
    <row r="78" spans="1:88" ht="57.95" hidden="1">
      <c r="A78" s="147" t="s">
        <v>261</v>
      </c>
      <c r="B78" s="49">
        <v>0</v>
      </c>
      <c r="C78" s="49">
        <v>12</v>
      </c>
      <c r="D78" s="49">
        <v>0</v>
      </c>
      <c r="E78" s="134"/>
      <c r="F78" s="134" t="s">
        <v>136</v>
      </c>
      <c r="G78" s="150"/>
      <c r="H78" s="154">
        <v>18430949</v>
      </c>
      <c r="I78" s="149">
        <f>Tracker6[[#This Row],[DCR ID - PTC]]</f>
        <v>18430949</v>
      </c>
      <c r="J78" s="134" t="s">
        <v>299</v>
      </c>
      <c r="K78" s="134" t="s">
        <v>118</v>
      </c>
      <c r="L78" s="134" t="s">
        <v>300</v>
      </c>
      <c r="M78" s="134"/>
      <c r="N78" s="278" t="s">
        <v>263</v>
      </c>
      <c r="O78" s="123" t="s">
        <v>106</v>
      </c>
      <c r="P78" s="123"/>
      <c r="Q78" s="123"/>
      <c r="R78" s="123"/>
      <c r="S78" s="123"/>
      <c r="T78" s="123"/>
      <c r="U78" s="134"/>
      <c r="V78" s="134"/>
      <c r="W78" s="134"/>
      <c r="X78" s="134"/>
      <c r="Y78" s="134"/>
      <c r="Z78" s="134"/>
      <c r="AA78" s="134" t="s">
        <v>107</v>
      </c>
      <c r="AC78" s="134"/>
      <c r="AD78" s="134" t="s">
        <v>93</v>
      </c>
      <c r="AE78" s="49"/>
      <c r="AF78" s="136"/>
      <c r="AG78" s="137"/>
      <c r="AH78" s="134" t="s">
        <v>109</v>
      </c>
      <c r="AI78" s="134" t="s">
        <v>110</v>
      </c>
      <c r="AJ78" s="138">
        <v>46112.395833333336</v>
      </c>
      <c r="AK78" s="134" t="s">
        <v>96</v>
      </c>
      <c r="AL78" s="137">
        <v>46036.90388888889</v>
      </c>
      <c r="AM78" s="139"/>
      <c r="AN78" s="139"/>
      <c r="AO78" s="116">
        <v>46090</v>
      </c>
      <c r="AP78" s="134"/>
      <c r="AQ78" s="49"/>
      <c r="AR78" s="49"/>
      <c r="AS78" s="139"/>
      <c r="AT78" s="138"/>
      <c r="AU78" s="138"/>
      <c r="AV78" s="134"/>
      <c r="AW78" s="134"/>
      <c r="AX78" s="108" t="s">
        <v>97</v>
      </c>
      <c r="AY78" s="108" t="s">
        <v>98</v>
      </c>
      <c r="AZ78" s="134"/>
      <c r="BA78" s="134"/>
      <c r="BB78" s="134"/>
      <c r="BC78" s="134"/>
      <c r="BD78" s="123"/>
      <c r="BE78" s="123"/>
      <c r="BF78" s="123"/>
      <c r="BG78" s="123"/>
      <c r="BH78" s="123"/>
      <c r="BI78" s="123"/>
      <c r="BJ78" s="123"/>
      <c r="BK78" s="123"/>
      <c r="BL78" s="123"/>
      <c r="BM78" s="117" t="s">
        <v>298</v>
      </c>
      <c r="BN78" s="123"/>
      <c r="BO78" s="140"/>
      <c r="BP78" s="140"/>
      <c r="BQ78" s="140"/>
      <c r="BR78" s="123"/>
      <c r="BS78" s="141"/>
      <c r="BT78" s="123"/>
      <c r="BU78" s="141"/>
      <c r="BV78" s="123"/>
      <c r="BW78" s="123"/>
      <c r="BX78" s="123"/>
      <c r="BY78" s="123"/>
      <c r="BZ78" s="123"/>
      <c r="CA78" s="123"/>
      <c r="CB78" s="143"/>
      <c r="CC78" s="140"/>
      <c r="CD78" s="120">
        <v>46079</v>
      </c>
      <c r="CE78" s="120">
        <v>46083</v>
      </c>
      <c r="CF78" s="120">
        <v>46085</v>
      </c>
      <c r="CG78" s="123"/>
      <c r="CH78" s="120" t="s">
        <v>265</v>
      </c>
      <c r="CI78" s="120" t="s">
        <v>125</v>
      </c>
      <c r="CJ78" s="123"/>
    </row>
    <row r="79" spans="1:88" ht="57.95" hidden="1">
      <c r="A79" s="147" t="s">
        <v>261</v>
      </c>
      <c r="B79" s="49">
        <v>0</v>
      </c>
      <c r="C79" s="49">
        <v>12</v>
      </c>
      <c r="D79" s="49">
        <v>0</v>
      </c>
      <c r="E79" s="134"/>
      <c r="F79" s="134" t="s">
        <v>136</v>
      </c>
      <c r="G79" s="150"/>
      <c r="H79" s="154">
        <v>18430950</v>
      </c>
      <c r="I79" s="149">
        <f>Tracker6[[#This Row],[DCR ID - PTC]]</f>
        <v>18430950</v>
      </c>
      <c r="J79" s="134" t="s">
        <v>301</v>
      </c>
      <c r="K79" s="134" t="s">
        <v>118</v>
      </c>
      <c r="L79" s="134"/>
      <c r="M79" s="134"/>
      <c r="N79" s="278" t="s">
        <v>263</v>
      </c>
      <c r="O79" s="123" t="s">
        <v>106</v>
      </c>
      <c r="P79" s="123"/>
      <c r="Q79" s="123"/>
      <c r="R79" s="123"/>
      <c r="S79" s="123"/>
      <c r="T79" s="123"/>
      <c r="U79" s="134"/>
      <c r="V79" s="134"/>
      <c r="W79" s="134"/>
      <c r="X79" s="134"/>
      <c r="Y79" s="134"/>
      <c r="Z79" s="134"/>
      <c r="AA79" s="134" t="s">
        <v>107</v>
      </c>
      <c r="AC79" s="134"/>
      <c r="AD79" s="134" t="s">
        <v>93</v>
      </c>
      <c r="AE79" s="49"/>
      <c r="AF79" s="136"/>
      <c r="AG79" s="137"/>
      <c r="AH79" s="134" t="s">
        <v>109</v>
      </c>
      <c r="AI79" s="134" t="s">
        <v>110</v>
      </c>
      <c r="AJ79" s="138">
        <v>46112.395833333336</v>
      </c>
      <c r="AK79" s="134" t="s">
        <v>96</v>
      </c>
      <c r="AL79" s="137">
        <v>46036.904004629629</v>
      </c>
      <c r="AM79" s="139"/>
      <c r="AN79" s="139"/>
      <c r="AO79" s="116">
        <v>46084</v>
      </c>
      <c r="AP79" s="134"/>
      <c r="AQ79" s="49"/>
      <c r="AR79" s="49"/>
      <c r="AS79" s="139"/>
      <c r="AT79" s="138"/>
      <c r="AU79" s="138"/>
      <c r="AV79" s="134"/>
      <c r="AW79" s="134"/>
      <c r="AX79" s="108" t="s">
        <v>97</v>
      </c>
      <c r="AY79" s="108" t="s">
        <v>98</v>
      </c>
      <c r="AZ79" s="134"/>
      <c r="BA79" s="134"/>
      <c r="BB79" s="134"/>
      <c r="BC79" s="134"/>
      <c r="BD79" s="123"/>
      <c r="BE79" s="123"/>
      <c r="BF79" s="123"/>
      <c r="BG79" s="123"/>
      <c r="BH79" s="123"/>
      <c r="BI79" s="123"/>
      <c r="BJ79" s="123"/>
      <c r="BK79" s="123"/>
      <c r="BL79" s="123"/>
      <c r="BM79" s="117" t="s">
        <v>298</v>
      </c>
      <c r="BN79" s="123"/>
      <c r="BO79" s="140"/>
      <c r="BP79" s="140"/>
      <c r="BQ79" s="140"/>
      <c r="BR79" s="123"/>
      <c r="BS79" s="141"/>
      <c r="BT79" s="123"/>
      <c r="BU79" s="141"/>
      <c r="BV79" s="123"/>
      <c r="BW79" s="123"/>
      <c r="BX79" s="123"/>
      <c r="BY79" s="123"/>
      <c r="BZ79" s="123"/>
      <c r="CA79" s="123"/>
      <c r="CB79" s="143"/>
      <c r="CC79" s="140"/>
      <c r="CD79" s="120">
        <v>46076</v>
      </c>
      <c r="CE79" s="120">
        <v>46078</v>
      </c>
      <c r="CF79" s="120">
        <v>46080</v>
      </c>
      <c r="CG79" s="123"/>
      <c r="CH79" s="120" t="s">
        <v>265</v>
      </c>
      <c r="CI79" s="120" t="s">
        <v>125</v>
      </c>
      <c r="CJ79" s="123"/>
    </row>
    <row r="80" spans="1:88" ht="72.599999999999994" hidden="1">
      <c r="A80" s="147" t="s">
        <v>261</v>
      </c>
      <c r="B80" s="49">
        <v>0</v>
      </c>
      <c r="C80" s="49">
        <v>12</v>
      </c>
      <c r="D80" s="49">
        <v>0</v>
      </c>
      <c r="E80" s="134"/>
      <c r="F80" s="134" t="s">
        <v>136</v>
      </c>
      <c r="G80" s="150"/>
      <c r="H80" s="154">
        <v>18430951</v>
      </c>
      <c r="I80" s="149">
        <f>Tracker6[[#This Row],[DCR ID - PTC]]</f>
        <v>18430951</v>
      </c>
      <c r="J80" s="134" t="s">
        <v>302</v>
      </c>
      <c r="K80" s="134" t="s">
        <v>118</v>
      </c>
      <c r="L80" s="134"/>
      <c r="M80" s="134"/>
      <c r="N80" s="278" t="s">
        <v>263</v>
      </c>
      <c r="O80" s="123" t="s">
        <v>106</v>
      </c>
      <c r="P80" s="123"/>
      <c r="Q80" s="123"/>
      <c r="R80" s="123"/>
      <c r="S80" s="123"/>
      <c r="T80" s="123"/>
      <c r="U80" s="134"/>
      <c r="V80" s="134"/>
      <c r="W80" s="134"/>
      <c r="X80" s="134"/>
      <c r="Y80" s="134"/>
      <c r="Z80" s="134"/>
      <c r="AA80" s="134" t="s">
        <v>107</v>
      </c>
      <c r="AC80" s="134"/>
      <c r="AD80" s="134" t="s">
        <v>93</v>
      </c>
      <c r="AE80" s="49"/>
      <c r="AF80" s="136"/>
      <c r="AG80" s="137"/>
      <c r="AH80" s="134" t="s">
        <v>109</v>
      </c>
      <c r="AI80" s="134" t="s">
        <v>110</v>
      </c>
      <c r="AJ80" s="138">
        <v>46112.395833333336</v>
      </c>
      <c r="AK80" s="134" t="s">
        <v>96</v>
      </c>
      <c r="AL80" s="137">
        <v>46036.904120370367</v>
      </c>
      <c r="AM80" s="139"/>
      <c r="AN80" s="139"/>
      <c r="AO80" s="116">
        <v>46084</v>
      </c>
      <c r="AP80" s="134"/>
      <c r="AQ80" s="49"/>
      <c r="AR80" s="49"/>
      <c r="AS80" s="139"/>
      <c r="AT80" s="138"/>
      <c r="AU80" s="138"/>
      <c r="AV80" s="134"/>
      <c r="AW80" s="134"/>
      <c r="AX80" s="108" t="s">
        <v>97</v>
      </c>
      <c r="AY80" s="108" t="s">
        <v>98</v>
      </c>
      <c r="AZ80" s="134"/>
      <c r="BA80" s="134"/>
      <c r="BB80" s="134"/>
      <c r="BC80" s="134"/>
      <c r="BD80" s="123"/>
      <c r="BE80" s="123"/>
      <c r="BF80" s="123"/>
      <c r="BG80" s="123"/>
      <c r="BH80" s="123"/>
      <c r="BI80" s="123"/>
      <c r="BJ80" s="123"/>
      <c r="BK80" s="123"/>
      <c r="BL80" s="123"/>
      <c r="BM80" s="117" t="s">
        <v>298</v>
      </c>
      <c r="BN80" s="123"/>
      <c r="BO80" s="140"/>
      <c r="BP80" s="140"/>
      <c r="BQ80" s="140"/>
      <c r="BR80" s="123"/>
      <c r="BS80" s="141"/>
      <c r="BT80" s="123"/>
      <c r="BU80" s="141"/>
      <c r="BV80" s="123"/>
      <c r="BW80" s="123"/>
      <c r="BX80" s="123"/>
      <c r="BY80" s="123"/>
      <c r="BZ80" s="123"/>
      <c r="CA80" s="123"/>
      <c r="CB80" s="143"/>
      <c r="CC80" s="140"/>
      <c r="CD80" s="120">
        <v>46076</v>
      </c>
      <c r="CE80" s="120">
        <v>46078</v>
      </c>
      <c r="CF80" s="120">
        <v>46080</v>
      </c>
      <c r="CG80" s="123"/>
      <c r="CH80" s="120" t="s">
        <v>265</v>
      </c>
      <c r="CI80" s="120" t="s">
        <v>125</v>
      </c>
      <c r="CJ80" s="123"/>
    </row>
    <row r="81" spans="1:88" ht="57.95" hidden="1">
      <c r="A81" s="106" t="s">
        <v>261</v>
      </c>
      <c r="B81" s="107">
        <v>0</v>
      </c>
      <c r="C81" s="49">
        <v>12</v>
      </c>
      <c r="D81" s="107">
        <v>0</v>
      </c>
      <c r="E81" s="108"/>
      <c r="F81" s="134" t="s">
        <v>136</v>
      </c>
      <c r="G81" s="150"/>
      <c r="H81" s="154">
        <v>18430952</v>
      </c>
      <c r="I81" s="149">
        <f>Tracker6[[#This Row],[DCR ID - PTC]]</f>
        <v>18430952</v>
      </c>
      <c r="J81" s="108" t="s">
        <v>303</v>
      </c>
      <c r="K81" s="134" t="s">
        <v>118</v>
      </c>
      <c r="L81" s="108"/>
      <c r="M81" s="108"/>
      <c r="N81" s="277" t="s">
        <v>263</v>
      </c>
      <c r="O81" s="111" t="s">
        <v>106</v>
      </c>
      <c r="P81" s="111"/>
      <c r="Q81" s="111"/>
      <c r="R81" s="111"/>
      <c r="S81" s="111"/>
      <c r="T81" s="111"/>
      <c r="U81" s="108"/>
      <c r="V81" s="108"/>
      <c r="W81" s="108"/>
      <c r="X81" s="108"/>
      <c r="Y81" s="108"/>
      <c r="Z81" s="108"/>
      <c r="AA81" s="108" t="s">
        <v>107</v>
      </c>
      <c r="AB81" s="112"/>
      <c r="AC81" s="108"/>
      <c r="AD81" s="108" t="s">
        <v>93</v>
      </c>
      <c r="AE81" s="107"/>
      <c r="AF81" s="113"/>
      <c r="AG81" s="115"/>
      <c r="AH81" s="108" t="s">
        <v>109</v>
      </c>
      <c r="AI81" s="108" t="s">
        <v>110</v>
      </c>
      <c r="AJ81" s="114">
        <v>46112.395833333336</v>
      </c>
      <c r="AK81" s="108" t="s">
        <v>96</v>
      </c>
      <c r="AL81" s="115">
        <v>46036.904247685183</v>
      </c>
      <c r="AM81" s="116"/>
      <c r="AN81" s="116"/>
      <c r="AO81" s="116">
        <v>46084</v>
      </c>
      <c r="AP81" s="108"/>
      <c r="AQ81" s="107"/>
      <c r="AR81" s="107"/>
      <c r="AS81" s="139"/>
      <c r="AT81" s="138"/>
      <c r="AU81" s="138"/>
      <c r="AV81" s="108"/>
      <c r="AW81" s="108"/>
      <c r="AX81" s="108" t="s">
        <v>97</v>
      </c>
      <c r="AY81" s="108" t="s">
        <v>98</v>
      </c>
      <c r="AZ81" s="108"/>
      <c r="BA81" s="108"/>
      <c r="BB81" s="108"/>
      <c r="BC81" s="108"/>
      <c r="BD81" s="111"/>
      <c r="BE81" s="111"/>
      <c r="BF81" s="111"/>
      <c r="BG81" s="111"/>
      <c r="BH81" s="111"/>
      <c r="BI81" s="111"/>
      <c r="BJ81" s="111"/>
      <c r="BK81" s="111"/>
      <c r="BL81" s="111"/>
      <c r="BM81" s="117" t="s">
        <v>298</v>
      </c>
      <c r="BN81" s="111"/>
      <c r="BO81" s="117"/>
      <c r="BP81" s="117"/>
      <c r="BQ81" s="117"/>
      <c r="BR81" s="111"/>
      <c r="BS81" s="118"/>
      <c r="BT81" s="111"/>
      <c r="BU81" s="118"/>
      <c r="BV81" s="111"/>
      <c r="BW81" s="111"/>
      <c r="BX81" s="111"/>
      <c r="BY81" s="111"/>
      <c r="BZ81" s="111"/>
      <c r="CA81" s="111"/>
      <c r="CB81" s="143"/>
      <c r="CC81" s="117"/>
      <c r="CD81" s="120">
        <v>46076</v>
      </c>
      <c r="CE81" s="120">
        <v>46078</v>
      </c>
      <c r="CF81" s="120">
        <v>46080</v>
      </c>
      <c r="CG81" s="111"/>
      <c r="CH81" s="120" t="s">
        <v>265</v>
      </c>
      <c r="CI81" s="120" t="s">
        <v>125</v>
      </c>
      <c r="CJ81" s="111"/>
    </row>
    <row r="82" spans="1:88" ht="57.95" hidden="1">
      <c r="A82" s="106" t="s">
        <v>261</v>
      </c>
      <c r="B82" s="107">
        <v>0</v>
      </c>
      <c r="C82" s="49">
        <v>12</v>
      </c>
      <c r="D82" s="107">
        <v>0</v>
      </c>
      <c r="E82" s="108"/>
      <c r="F82" s="134" t="s">
        <v>136</v>
      </c>
      <c r="G82" s="150"/>
      <c r="H82" s="151">
        <v>18430953</v>
      </c>
      <c r="I82" s="149">
        <f>Tracker6[[#This Row],[DCR ID - PTC]]</f>
        <v>18430953</v>
      </c>
      <c r="J82" s="108" t="s">
        <v>304</v>
      </c>
      <c r="K82" s="134" t="s">
        <v>118</v>
      </c>
      <c r="L82" s="108"/>
      <c r="M82" s="108"/>
      <c r="N82" s="277" t="s">
        <v>263</v>
      </c>
      <c r="O82" s="111" t="s">
        <v>106</v>
      </c>
      <c r="P82" s="111"/>
      <c r="Q82" s="111"/>
      <c r="R82" s="111"/>
      <c r="S82" s="111"/>
      <c r="T82" s="111"/>
      <c r="U82" s="108"/>
      <c r="V82" s="108"/>
      <c r="W82" s="108"/>
      <c r="X82" s="108"/>
      <c r="Y82" s="108"/>
      <c r="Z82" s="108"/>
      <c r="AA82" s="108" t="s">
        <v>107</v>
      </c>
      <c r="AB82" s="112"/>
      <c r="AC82" s="108"/>
      <c r="AD82" s="108" t="s">
        <v>93</v>
      </c>
      <c r="AE82" s="107"/>
      <c r="AF82" s="113"/>
      <c r="AG82" s="115"/>
      <c r="AH82" s="108" t="s">
        <v>109</v>
      </c>
      <c r="AI82" s="108" t="s">
        <v>110</v>
      </c>
      <c r="AJ82" s="114">
        <v>46112.395833333336</v>
      </c>
      <c r="AK82" s="108" t="s">
        <v>96</v>
      </c>
      <c r="AL82" s="115">
        <v>46036.904409722221</v>
      </c>
      <c r="AM82" s="116"/>
      <c r="AN82" s="116"/>
      <c r="AO82" s="116">
        <v>46084</v>
      </c>
      <c r="AP82" s="108"/>
      <c r="AQ82" s="107"/>
      <c r="AR82" s="107"/>
      <c r="AS82" s="139"/>
      <c r="AT82" s="138"/>
      <c r="AU82" s="138"/>
      <c r="AV82" s="108"/>
      <c r="AW82" s="108"/>
      <c r="AX82" s="108" t="s">
        <v>97</v>
      </c>
      <c r="AY82" s="108" t="s">
        <v>98</v>
      </c>
      <c r="AZ82" s="108"/>
      <c r="BA82" s="108"/>
      <c r="BB82" s="108"/>
      <c r="BC82" s="108"/>
      <c r="BD82" s="111"/>
      <c r="BE82" s="111"/>
      <c r="BF82" s="111"/>
      <c r="BG82" s="111"/>
      <c r="BH82" s="111"/>
      <c r="BI82" s="111"/>
      <c r="BJ82" s="111"/>
      <c r="BK82" s="111"/>
      <c r="BL82" s="111"/>
      <c r="BM82" s="117" t="s">
        <v>298</v>
      </c>
      <c r="BN82" s="111"/>
      <c r="BO82" s="117"/>
      <c r="BP82" s="117"/>
      <c r="BQ82" s="117"/>
      <c r="BR82" s="111"/>
      <c r="BS82" s="118"/>
      <c r="BT82" s="111"/>
      <c r="BU82" s="118"/>
      <c r="BV82" s="111"/>
      <c r="BW82" s="111"/>
      <c r="BX82" s="111"/>
      <c r="BY82" s="111"/>
      <c r="BZ82" s="111"/>
      <c r="CA82" s="111"/>
      <c r="CB82" s="143"/>
      <c r="CC82" s="117"/>
      <c r="CD82" s="120">
        <v>46076</v>
      </c>
      <c r="CE82" s="120">
        <v>46078</v>
      </c>
      <c r="CF82" s="120">
        <v>46080</v>
      </c>
      <c r="CG82" s="111"/>
      <c r="CH82" s="120" t="s">
        <v>265</v>
      </c>
      <c r="CI82" s="120" t="s">
        <v>125</v>
      </c>
      <c r="CJ82" s="111"/>
    </row>
    <row r="83" spans="1:88" ht="57.95" hidden="1">
      <c r="A83" s="106" t="s">
        <v>261</v>
      </c>
      <c r="B83" s="107">
        <v>0</v>
      </c>
      <c r="C83" s="49">
        <v>12</v>
      </c>
      <c r="D83" s="107">
        <v>0</v>
      </c>
      <c r="E83" s="108"/>
      <c r="F83" s="134" t="s">
        <v>136</v>
      </c>
      <c r="G83" s="150"/>
      <c r="H83" s="151">
        <v>18430954</v>
      </c>
      <c r="I83" s="109">
        <f>Tracker6[[#This Row],[DCR ID - PTC]]</f>
        <v>18430954</v>
      </c>
      <c r="J83" s="108" t="s">
        <v>305</v>
      </c>
      <c r="K83" s="134" t="s">
        <v>118</v>
      </c>
      <c r="L83" s="108"/>
      <c r="M83" s="108"/>
      <c r="N83" s="277" t="s">
        <v>263</v>
      </c>
      <c r="O83" s="111" t="s">
        <v>106</v>
      </c>
      <c r="P83" s="111"/>
      <c r="Q83" s="111"/>
      <c r="R83" s="111"/>
      <c r="S83" s="111"/>
      <c r="T83" s="111"/>
      <c r="U83" s="108"/>
      <c r="V83" s="108"/>
      <c r="W83" s="108"/>
      <c r="X83" s="108"/>
      <c r="Y83" s="108"/>
      <c r="Z83" s="108"/>
      <c r="AA83" s="108" t="s">
        <v>107</v>
      </c>
      <c r="AB83" s="112"/>
      <c r="AC83" s="108"/>
      <c r="AD83" s="108" t="s">
        <v>93</v>
      </c>
      <c r="AE83" s="107"/>
      <c r="AF83" s="113"/>
      <c r="AG83" s="115"/>
      <c r="AH83" s="108" t="s">
        <v>109</v>
      </c>
      <c r="AI83" s="108" t="s">
        <v>110</v>
      </c>
      <c r="AJ83" s="114">
        <v>46112.395833333336</v>
      </c>
      <c r="AK83" s="108" t="s">
        <v>96</v>
      </c>
      <c r="AL83" s="115">
        <v>46036.90452546296</v>
      </c>
      <c r="AM83" s="116"/>
      <c r="AN83" s="116"/>
      <c r="AO83" s="116">
        <v>46084</v>
      </c>
      <c r="AP83" s="108"/>
      <c r="AQ83" s="107"/>
      <c r="AR83" s="107"/>
      <c r="AS83" s="139"/>
      <c r="AT83" s="138"/>
      <c r="AU83" s="138"/>
      <c r="AV83" s="108"/>
      <c r="AW83" s="108"/>
      <c r="AX83" s="108" t="s">
        <v>97</v>
      </c>
      <c r="AY83" s="108" t="s">
        <v>98</v>
      </c>
      <c r="AZ83" s="108"/>
      <c r="BA83" s="108"/>
      <c r="BB83" s="108"/>
      <c r="BC83" s="108"/>
      <c r="BD83" s="111"/>
      <c r="BE83" s="111"/>
      <c r="BF83" s="111"/>
      <c r="BG83" s="111"/>
      <c r="BH83" s="111"/>
      <c r="BI83" s="111"/>
      <c r="BJ83" s="111"/>
      <c r="BK83" s="111"/>
      <c r="BL83" s="111"/>
      <c r="BM83" s="117" t="s">
        <v>298</v>
      </c>
      <c r="BN83" s="111"/>
      <c r="BO83" s="117"/>
      <c r="BP83" s="117"/>
      <c r="BQ83" s="117"/>
      <c r="BR83" s="111"/>
      <c r="BS83" s="118"/>
      <c r="BT83" s="111"/>
      <c r="BU83" s="118"/>
      <c r="BV83" s="111"/>
      <c r="BW83" s="111"/>
      <c r="BX83" s="111"/>
      <c r="BY83" s="111"/>
      <c r="BZ83" s="111"/>
      <c r="CA83" s="111"/>
      <c r="CB83" s="143"/>
      <c r="CC83" s="117"/>
      <c r="CD83" s="120">
        <v>46076</v>
      </c>
      <c r="CE83" s="120">
        <v>46078</v>
      </c>
      <c r="CF83" s="120">
        <v>46080</v>
      </c>
      <c r="CG83" s="111"/>
      <c r="CH83" s="120" t="s">
        <v>265</v>
      </c>
      <c r="CI83" s="120" t="s">
        <v>125</v>
      </c>
      <c r="CJ83" s="111"/>
    </row>
    <row r="84" spans="1:88" ht="409.5" hidden="1">
      <c r="A84" s="106" t="s">
        <v>261</v>
      </c>
      <c r="B84" s="107">
        <f>7+3+5+7+7+7+7+6+7+8+4+7+6+8+7+7+8.5+6.5+7+6+1+1.5+3+3+8.5+6.5+2+1+3+1</f>
        <v>161.5</v>
      </c>
      <c r="C84" s="49">
        <f>21*12</f>
        <v>252</v>
      </c>
      <c r="D84" s="107">
        <f>Tracker6[[#This Row],[Estimated Hrs]]-Tracker6[[#This Row],[Actual Efforts (Hrs)]]</f>
        <v>90.5</v>
      </c>
      <c r="E84" s="108"/>
      <c r="F84" s="134" t="s">
        <v>136</v>
      </c>
      <c r="G84" s="150"/>
      <c r="H84" s="151">
        <v>18430955</v>
      </c>
      <c r="I84" s="109">
        <f>Tracker6[[#This Row],[DCR ID - PTC]]</f>
        <v>18430955</v>
      </c>
      <c r="J84" s="108" t="s">
        <v>306</v>
      </c>
      <c r="K84" s="134" t="s">
        <v>118</v>
      </c>
      <c r="L84" s="108"/>
      <c r="M84" s="108"/>
      <c r="N84" s="110" t="s">
        <v>307</v>
      </c>
      <c r="O84" s="111" t="s">
        <v>106</v>
      </c>
      <c r="P84" s="111"/>
      <c r="Q84" s="111"/>
      <c r="R84" s="111"/>
      <c r="S84" s="111"/>
      <c r="T84" s="111"/>
      <c r="U84" s="108"/>
      <c r="V84" s="108"/>
      <c r="W84" s="108"/>
      <c r="X84" s="108"/>
      <c r="Y84" s="108"/>
      <c r="Z84" s="108"/>
      <c r="AA84" s="108" t="s">
        <v>107</v>
      </c>
      <c r="AB84" s="112"/>
      <c r="AC84" s="108"/>
      <c r="AD84" s="108" t="s">
        <v>93</v>
      </c>
      <c r="AE84" s="107"/>
      <c r="AF84" s="113"/>
      <c r="AG84" s="115"/>
      <c r="AH84" s="108" t="s">
        <v>109</v>
      </c>
      <c r="AI84" s="108" t="s">
        <v>110</v>
      </c>
      <c r="AJ84" s="114">
        <v>46112.395833333336</v>
      </c>
      <c r="AK84" s="108" t="s">
        <v>96</v>
      </c>
      <c r="AL84" s="115">
        <v>46036.904652777775</v>
      </c>
      <c r="AM84" s="116"/>
      <c r="AN84" s="116"/>
      <c r="AO84" s="116">
        <v>46084</v>
      </c>
      <c r="AP84" s="108"/>
      <c r="AQ84" s="107"/>
      <c r="AR84" s="107"/>
      <c r="AS84" s="139"/>
      <c r="AT84" s="138"/>
      <c r="AU84" s="138"/>
      <c r="AV84" s="108"/>
      <c r="AW84" s="108"/>
      <c r="AX84" s="108" t="s">
        <v>97</v>
      </c>
      <c r="AY84" s="108" t="s">
        <v>98</v>
      </c>
      <c r="AZ84" s="108"/>
      <c r="BA84" s="108"/>
      <c r="BB84" s="108"/>
      <c r="BC84" s="108"/>
      <c r="BD84" s="111"/>
      <c r="BE84" s="111"/>
      <c r="BF84" s="111"/>
      <c r="BG84" s="111"/>
      <c r="BH84" s="111"/>
      <c r="BI84" s="111"/>
      <c r="BJ84" s="111"/>
      <c r="BK84" s="111"/>
      <c r="BL84" s="111"/>
      <c r="BM84" s="117" t="e">
        <v>#N/A</v>
      </c>
      <c r="BN84" s="111"/>
      <c r="BO84" s="117"/>
      <c r="BP84" s="117"/>
      <c r="BQ84" s="117"/>
      <c r="BR84" s="111"/>
      <c r="BS84" s="118"/>
      <c r="BT84" s="111"/>
      <c r="BU84" s="118"/>
      <c r="BV84" s="111"/>
      <c r="BW84" s="111"/>
      <c r="BX84" s="111"/>
      <c r="BY84" s="111"/>
      <c r="BZ84" s="111"/>
      <c r="CA84" s="111"/>
      <c r="CB84" s="143">
        <v>0.94499999999999995</v>
      </c>
      <c r="CC84" s="117"/>
      <c r="CD84" s="120" t="e">
        <v>#N/A</v>
      </c>
      <c r="CE84" s="120" t="e">
        <v>#N/A</v>
      </c>
      <c r="CF84" s="120" t="e">
        <v>#N/A</v>
      </c>
      <c r="CG84" s="111"/>
      <c r="CH84" s="120" t="e">
        <v>#N/A</v>
      </c>
      <c r="CI84" s="120" t="e">
        <v>#N/A</v>
      </c>
      <c r="CJ84" s="111"/>
    </row>
    <row r="85" spans="1:88" ht="409.5" hidden="1">
      <c r="A85" s="106" t="s">
        <v>261</v>
      </c>
      <c r="B85" s="107">
        <f>2+2+1+1+1+1+3+1+4+11+0.25+0.25+2</f>
        <v>29.5</v>
      </c>
      <c r="C85" s="49">
        <v>20</v>
      </c>
      <c r="D85" s="107">
        <f>Tracker6[[#This Row],[Estimated Hrs]]-Tracker6[[#This Row],[Actual Efforts (Hrs)]]</f>
        <v>-9.5</v>
      </c>
      <c r="E85" s="108"/>
      <c r="F85" s="134"/>
      <c r="G85" s="150"/>
      <c r="H85" s="151">
        <v>18505487</v>
      </c>
      <c r="I85" s="109">
        <f>Tracker6[[#This Row],[DCR ID - PTC]]</f>
        <v>18505487</v>
      </c>
      <c r="J85" s="108" t="s">
        <v>308</v>
      </c>
      <c r="K85" s="134" t="s">
        <v>118</v>
      </c>
      <c r="L85" s="108" t="s">
        <v>309</v>
      </c>
      <c r="M85" s="108"/>
      <c r="N85" s="110" t="s">
        <v>310</v>
      </c>
      <c r="O85" s="111" t="s">
        <v>106</v>
      </c>
      <c r="P85" s="111"/>
      <c r="Q85" s="111"/>
      <c r="R85" s="111"/>
      <c r="S85" s="111"/>
      <c r="T85" s="111"/>
      <c r="U85" s="108"/>
      <c r="V85" s="108"/>
      <c r="W85" s="108"/>
      <c r="X85" s="108"/>
      <c r="Y85" s="108"/>
      <c r="Z85" s="108"/>
      <c r="AA85" s="108" t="s">
        <v>107</v>
      </c>
      <c r="AB85" s="112"/>
      <c r="AC85" s="108" t="s">
        <v>309</v>
      </c>
      <c r="AD85" s="108" t="s">
        <v>146</v>
      </c>
      <c r="AE85" s="107"/>
      <c r="AF85" s="113"/>
      <c r="AG85" s="115"/>
      <c r="AH85" s="108" t="s">
        <v>109</v>
      </c>
      <c r="AI85" s="108" t="s">
        <v>95</v>
      </c>
      <c r="AJ85" s="114">
        <v>46442.4375</v>
      </c>
      <c r="AK85" s="108" t="s">
        <v>96</v>
      </c>
      <c r="AL85" s="115">
        <v>46044.030034722222</v>
      </c>
      <c r="AM85" s="116"/>
      <c r="AN85" s="116"/>
      <c r="AO85" s="116">
        <v>46087</v>
      </c>
      <c r="AP85" s="108"/>
      <c r="AQ85" s="107"/>
      <c r="AR85" s="107"/>
      <c r="AS85" s="139"/>
      <c r="AT85" s="138"/>
      <c r="AU85" s="138"/>
      <c r="AV85" s="108"/>
      <c r="AW85" s="108"/>
      <c r="AX85" s="108" t="s">
        <v>97</v>
      </c>
      <c r="AY85" s="108" t="s">
        <v>98</v>
      </c>
      <c r="AZ85" s="108"/>
      <c r="BA85" s="108"/>
      <c r="BB85" s="108"/>
      <c r="BC85" s="108"/>
      <c r="BD85" s="111"/>
      <c r="BE85" s="111"/>
      <c r="BF85" s="111"/>
      <c r="BG85" s="111"/>
      <c r="BH85" s="111"/>
      <c r="BI85" s="111"/>
      <c r="BJ85" s="111"/>
      <c r="BK85" s="111"/>
      <c r="BL85" s="111"/>
      <c r="BM85" s="117" t="s">
        <v>270</v>
      </c>
      <c r="BN85" s="111"/>
      <c r="BO85" s="117"/>
      <c r="BP85" s="117"/>
      <c r="BQ85" s="117"/>
      <c r="BR85" s="111"/>
      <c r="BS85" s="118"/>
      <c r="BT85" s="111"/>
      <c r="BU85" s="118"/>
      <c r="BV85" s="111"/>
      <c r="BW85" s="111"/>
      <c r="BX85" s="111"/>
      <c r="BY85" s="111"/>
      <c r="BZ85" s="111"/>
      <c r="CA85" s="111"/>
      <c r="CB85" s="143">
        <v>1</v>
      </c>
      <c r="CC85" s="117"/>
      <c r="CD85" s="120">
        <v>0</v>
      </c>
      <c r="CE85" s="120">
        <v>0</v>
      </c>
      <c r="CF85" s="120">
        <v>0</v>
      </c>
      <c r="CG85" s="111"/>
      <c r="CH85" s="120" t="s">
        <v>270</v>
      </c>
      <c r="CI85" s="120" t="s">
        <v>125</v>
      </c>
      <c r="CJ85" s="111"/>
    </row>
    <row r="86" spans="1:88" ht="57.95" hidden="1">
      <c r="A86" s="252" t="s">
        <v>261</v>
      </c>
      <c r="B86" s="107"/>
      <c r="C86" s="49">
        <v>100</v>
      </c>
      <c r="D86" s="107">
        <f>C86-B86</f>
        <v>100</v>
      </c>
      <c r="E86" s="108"/>
      <c r="F86" s="108"/>
      <c r="G86" s="121"/>
      <c r="H86" s="109">
        <v>18387804</v>
      </c>
      <c r="I86" s="127">
        <v>18387804</v>
      </c>
      <c r="J86" s="107" t="s">
        <v>311</v>
      </c>
      <c r="K86" s="108" t="s">
        <v>118</v>
      </c>
      <c r="L86" s="108"/>
      <c r="M86" s="108"/>
      <c r="N86" s="108"/>
      <c r="O86" s="111" t="s">
        <v>122</v>
      </c>
      <c r="P86" s="111"/>
      <c r="Q86" s="111"/>
      <c r="R86" s="111"/>
      <c r="S86" s="111"/>
      <c r="T86" s="111"/>
      <c r="U86" s="108"/>
      <c r="V86" s="108"/>
      <c r="W86" s="108"/>
      <c r="X86" s="108"/>
      <c r="Y86" s="108"/>
      <c r="Z86" s="108"/>
      <c r="AA86" s="108"/>
      <c r="AB86" s="112"/>
      <c r="AC86" s="108"/>
      <c r="AD86" s="108"/>
      <c r="AE86" s="107"/>
      <c r="AF86" s="113"/>
      <c r="AG86" s="115"/>
      <c r="AH86" s="108"/>
      <c r="AI86" s="108"/>
      <c r="AJ86" s="114"/>
      <c r="AK86" s="108"/>
      <c r="AL86" s="115"/>
      <c r="AM86" s="116"/>
      <c r="AN86" s="116"/>
      <c r="AO86" s="116">
        <v>46129</v>
      </c>
      <c r="AP86" s="108"/>
      <c r="AQ86" s="107"/>
      <c r="AR86" s="107"/>
      <c r="AS86" s="116"/>
      <c r="AT86" s="114"/>
      <c r="AU86" s="114"/>
      <c r="AV86" s="108"/>
      <c r="AW86" s="108"/>
      <c r="AX86" s="108" t="s">
        <v>97</v>
      </c>
      <c r="AY86" s="108" t="s">
        <v>98</v>
      </c>
      <c r="AZ86" s="108"/>
      <c r="BA86" s="108"/>
      <c r="BB86" s="108"/>
      <c r="BC86" s="108"/>
      <c r="BD86" s="111"/>
      <c r="BE86" s="111"/>
      <c r="BF86" s="111"/>
      <c r="BG86" s="111"/>
      <c r="BH86" s="111"/>
      <c r="BI86" s="111"/>
      <c r="BJ86" s="111"/>
      <c r="BK86" s="111"/>
      <c r="BL86" s="111"/>
      <c r="BM86" s="117" t="s">
        <v>312</v>
      </c>
      <c r="BN86" s="111"/>
      <c r="BO86" s="117"/>
      <c r="BP86" s="117"/>
      <c r="BQ86" s="117"/>
      <c r="BR86" s="111"/>
      <c r="BS86" s="118"/>
      <c r="BT86" s="111"/>
      <c r="BU86" s="118"/>
      <c r="BV86" s="111"/>
      <c r="BW86" s="111"/>
      <c r="BX86" s="111"/>
      <c r="BY86" s="111"/>
      <c r="BZ86" s="111"/>
      <c r="CA86" s="111"/>
      <c r="CB86" s="119">
        <v>0</v>
      </c>
      <c r="CC86" s="117"/>
      <c r="CD86" s="120">
        <v>46120</v>
      </c>
      <c r="CE86" s="120">
        <v>46122</v>
      </c>
      <c r="CF86" s="120">
        <v>46126</v>
      </c>
      <c r="CG86" s="111"/>
      <c r="CH86" s="120" t="s">
        <v>313</v>
      </c>
      <c r="CI86" s="120" t="s">
        <v>125</v>
      </c>
      <c r="CJ86" s="111"/>
    </row>
    <row r="87" spans="1:88" ht="72.599999999999994" hidden="1">
      <c r="A87" s="106" t="s">
        <v>314</v>
      </c>
      <c r="B87" s="107"/>
      <c r="C87" s="49"/>
      <c r="D87" s="107">
        <v>0</v>
      </c>
      <c r="E87" s="108"/>
      <c r="F87" s="108" t="s">
        <v>127</v>
      </c>
      <c r="G87" s="121"/>
      <c r="H87" s="151">
        <v>14671966</v>
      </c>
      <c r="I87" s="109">
        <f>Tracker6[[#This Row],[DCR ID - PTC]]</f>
        <v>14671966</v>
      </c>
      <c r="J87" s="108" t="s">
        <v>315</v>
      </c>
      <c r="K87" s="108" t="s">
        <v>101</v>
      </c>
      <c r="L87" s="108" t="s">
        <v>165</v>
      </c>
      <c r="M87" s="108"/>
      <c r="N87" s="108"/>
      <c r="O87" s="111" t="s">
        <v>122</v>
      </c>
      <c r="P87" s="111"/>
      <c r="Q87" s="111"/>
      <c r="R87" s="111"/>
      <c r="S87" s="111"/>
      <c r="T87" s="111"/>
      <c r="U87" s="108"/>
      <c r="V87" s="108"/>
      <c r="W87" s="108"/>
      <c r="X87" s="108"/>
      <c r="Y87" s="108"/>
      <c r="Z87" s="108"/>
      <c r="AA87" s="108" t="s">
        <v>139</v>
      </c>
      <c r="AB87" s="112"/>
      <c r="AC87" s="108" t="s">
        <v>165</v>
      </c>
      <c r="AD87" s="108" t="s">
        <v>93</v>
      </c>
      <c r="AE87" s="107"/>
      <c r="AF87" s="113"/>
      <c r="AG87" s="115">
        <v>46006.912430555552</v>
      </c>
      <c r="AH87" s="108" t="s">
        <v>94</v>
      </c>
      <c r="AI87" s="108" t="s">
        <v>95</v>
      </c>
      <c r="AJ87" s="114">
        <v>45565.395833333336</v>
      </c>
      <c r="AK87" s="108" t="s">
        <v>96</v>
      </c>
      <c r="AL87" s="115">
        <v>45531.545844907407</v>
      </c>
      <c r="AM87" s="116"/>
      <c r="AN87" s="116"/>
      <c r="AO87" s="116" t="e">
        <v>#N/A</v>
      </c>
      <c r="AP87" s="108"/>
      <c r="AQ87" s="107"/>
      <c r="AR87" s="107"/>
      <c r="AS87" s="116"/>
      <c r="AT87" s="114"/>
      <c r="AU87" s="114"/>
      <c r="AV87" s="108"/>
      <c r="AW87" s="108"/>
      <c r="AX87" s="108" t="s">
        <v>97</v>
      </c>
      <c r="AY87" s="108" t="s">
        <v>98</v>
      </c>
      <c r="AZ87" s="108"/>
      <c r="BA87" s="108"/>
      <c r="BB87" s="108"/>
      <c r="BC87" s="108"/>
      <c r="BD87" s="111"/>
      <c r="BE87" s="111"/>
      <c r="BF87" s="111"/>
      <c r="BG87" s="111"/>
      <c r="BH87" s="111"/>
      <c r="BI87" s="111"/>
      <c r="BJ87" s="111"/>
      <c r="BK87" s="111"/>
      <c r="BL87" s="111"/>
      <c r="BM87" s="117" t="e">
        <v>#N/A</v>
      </c>
      <c r="BN87" s="111"/>
      <c r="BO87" s="117"/>
      <c r="BP87" s="117"/>
      <c r="BQ87" s="117"/>
      <c r="BR87" s="111"/>
      <c r="BS87" s="118"/>
      <c r="BT87" s="111"/>
      <c r="BU87" s="118"/>
      <c r="BV87" s="111"/>
      <c r="BW87" s="111"/>
      <c r="BX87" s="111"/>
      <c r="BY87" s="111"/>
      <c r="BZ87" s="111"/>
      <c r="CA87" s="111"/>
      <c r="CB87" s="119"/>
      <c r="CC87" s="117"/>
      <c r="CD87" s="120" t="e">
        <v>#N/A</v>
      </c>
      <c r="CE87" s="120" t="e">
        <v>#N/A</v>
      </c>
      <c r="CF87" s="120" t="e">
        <v>#N/A</v>
      </c>
      <c r="CG87" s="111"/>
      <c r="CH87" s="120" t="e">
        <v>#N/A</v>
      </c>
      <c r="CI87" s="120" t="e">
        <v>#N/A</v>
      </c>
      <c r="CJ87" s="111"/>
    </row>
    <row r="88" spans="1:88" ht="72.599999999999994" hidden="1">
      <c r="A88" s="106" t="s">
        <v>316</v>
      </c>
      <c r="B88" s="107">
        <v>0</v>
      </c>
      <c r="C88" s="49" t="e">
        <v>#N/A</v>
      </c>
      <c r="D88" s="107"/>
      <c r="E88" s="108"/>
      <c r="F88" s="108"/>
      <c r="G88" s="121"/>
      <c r="H88" s="151">
        <v>5525332</v>
      </c>
      <c r="I88" s="109">
        <f>Tracker6[[#This Row],[DCR ID - PTC]]</f>
        <v>5525332</v>
      </c>
      <c r="J88" s="108" t="s">
        <v>317</v>
      </c>
      <c r="K88" s="108"/>
      <c r="L88" s="108" t="s">
        <v>318</v>
      </c>
      <c r="M88" s="108"/>
      <c r="N88" s="108"/>
      <c r="O88" s="111"/>
      <c r="P88" s="111"/>
      <c r="Q88" s="111"/>
      <c r="R88" s="111"/>
      <c r="S88" s="111"/>
      <c r="T88" s="111"/>
      <c r="U88" s="108"/>
      <c r="V88" s="108"/>
      <c r="W88" s="108"/>
      <c r="X88" s="108"/>
      <c r="Y88" s="108"/>
      <c r="Z88" s="108"/>
      <c r="AA88" s="108"/>
      <c r="AB88" s="112">
        <v>44286</v>
      </c>
      <c r="AC88" s="108" t="s">
        <v>318</v>
      </c>
      <c r="AD88" s="108" t="s">
        <v>146</v>
      </c>
      <c r="AE88" s="107"/>
      <c r="AF88" s="113"/>
      <c r="AG88" s="115">
        <v>44226.113935185182</v>
      </c>
      <c r="AH88" s="108" t="s">
        <v>319</v>
      </c>
      <c r="AI88" s="108" t="s">
        <v>95</v>
      </c>
      <c r="AJ88" s="114">
        <v>43467.479166666664</v>
      </c>
      <c r="AK88" s="108" t="s">
        <v>96</v>
      </c>
      <c r="AL88" s="115">
        <v>44134.972546296296</v>
      </c>
      <c r="AM88" s="116"/>
      <c r="AN88" s="116"/>
      <c r="AO88" s="116" t="e">
        <v>#N/A</v>
      </c>
      <c r="AP88" s="108"/>
      <c r="AQ88" s="107"/>
      <c r="AR88" s="107"/>
      <c r="AS88" s="116"/>
      <c r="AT88" s="114"/>
      <c r="AU88" s="114"/>
      <c r="AV88" s="108"/>
      <c r="AW88" s="108"/>
      <c r="AX88" s="108" t="s">
        <v>97</v>
      </c>
      <c r="AY88" s="108" t="s">
        <v>98</v>
      </c>
      <c r="AZ88" s="108"/>
      <c r="BA88" s="108"/>
      <c r="BB88" s="108"/>
      <c r="BC88" s="108"/>
      <c r="BD88" s="111"/>
      <c r="BE88" s="111"/>
      <c r="BF88" s="111"/>
      <c r="BG88" s="111"/>
      <c r="BH88" s="111"/>
      <c r="BI88" s="111"/>
      <c r="BJ88" s="111"/>
      <c r="BK88" s="111"/>
      <c r="BL88" s="111"/>
      <c r="BM88" s="117" t="e">
        <v>#N/A</v>
      </c>
      <c r="BN88" s="111"/>
      <c r="BO88" s="117"/>
      <c r="BP88" s="117"/>
      <c r="BQ88" s="117"/>
      <c r="BR88" s="111"/>
      <c r="BS88" s="118"/>
      <c r="BT88" s="111"/>
      <c r="BU88" s="118"/>
      <c r="BV88" s="111"/>
      <c r="BW88" s="111"/>
      <c r="BX88" s="111"/>
      <c r="BY88" s="111"/>
      <c r="BZ88" s="111"/>
      <c r="CA88" s="111"/>
      <c r="CB88" s="119"/>
      <c r="CC88" s="117"/>
      <c r="CD88" s="120" t="e">
        <v>#N/A</v>
      </c>
      <c r="CE88" s="120" t="e">
        <v>#N/A</v>
      </c>
      <c r="CF88" s="120" t="e">
        <v>#N/A</v>
      </c>
      <c r="CG88" s="111"/>
      <c r="CH88" s="120" t="e">
        <v>#N/A</v>
      </c>
      <c r="CI88" s="120" t="e">
        <v>#N/A</v>
      </c>
      <c r="CJ88" s="111"/>
    </row>
    <row r="89" spans="1:88" ht="57.95" hidden="1">
      <c r="A89" s="106" t="s">
        <v>316</v>
      </c>
      <c r="B89" s="107">
        <v>0</v>
      </c>
      <c r="C89" s="49" t="e">
        <v>#N/A</v>
      </c>
      <c r="D89" s="107">
        <v>0</v>
      </c>
      <c r="E89" s="108"/>
      <c r="F89" s="108"/>
      <c r="G89" s="121"/>
      <c r="H89" s="151">
        <v>8085369</v>
      </c>
      <c r="I89" s="127">
        <f>Tracker6[[#This Row],[DCR ID - PTC]]</f>
        <v>8085369</v>
      </c>
      <c r="J89" s="108" t="s">
        <v>320</v>
      </c>
      <c r="K89" s="108"/>
      <c r="L89" s="108"/>
      <c r="M89" s="108"/>
      <c r="N89" s="108"/>
      <c r="O89" s="111"/>
      <c r="P89" s="111"/>
      <c r="Q89" s="111"/>
      <c r="R89" s="111"/>
      <c r="S89" s="111"/>
      <c r="T89" s="111"/>
      <c r="U89" s="108"/>
      <c r="V89" s="108"/>
      <c r="W89" s="108"/>
      <c r="X89" s="108"/>
      <c r="Y89" s="108"/>
      <c r="Z89" s="108"/>
      <c r="AA89" s="108"/>
      <c r="AB89" s="112"/>
      <c r="AC89" s="108"/>
      <c r="AD89" s="108" t="s">
        <v>93</v>
      </c>
      <c r="AE89" s="107"/>
      <c r="AF89" s="113"/>
      <c r="AG89" s="115"/>
      <c r="AH89" s="108" t="s">
        <v>109</v>
      </c>
      <c r="AI89" s="108" t="s">
        <v>95</v>
      </c>
      <c r="AJ89" s="114">
        <v>44592.562511574077</v>
      </c>
      <c r="AK89" s="108" t="s">
        <v>321</v>
      </c>
      <c r="AL89" s="115">
        <v>44498.562986111108</v>
      </c>
      <c r="AM89" s="116"/>
      <c r="AN89" s="116"/>
      <c r="AO89" s="116" t="e">
        <v>#N/A</v>
      </c>
      <c r="AP89" s="108"/>
      <c r="AQ89" s="107"/>
      <c r="AR89" s="107"/>
      <c r="AS89" s="116"/>
      <c r="AT89" s="114"/>
      <c r="AU89" s="114"/>
      <c r="AV89" s="108"/>
      <c r="AW89" s="108"/>
      <c r="AX89" s="108" t="s">
        <v>97</v>
      </c>
      <c r="AY89" s="108" t="s">
        <v>98</v>
      </c>
      <c r="AZ89" s="108"/>
      <c r="BA89" s="108"/>
      <c r="BB89" s="108"/>
      <c r="BC89" s="108"/>
      <c r="BD89" s="111"/>
      <c r="BE89" s="111"/>
      <c r="BF89" s="111"/>
      <c r="BG89" s="111"/>
      <c r="BH89" s="111"/>
      <c r="BI89" s="111"/>
      <c r="BJ89" s="111"/>
      <c r="BK89" s="111"/>
      <c r="BL89" s="111"/>
      <c r="BM89" s="117" t="e">
        <v>#N/A</v>
      </c>
      <c r="BN89" s="111"/>
      <c r="BO89" s="117"/>
      <c r="BP89" s="117"/>
      <c r="BQ89" s="117"/>
      <c r="BR89" s="111"/>
      <c r="BS89" s="118"/>
      <c r="BT89" s="111"/>
      <c r="BU89" s="118"/>
      <c r="BV89" s="111"/>
      <c r="BW89" s="111"/>
      <c r="BX89" s="111"/>
      <c r="BY89" s="111"/>
      <c r="BZ89" s="111"/>
      <c r="CA89" s="111"/>
      <c r="CB89" s="119"/>
      <c r="CC89" s="117"/>
      <c r="CD89" s="120" t="e">
        <v>#N/A</v>
      </c>
      <c r="CE89" s="120" t="e">
        <v>#N/A</v>
      </c>
      <c r="CF89" s="120" t="e">
        <v>#N/A</v>
      </c>
      <c r="CG89" s="111"/>
      <c r="CH89" s="120" t="e">
        <v>#N/A</v>
      </c>
      <c r="CI89" s="120" t="e">
        <v>#N/A</v>
      </c>
      <c r="CJ89" s="111"/>
    </row>
    <row r="90" spans="1:88" ht="57.95" hidden="1">
      <c r="A90" s="106" t="s">
        <v>316</v>
      </c>
      <c r="B90" s="107">
        <v>0</v>
      </c>
      <c r="C90" s="49" t="e">
        <v>#N/A</v>
      </c>
      <c r="D90" s="107"/>
      <c r="E90" s="108"/>
      <c r="F90" s="108"/>
      <c r="G90" s="121"/>
      <c r="H90" s="151">
        <v>11496219</v>
      </c>
      <c r="I90" s="109">
        <f>Tracker6[[#This Row],[DCR ID - PTC]]</f>
        <v>11496219</v>
      </c>
      <c r="J90" s="108" t="s">
        <v>322</v>
      </c>
      <c r="K90" s="108"/>
      <c r="L90" s="108" t="s">
        <v>323</v>
      </c>
      <c r="M90" s="108"/>
      <c r="N90" s="108"/>
      <c r="O90" s="111"/>
      <c r="P90" s="111"/>
      <c r="Q90" s="111"/>
      <c r="R90" s="111"/>
      <c r="S90" s="111"/>
      <c r="T90" s="111"/>
      <c r="U90" s="108"/>
      <c r="V90" s="108"/>
      <c r="W90" s="108"/>
      <c r="X90" s="108"/>
      <c r="Y90" s="108"/>
      <c r="Z90" s="108"/>
      <c r="AA90" s="108"/>
      <c r="AB90" s="112">
        <v>45077</v>
      </c>
      <c r="AC90" s="108" t="s">
        <v>323</v>
      </c>
      <c r="AD90" s="108" t="s">
        <v>93</v>
      </c>
      <c r="AE90" s="107"/>
      <c r="AF90" s="113"/>
      <c r="AG90" s="115">
        <v>45045.056192129632</v>
      </c>
      <c r="AH90" s="108" t="s">
        <v>100</v>
      </c>
      <c r="AI90" s="108" t="s">
        <v>95</v>
      </c>
      <c r="AJ90" s="114">
        <v>45077.395833333336</v>
      </c>
      <c r="AK90" s="108" t="s">
        <v>321</v>
      </c>
      <c r="AL90" s="115">
        <v>45043.96837962963</v>
      </c>
      <c r="AM90" s="116"/>
      <c r="AN90" s="116"/>
      <c r="AO90" s="116" t="e">
        <v>#N/A</v>
      </c>
      <c r="AP90" s="108"/>
      <c r="AQ90" s="107"/>
      <c r="AR90" s="107"/>
      <c r="AS90" s="116"/>
      <c r="AT90" s="114"/>
      <c r="AU90" s="114"/>
      <c r="AV90" s="108"/>
      <c r="AW90" s="108"/>
      <c r="AX90" s="108" t="s">
        <v>97</v>
      </c>
      <c r="AY90" s="108" t="s">
        <v>98</v>
      </c>
      <c r="AZ90" s="108"/>
      <c r="BA90" s="108"/>
      <c r="BB90" s="108"/>
      <c r="BC90" s="108"/>
      <c r="BD90" s="111"/>
      <c r="BE90" s="111"/>
      <c r="BF90" s="111"/>
      <c r="BG90" s="111"/>
      <c r="BH90" s="111"/>
      <c r="BI90" s="111"/>
      <c r="BJ90" s="111"/>
      <c r="BK90" s="111"/>
      <c r="BL90" s="111"/>
      <c r="BM90" s="117" t="e">
        <v>#N/A</v>
      </c>
      <c r="BN90" s="111"/>
      <c r="BO90" s="117"/>
      <c r="BP90" s="117"/>
      <c r="BQ90" s="117"/>
      <c r="BR90" s="111"/>
      <c r="BS90" s="118"/>
      <c r="BT90" s="111"/>
      <c r="BU90" s="118"/>
      <c r="BV90" s="111"/>
      <c r="BW90" s="111"/>
      <c r="BX90" s="111"/>
      <c r="BY90" s="111"/>
      <c r="BZ90" s="111"/>
      <c r="CA90" s="111"/>
      <c r="CB90" s="119"/>
      <c r="CC90" s="117"/>
      <c r="CD90" s="120" t="e">
        <v>#N/A</v>
      </c>
      <c r="CE90" s="120" t="e">
        <v>#N/A</v>
      </c>
      <c r="CF90" s="120" t="e">
        <v>#N/A</v>
      </c>
      <c r="CG90" s="111"/>
      <c r="CH90" s="120" t="e">
        <v>#N/A</v>
      </c>
      <c r="CI90" s="120" t="e">
        <v>#N/A</v>
      </c>
      <c r="CJ90" s="111"/>
    </row>
    <row r="91" spans="1:88" ht="57.95" hidden="1">
      <c r="A91" s="106" t="s">
        <v>316</v>
      </c>
      <c r="B91" s="107">
        <v>0</v>
      </c>
      <c r="C91" s="49" t="e">
        <v>#N/A</v>
      </c>
      <c r="D91" s="107"/>
      <c r="E91" s="108"/>
      <c r="F91" s="108"/>
      <c r="G91" s="121"/>
      <c r="H91" s="151">
        <v>11978560</v>
      </c>
      <c r="I91" s="127">
        <f>Tracker6[[#This Row],[DCR ID - PTC]]</f>
        <v>11978560</v>
      </c>
      <c r="J91" s="108" t="s">
        <v>324</v>
      </c>
      <c r="K91" s="108"/>
      <c r="L91" s="108"/>
      <c r="M91" s="108"/>
      <c r="N91" s="108"/>
      <c r="O91" s="111"/>
      <c r="P91" s="111"/>
      <c r="Q91" s="111"/>
      <c r="R91" s="111"/>
      <c r="S91" s="111"/>
      <c r="T91" s="111"/>
      <c r="U91" s="108"/>
      <c r="V91" s="108"/>
      <c r="W91" s="108"/>
      <c r="X91" s="108"/>
      <c r="Y91" s="108"/>
      <c r="Z91" s="108"/>
      <c r="AA91" s="108"/>
      <c r="AB91" s="112">
        <v>45229</v>
      </c>
      <c r="AC91" s="108"/>
      <c r="AD91" s="108" t="s">
        <v>93</v>
      </c>
      <c r="AE91" s="107"/>
      <c r="AF91" s="113"/>
      <c r="AG91" s="115">
        <v>45127.975740740738</v>
      </c>
      <c r="AH91" s="108" t="s">
        <v>100</v>
      </c>
      <c r="AI91" s="108" t="s">
        <v>95</v>
      </c>
      <c r="AJ91" s="114">
        <v>45230</v>
      </c>
      <c r="AK91" s="108" t="s">
        <v>96</v>
      </c>
      <c r="AL91" s="115">
        <v>45126.510266203702</v>
      </c>
      <c r="AM91" s="116"/>
      <c r="AN91" s="116"/>
      <c r="AO91" s="116" t="e">
        <v>#N/A</v>
      </c>
      <c r="AP91" s="108"/>
      <c r="AQ91" s="107"/>
      <c r="AR91" s="107"/>
      <c r="AS91" s="116"/>
      <c r="AT91" s="114"/>
      <c r="AU91" s="114"/>
      <c r="AV91" s="108"/>
      <c r="AW91" s="108"/>
      <c r="AX91" s="108" t="s">
        <v>97</v>
      </c>
      <c r="AY91" s="108" t="s">
        <v>98</v>
      </c>
      <c r="AZ91" s="108"/>
      <c r="BA91" s="108"/>
      <c r="BB91" s="108"/>
      <c r="BC91" s="108"/>
      <c r="BD91" s="111"/>
      <c r="BE91" s="111"/>
      <c r="BF91" s="111"/>
      <c r="BG91" s="111"/>
      <c r="BH91" s="111"/>
      <c r="BI91" s="111"/>
      <c r="BJ91" s="111"/>
      <c r="BK91" s="111"/>
      <c r="BL91" s="111"/>
      <c r="BM91" s="117" t="e">
        <v>#N/A</v>
      </c>
      <c r="BN91" s="111"/>
      <c r="BO91" s="117"/>
      <c r="BP91" s="117"/>
      <c r="BQ91" s="117"/>
      <c r="BR91" s="111"/>
      <c r="BS91" s="118"/>
      <c r="BT91" s="111"/>
      <c r="BU91" s="118"/>
      <c r="BV91" s="111"/>
      <c r="BW91" s="111"/>
      <c r="BX91" s="111"/>
      <c r="BY91" s="111"/>
      <c r="BZ91" s="111"/>
      <c r="CA91" s="111"/>
      <c r="CB91" s="119"/>
      <c r="CC91" s="117"/>
      <c r="CD91" s="120" t="e">
        <v>#N/A</v>
      </c>
      <c r="CE91" s="120" t="e">
        <v>#N/A</v>
      </c>
      <c r="CF91" s="120" t="e">
        <v>#N/A</v>
      </c>
      <c r="CG91" s="111"/>
      <c r="CH91" s="120" t="e">
        <v>#N/A</v>
      </c>
      <c r="CI91" s="120" t="e">
        <v>#N/A</v>
      </c>
      <c r="CJ91" s="111"/>
    </row>
    <row r="92" spans="1:88" ht="87" hidden="1">
      <c r="A92" s="106" t="s">
        <v>316</v>
      </c>
      <c r="B92" s="107">
        <v>0</v>
      </c>
      <c r="C92" s="49" t="e">
        <v>#N/A</v>
      </c>
      <c r="D92" s="107">
        <v>0</v>
      </c>
      <c r="E92" s="108"/>
      <c r="F92" s="108"/>
      <c r="G92" s="121"/>
      <c r="H92" s="151">
        <v>11978892</v>
      </c>
      <c r="I92" s="109">
        <f>Tracker6[[#This Row],[DCR ID - PTC]]</f>
        <v>11978892</v>
      </c>
      <c r="J92" s="108" t="s">
        <v>325</v>
      </c>
      <c r="K92" s="108"/>
      <c r="L92" s="108"/>
      <c r="M92" s="108"/>
      <c r="N92" s="108"/>
      <c r="O92" s="111"/>
      <c r="P92" s="111"/>
      <c r="Q92" s="111"/>
      <c r="R92" s="111"/>
      <c r="S92" s="111"/>
      <c r="T92" s="111"/>
      <c r="U92" s="108"/>
      <c r="V92" s="108"/>
      <c r="W92" s="108"/>
      <c r="X92" s="108"/>
      <c r="Y92" s="108"/>
      <c r="Z92" s="108"/>
      <c r="AA92" s="108"/>
      <c r="AB92" s="112"/>
      <c r="AC92" s="108"/>
      <c r="AD92" s="108" t="s">
        <v>93</v>
      </c>
      <c r="AE92" s="107"/>
      <c r="AF92" s="113"/>
      <c r="AG92" s="115"/>
      <c r="AH92" s="108" t="s">
        <v>109</v>
      </c>
      <c r="AI92" s="108" t="s">
        <v>95</v>
      </c>
      <c r="AJ92" s="114">
        <v>45230</v>
      </c>
      <c r="AK92" s="108" t="s">
        <v>96</v>
      </c>
      <c r="AL92" s="115">
        <v>45126.559965277775</v>
      </c>
      <c r="AM92" s="116"/>
      <c r="AN92" s="116"/>
      <c r="AO92" s="116" t="e">
        <v>#N/A</v>
      </c>
      <c r="AP92" s="108"/>
      <c r="AQ92" s="107"/>
      <c r="AR92" s="107"/>
      <c r="AS92" s="116"/>
      <c r="AT92" s="114"/>
      <c r="AU92" s="114"/>
      <c r="AV92" s="108"/>
      <c r="AW92" s="108"/>
      <c r="AX92" s="108" t="s">
        <v>97</v>
      </c>
      <c r="AY92" s="108" t="s">
        <v>98</v>
      </c>
      <c r="AZ92" s="108"/>
      <c r="BA92" s="108"/>
      <c r="BB92" s="108"/>
      <c r="BC92" s="108"/>
      <c r="BD92" s="111"/>
      <c r="BE92" s="111"/>
      <c r="BF92" s="111"/>
      <c r="BG92" s="111"/>
      <c r="BH92" s="111"/>
      <c r="BI92" s="111"/>
      <c r="BJ92" s="111"/>
      <c r="BK92" s="111"/>
      <c r="BL92" s="111"/>
      <c r="BM92" s="117" t="e">
        <v>#N/A</v>
      </c>
      <c r="BN92" s="111"/>
      <c r="BO92" s="117"/>
      <c r="BP92" s="117"/>
      <c r="BQ92" s="117"/>
      <c r="BR92" s="111"/>
      <c r="BS92" s="118"/>
      <c r="BT92" s="111"/>
      <c r="BU92" s="118"/>
      <c r="BV92" s="111"/>
      <c r="BW92" s="111"/>
      <c r="BX92" s="111"/>
      <c r="BY92" s="111"/>
      <c r="BZ92" s="111"/>
      <c r="CA92" s="111"/>
      <c r="CB92" s="119"/>
      <c r="CC92" s="117"/>
      <c r="CD92" s="120" t="e">
        <v>#N/A</v>
      </c>
      <c r="CE92" s="120" t="e">
        <v>#N/A</v>
      </c>
      <c r="CF92" s="120" t="e">
        <v>#N/A</v>
      </c>
      <c r="CG92" s="111"/>
      <c r="CH92" s="120" t="e">
        <v>#N/A</v>
      </c>
      <c r="CI92" s="120" t="e">
        <v>#N/A</v>
      </c>
      <c r="CJ92" s="111"/>
    </row>
    <row r="93" spans="1:88" ht="57.95" hidden="1">
      <c r="A93" s="106" t="s">
        <v>316</v>
      </c>
      <c r="B93" s="107">
        <v>0</v>
      </c>
      <c r="C93" s="49" t="e">
        <v>#N/A</v>
      </c>
      <c r="D93" s="107">
        <v>0</v>
      </c>
      <c r="E93" s="108"/>
      <c r="F93" s="108"/>
      <c r="G93" s="121"/>
      <c r="H93" s="151">
        <v>12383995</v>
      </c>
      <c r="I93" s="127">
        <f>Tracker6[[#This Row],[DCR ID - PTC]]</f>
        <v>12383995</v>
      </c>
      <c r="J93" s="108" t="s">
        <v>326</v>
      </c>
      <c r="K93" s="108"/>
      <c r="L93" s="108"/>
      <c r="M93" s="108"/>
      <c r="N93" s="108"/>
      <c r="O93" s="111"/>
      <c r="P93" s="111"/>
      <c r="Q93" s="111"/>
      <c r="R93" s="111"/>
      <c r="S93" s="111"/>
      <c r="T93" s="111"/>
      <c r="U93" s="108"/>
      <c r="V93" s="108"/>
      <c r="W93" s="108"/>
      <c r="X93" s="108"/>
      <c r="Y93" s="108"/>
      <c r="Z93" s="108"/>
      <c r="AA93" s="108"/>
      <c r="AB93" s="112">
        <v>45230</v>
      </c>
      <c r="AC93" s="108"/>
      <c r="AD93" s="108" t="s">
        <v>93</v>
      </c>
      <c r="AE93" s="107"/>
      <c r="AF93" s="113"/>
      <c r="AG93" s="115"/>
      <c r="AH93" s="108" t="s">
        <v>100</v>
      </c>
      <c r="AI93" s="108" t="s">
        <v>101</v>
      </c>
      <c r="AJ93" s="114">
        <v>45230</v>
      </c>
      <c r="AK93" s="108" t="s">
        <v>96</v>
      </c>
      <c r="AL93" s="115">
        <v>45203.702546296299</v>
      </c>
      <c r="AM93" s="116"/>
      <c r="AN93" s="116"/>
      <c r="AO93" s="116" t="e">
        <v>#N/A</v>
      </c>
      <c r="AP93" s="108"/>
      <c r="AQ93" s="107"/>
      <c r="AR93" s="107"/>
      <c r="AS93" s="116"/>
      <c r="AT93" s="114"/>
      <c r="AU93" s="114"/>
      <c r="AV93" s="108"/>
      <c r="AW93" s="108"/>
      <c r="AX93" s="108" t="s">
        <v>97</v>
      </c>
      <c r="AY93" s="108" t="s">
        <v>98</v>
      </c>
      <c r="AZ93" s="108"/>
      <c r="BA93" s="108"/>
      <c r="BB93" s="108"/>
      <c r="BC93" s="108"/>
      <c r="BD93" s="111"/>
      <c r="BE93" s="111"/>
      <c r="BF93" s="111"/>
      <c r="BG93" s="111"/>
      <c r="BH93" s="111"/>
      <c r="BI93" s="111"/>
      <c r="BJ93" s="111"/>
      <c r="BK93" s="111"/>
      <c r="BL93" s="111"/>
      <c r="BM93" s="117" t="e">
        <v>#N/A</v>
      </c>
      <c r="BN93" s="111"/>
      <c r="BO93" s="117"/>
      <c r="BP93" s="117"/>
      <c r="BQ93" s="117"/>
      <c r="BR93" s="111"/>
      <c r="BS93" s="118"/>
      <c r="BT93" s="111"/>
      <c r="BU93" s="118"/>
      <c r="BV93" s="111"/>
      <c r="BW93" s="111"/>
      <c r="BX93" s="111"/>
      <c r="BY93" s="111"/>
      <c r="BZ93" s="111"/>
      <c r="CA93" s="111"/>
      <c r="CB93" s="119"/>
      <c r="CC93" s="117"/>
      <c r="CD93" s="120" t="e">
        <v>#N/A</v>
      </c>
      <c r="CE93" s="120" t="e">
        <v>#N/A</v>
      </c>
      <c r="CF93" s="120" t="e">
        <v>#N/A</v>
      </c>
      <c r="CG93" s="111"/>
      <c r="CH93" s="120" t="e">
        <v>#N/A</v>
      </c>
      <c r="CI93" s="120" t="e">
        <v>#N/A</v>
      </c>
      <c r="CJ93" s="111"/>
    </row>
    <row r="94" spans="1:88" ht="72.599999999999994" hidden="1">
      <c r="A94" s="106" t="s">
        <v>316</v>
      </c>
      <c r="B94" s="107">
        <v>0</v>
      </c>
      <c r="C94" s="49" t="e">
        <v>#N/A</v>
      </c>
      <c r="D94" s="107">
        <v>0</v>
      </c>
      <c r="E94" s="108"/>
      <c r="F94" s="108"/>
      <c r="G94" s="121"/>
      <c r="H94" s="151">
        <v>12721478</v>
      </c>
      <c r="I94" s="127">
        <f>Tracker6[[#This Row],[DCR ID - PTC]]</f>
        <v>12721478</v>
      </c>
      <c r="J94" s="108" t="s">
        <v>327</v>
      </c>
      <c r="K94" s="108"/>
      <c r="L94" s="108" t="s">
        <v>328</v>
      </c>
      <c r="M94" s="108"/>
      <c r="N94" s="108"/>
      <c r="O94" s="111"/>
      <c r="P94" s="111"/>
      <c r="Q94" s="111"/>
      <c r="R94" s="111"/>
      <c r="S94" s="111"/>
      <c r="T94" s="111"/>
      <c r="U94" s="108"/>
      <c r="V94" s="108"/>
      <c r="W94" s="108"/>
      <c r="X94" s="108"/>
      <c r="Y94" s="108"/>
      <c r="Z94" s="108"/>
      <c r="AA94" s="108"/>
      <c r="AB94" s="112"/>
      <c r="AC94" s="108" t="s">
        <v>328</v>
      </c>
      <c r="AD94" s="108" t="s">
        <v>93</v>
      </c>
      <c r="AE94" s="107"/>
      <c r="AF94" s="113"/>
      <c r="AG94" s="115"/>
      <c r="AH94" s="108" t="s">
        <v>109</v>
      </c>
      <c r="AI94" s="108" t="s">
        <v>95</v>
      </c>
      <c r="AJ94" s="114">
        <v>44981</v>
      </c>
      <c r="AK94" s="108" t="s">
        <v>96</v>
      </c>
      <c r="AL94" s="115">
        <v>45259.825104166666</v>
      </c>
      <c r="AM94" s="116"/>
      <c r="AN94" s="116"/>
      <c r="AO94" s="116" t="e">
        <v>#N/A</v>
      </c>
      <c r="AP94" s="108"/>
      <c r="AQ94" s="107"/>
      <c r="AR94" s="107"/>
      <c r="AS94" s="116"/>
      <c r="AT94" s="114"/>
      <c r="AU94" s="114"/>
      <c r="AV94" s="108"/>
      <c r="AW94" s="108"/>
      <c r="AX94" s="108" t="s">
        <v>97</v>
      </c>
      <c r="AY94" s="108" t="s">
        <v>98</v>
      </c>
      <c r="AZ94" s="108"/>
      <c r="BA94" s="108"/>
      <c r="BB94" s="108"/>
      <c r="BC94" s="108"/>
      <c r="BD94" s="111"/>
      <c r="BE94" s="111"/>
      <c r="BF94" s="111"/>
      <c r="BG94" s="111"/>
      <c r="BH94" s="111"/>
      <c r="BI94" s="111"/>
      <c r="BJ94" s="111"/>
      <c r="BK94" s="111"/>
      <c r="BL94" s="111"/>
      <c r="BM94" s="117" t="e">
        <v>#N/A</v>
      </c>
      <c r="BN94" s="111"/>
      <c r="BO94" s="117"/>
      <c r="BP94" s="117"/>
      <c r="BQ94" s="117"/>
      <c r="BR94" s="111"/>
      <c r="BS94" s="118"/>
      <c r="BT94" s="111"/>
      <c r="BU94" s="118"/>
      <c r="BV94" s="111"/>
      <c r="BW94" s="111"/>
      <c r="BX94" s="111"/>
      <c r="BY94" s="111"/>
      <c r="BZ94" s="111"/>
      <c r="CA94" s="111"/>
      <c r="CB94" s="119"/>
      <c r="CC94" s="117"/>
      <c r="CD94" s="120" t="e">
        <v>#N/A</v>
      </c>
      <c r="CE94" s="120" t="e">
        <v>#N/A</v>
      </c>
      <c r="CF94" s="120" t="e">
        <v>#N/A</v>
      </c>
      <c r="CG94" s="111"/>
      <c r="CH94" s="120" t="e">
        <v>#N/A</v>
      </c>
      <c r="CI94" s="120" t="e">
        <v>#N/A</v>
      </c>
      <c r="CJ94" s="111"/>
    </row>
    <row r="95" spans="1:88" ht="57.95" hidden="1">
      <c r="A95" s="106" t="s">
        <v>316</v>
      </c>
      <c r="B95" s="107">
        <v>0</v>
      </c>
      <c r="C95" s="49" t="e">
        <v>#N/A</v>
      </c>
      <c r="D95" s="107">
        <v>0</v>
      </c>
      <c r="E95" s="108"/>
      <c r="F95" s="108"/>
      <c r="G95" s="121"/>
      <c r="H95" s="151">
        <v>12933353</v>
      </c>
      <c r="I95" s="127">
        <f>Tracker6[[#This Row],[DCR ID - PTC]]</f>
        <v>12933353</v>
      </c>
      <c r="J95" s="108" t="s">
        <v>329</v>
      </c>
      <c r="K95" s="108"/>
      <c r="L95" s="108" t="s">
        <v>330</v>
      </c>
      <c r="M95" s="108"/>
      <c r="N95" s="108"/>
      <c r="O95" s="111"/>
      <c r="P95" s="111"/>
      <c r="Q95" s="111"/>
      <c r="R95" s="111"/>
      <c r="S95" s="111"/>
      <c r="T95" s="111"/>
      <c r="U95" s="108"/>
      <c r="V95" s="108"/>
      <c r="W95" s="108"/>
      <c r="X95" s="108"/>
      <c r="Y95" s="108"/>
      <c r="Z95" s="108"/>
      <c r="AA95" s="108"/>
      <c r="AB95" s="112"/>
      <c r="AC95" s="108" t="s">
        <v>330</v>
      </c>
      <c r="AD95" s="108" t="s">
        <v>93</v>
      </c>
      <c r="AE95" s="107"/>
      <c r="AF95" s="113"/>
      <c r="AG95" s="115"/>
      <c r="AH95" s="108" t="s">
        <v>109</v>
      </c>
      <c r="AI95" s="108" t="s">
        <v>95</v>
      </c>
      <c r="AJ95" s="114">
        <v>45322.4375</v>
      </c>
      <c r="AK95" s="108" t="s">
        <v>96</v>
      </c>
      <c r="AL95" s="115">
        <v>45300.207743055558</v>
      </c>
      <c r="AM95" s="116"/>
      <c r="AN95" s="116"/>
      <c r="AO95" s="116" t="e">
        <v>#N/A</v>
      </c>
      <c r="AP95" s="108"/>
      <c r="AQ95" s="107"/>
      <c r="AR95" s="107"/>
      <c r="AS95" s="116"/>
      <c r="AT95" s="114"/>
      <c r="AU95" s="114"/>
      <c r="AV95" s="108"/>
      <c r="AW95" s="108"/>
      <c r="AX95" s="108" t="s">
        <v>97</v>
      </c>
      <c r="AY95" s="108" t="s">
        <v>98</v>
      </c>
      <c r="AZ95" s="108"/>
      <c r="BA95" s="108"/>
      <c r="BB95" s="108"/>
      <c r="BC95" s="108"/>
      <c r="BD95" s="111"/>
      <c r="BE95" s="111"/>
      <c r="BF95" s="111"/>
      <c r="BG95" s="111"/>
      <c r="BH95" s="111"/>
      <c r="BI95" s="111"/>
      <c r="BJ95" s="111"/>
      <c r="BK95" s="111"/>
      <c r="BL95" s="111"/>
      <c r="BM95" s="117" t="e">
        <v>#N/A</v>
      </c>
      <c r="BN95" s="111"/>
      <c r="BO95" s="117"/>
      <c r="BP95" s="117"/>
      <c r="BQ95" s="117"/>
      <c r="BR95" s="111"/>
      <c r="BS95" s="118"/>
      <c r="BT95" s="111"/>
      <c r="BU95" s="118"/>
      <c r="BV95" s="111"/>
      <c r="BW95" s="111"/>
      <c r="BX95" s="111"/>
      <c r="BY95" s="111"/>
      <c r="BZ95" s="111"/>
      <c r="CA95" s="111"/>
      <c r="CB95" s="119"/>
      <c r="CC95" s="117"/>
      <c r="CD95" s="120" t="e">
        <v>#N/A</v>
      </c>
      <c r="CE95" s="120" t="e">
        <v>#N/A</v>
      </c>
      <c r="CF95" s="120" t="e">
        <v>#N/A</v>
      </c>
      <c r="CG95" s="111"/>
      <c r="CH95" s="120" t="e">
        <v>#N/A</v>
      </c>
      <c r="CI95" s="120" t="e">
        <v>#N/A</v>
      </c>
      <c r="CJ95" s="111"/>
    </row>
    <row r="96" spans="1:88" ht="57.95" hidden="1">
      <c r="A96" s="106" t="s">
        <v>316</v>
      </c>
      <c r="B96" s="107">
        <v>0</v>
      </c>
      <c r="C96" s="49" t="e">
        <v>#N/A</v>
      </c>
      <c r="D96" s="107"/>
      <c r="E96" s="108"/>
      <c r="F96" s="108"/>
      <c r="G96" s="121"/>
      <c r="H96" s="151">
        <v>13129138</v>
      </c>
      <c r="I96" s="127">
        <f>Tracker6[[#This Row],[DCR ID - PTC]]</f>
        <v>13129138</v>
      </c>
      <c r="J96" s="108" t="s">
        <v>331</v>
      </c>
      <c r="K96" s="108"/>
      <c r="L96" s="108" t="s">
        <v>332</v>
      </c>
      <c r="M96" s="108"/>
      <c r="N96" s="108"/>
      <c r="O96" s="111"/>
      <c r="P96" s="111"/>
      <c r="Q96" s="111"/>
      <c r="R96" s="111"/>
      <c r="S96" s="111"/>
      <c r="T96" s="111"/>
      <c r="U96" s="108"/>
      <c r="V96" s="108"/>
      <c r="W96" s="108"/>
      <c r="X96" s="108"/>
      <c r="Y96" s="108"/>
      <c r="Z96" s="108"/>
      <c r="AA96" s="108" t="s">
        <v>333</v>
      </c>
      <c r="AB96" s="112">
        <v>45411</v>
      </c>
      <c r="AC96" s="108" t="s">
        <v>332</v>
      </c>
      <c r="AD96" s="108" t="s">
        <v>146</v>
      </c>
      <c r="AE96" s="107"/>
      <c r="AF96" s="113"/>
      <c r="AG96" s="115">
        <v>45373.802615740744</v>
      </c>
      <c r="AH96" s="108" t="s">
        <v>100</v>
      </c>
      <c r="AI96" s="108" t="s">
        <v>95</v>
      </c>
      <c r="AJ96" s="114">
        <v>45412</v>
      </c>
      <c r="AK96" s="108" t="s">
        <v>96</v>
      </c>
      <c r="AL96" s="115">
        <v>45330.634675925925</v>
      </c>
      <c r="AM96" s="116"/>
      <c r="AN96" s="116"/>
      <c r="AO96" s="116" t="e">
        <v>#N/A</v>
      </c>
      <c r="AP96" s="108"/>
      <c r="AQ96" s="107"/>
      <c r="AR96" s="107"/>
      <c r="AS96" s="116"/>
      <c r="AT96" s="114"/>
      <c r="AU96" s="114"/>
      <c r="AV96" s="108"/>
      <c r="AW96" s="108"/>
      <c r="AX96" s="108" t="s">
        <v>97</v>
      </c>
      <c r="AY96" s="108" t="s">
        <v>98</v>
      </c>
      <c r="AZ96" s="108"/>
      <c r="BA96" s="108"/>
      <c r="BB96" s="108"/>
      <c r="BC96" s="108"/>
      <c r="BD96" s="111"/>
      <c r="BE96" s="111"/>
      <c r="BF96" s="111"/>
      <c r="BG96" s="111"/>
      <c r="BH96" s="111"/>
      <c r="BI96" s="111"/>
      <c r="BJ96" s="111"/>
      <c r="BK96" s="111"/>
      <c r="BL96" s="111"/>
      <c r="BM96" s="117" t="e">
        <v>#N/A</v>
      </c>
      <c r="BN96" s="111"/>
      <c r="BO96" s="117"/>
      <c r="BP96" s="117"/>
      <c r="BQ96" s="117"/>
      <c r="BR96" s="111"/>
      <c r="BS96" s="118"/>
      <c r="BT96" s="111"/>
      <c r="BU96" s="118"/>
      <c r="BV96" s="111"/>
      <c r="BW96" s="111"/>
      <c r="BX96" s="111"/>
      <c r="BY96" s="111"/>
      <c r="BZ96" s="111"/>
      <c r="CA96" s="111"/>
      <c r="CB96" s="119"/>
      <c r="CC96" s="117"/>
      <c r="CD96" s="120" t="e">
        <v>#N/A</v>
      </c>
      <c r="CE96" s="120" t="e">
        <v>#N/A</v>
      </c>
      <c r="CF96" s="120" t="e">
        <v>#N/A</v>
      </c>
      <c r="CG96" s="111"/>
      <c r="CH96" s="120" t="e">
        <v>#N/A</v>
      </c>
      <c r="CI96" s="120" t="e">
        <v>#N/A</v>
      </c>
      <c r="CJ96" s="111"/>
    </row>
    <row r="97" spans="1:88" ht="57.95" hidden="1">
      <c r="A97" s="106" t="s">
        <v>316</v>
      </c>
      <c r="B97" s="107">
        <v>0</v>
      </c>
      <c r="C97" s="49" t="e">
        <v>#N/A</v>
      </c>
      <c r="D97" s="107"/>
      <c r="E97" s="108"/>
      <c r="F97" s="108"/>
      <c r="G97" s="121"/>
      <c r="H97" s="151">
        <v>13129388</v>
      </c>
      <c r="I97" s="127">
        <f>Tracker6[[#This Row],[DCR ID - PTC]]</f>
        <v>13129388</v>
      </c>
      <c r="J97" s="108" t="s">
        <v>334</v>
      </c>
      <c r="K97" s="108"/>
      <c r="L97" s="108" t="s">
        <v>332</v>
      </c>
      <c r="M97" s="108"/>
      <c r="N97" s="108"/>
      <c r="O97" s="111"/>
      <c r="P97" s="111"/>
      <c r="Q97" s="111"/>
      <c r="R97" s="111"/>
      <c r="S97" s="111"/>
      <c r="T97" s="111"/>
      <c r="U97" s="108"/>
      <c r="V97" s="108"/>
      <c r="W97" s="108"/>
      <c r="X97" s="108"/>
      <c r="Y97" s="108"/>
      <c r="Z97" s="108"/>
      <c r="AA97" s="108" t="s">
        <v>333</v>
      </c>
      <c r="AB97" s="112">
        <v>45411</v>
      </c>
      <c r="AC97" s="108" t="s">
        <v>332</v>
      </c>
      <c r="AD97" s="108" t="s">
        <v>146</v>
      </c>
      <c r="AE97" s="107"/>
      <c r="AF97" s="113"/>
      <c r="AG97" s="115">
        <v>45373.803159722222</v>
      </c>
      <c r="AH97" s="108" t="s">
        <v>100</v>
      </c>
      <c r="AI97" s="108" t="s">
        <v>95</v>
      </c>
      <c r="AJ97" s="114">
        <v>45412</v>
      </c>
      <c r="AK97" s="108" t="s">
        <v>96</v>
      </c>
      <c r="AL97" s="115">
        <v>45330.668483796297</v>
      </c>
      <c r="AM97" s="116"/>
      <c r="AN97" s="116"/>
      <c r="AO97" s="116" t="e">
        <v>#N/A</v>
      </c>
      <c r="AP97" s="108"/>
      <c r="AQ97" s="107"/>
      <c r="AR97" s="107"/>
      <c r="AS97" s="116"/>
      <c r="AT97" s="114"/>
      <c r="AU97" s="114"/>
      <c r="AV97" s="108"/>
      <c r="AW97" s="108"/>
      <c r="AX97" s="108" t="s">
        <v>97</v>
      </c>
      <c r="AY97" s="108" t="s">
        <v>98</v>
      </c>
      <c r="AZ97" s="108"/>
      <c r="BA97" s="108"/>
      <c r="BB97" s="108"/>
      <c r="BC97" s="108"/>
      <c r="BD97" s="111"/>
      <c r="BE97" s="111"/>
      <c r="BF97" s="111"/>
      <c r="BG97" s="111"/>
      <c r="BH97" s="111"/>
      <c r="BI97" s="111"/>
      <c r="BJ97" s="111"/>
      <c r="BK97" s="111"/>
      <c r="BL97" s="111"/>
      <c r="BM97" s="117" t="e">
        <v>#N/A</v>
      </c>
      <c r="BN97" s="111"/>
      <c r="BO97" s="117"/>
      <c r="BP97" s="117"/>
      <c r="BQ97" s="117"/>
      <c r="BR97" s="111"/>
      <c r="BS97" s="118"/>
      <c r="BT97" s="111"/>
      <c r="BU97" s="118"/>
      <c r="BV97" s="111"/>
      <c r="BW97" s="111"/>
      <c r="BX97" s="111"/>
      <c r="BY97" s="111"/>
      <c r="BZ97" s="111"/>
      <c r="CA97" s="111"/>
      <c r="CB97" s="119"/>
      <c r="CC97" s="117"/>
      <c r="CD97" s="120" t="e">
        <v>#N/A</v>
      </c>
      <c r="CE97" s="120" t="e">
        <v>#N/A</v>
      </c>
      <c r="CF97" s="120" t="e">
        <v>#N/A</v>
      </c>
      <c r="CG97" s="111"/>
      <c r="CH97" s="120" t="e">
        <v>#N/A</v>
      </c>
      <c r="CI97" s="120" t="e">
        <v>#N/A</v>
      </c>
      <c r="CJ97" s="111"/>
    </row>
    <row r="98" spans="1:88" ht="57.95" hidden="1">
      <c r="A98" s="106" t="s">
        <v>316</v>
      </c>
      <c r="B98" s="107">
        <v>0</v>
      </c>
      <c r="C98" s="49" t="e">
        <v>#N/A</v>
      </c>
      <c r="D98" s="107"/>
      <c r="E98" s="108"/>
      <c r="F98" s="108"/>
      <c r="G98" s="121"/>
      <c r="H98" s="151">
        <v>13130251</v>
      </c>
      <c r="I98" s="127">
        <f>Tracker6[[#This Row],[DCR ID - PTC]]</f>
        <v>13130251</v>
      </c>
      <c r="J98" s="108" t="s">
        <v>335</v>
      </c>
      <c r="K98" s="108"/>
      <c r="L98" s="108" t="s">
        <v>330</v>
      </c>
      <c r="M98" s="108"/>
      <c r="N98" s="108"/>
      <c r="O98" s="111"/>
      <c r="P98" s="111"/>
      <c r="Q98" s="111"/>
      <c r="R98" s="111"/>
      <c r="S98" s="111"/>
      <c r="T98" s="111"/>
      <c r="U98" s="108"/>
      <c r="V98" s="108"/>
      <c r="W98" s="108"/>
      <c r="X98" s="108"/>
      <c r="Y98" s="108"/>
      <c r="Z98" s="108"/>
      <c r="AA98" s="108" t="s">
        <v>333</v>
      </c>
      <c r="AB98" s="112">
        <v>45427</v>
      </c>
      <c r="AC98" s="108" t="s">
        <v>330</v>
      </c>
      <c r="AD98" s="108" t="s">
        <v>146</v>
      </c>
      <c r="AE98" s="107"/>
      <c r="AF98" s="113"/>
      <c r="AG98" s="115">
        <v>45376.794317129628</v>
      </c>
      <c r="AH98" s="108" t="s">
        <v>100</v>
      </c>
      <c r="AI98" s="108" t="s">
        <v>95</v>
      </c>
      <c r="AJ98" s="114">
        <v>45412</v>
      </c>
      <c r="AK98" s="108" t="s">
        <v>96</v>
      </c>
      <c r="AL98" s="115">
        <v>45330.739189814813</v>
      </c>
      <c r="AM98" s="116"/>
      <c r="AN98" s="116"/>
      <c r="AO98" s="116" t="e">
        <v>#N/A</v>
      </c>
      <c r="AP98" s="108"/>
      <c r="AQ98" s="107"/>
      <c r="AR98" s="107"/>
      <c r="AS98" s="116"/>
      <c r="AT98" s="114"/>
      <c r="AU98" s="114"/>
      <c r="AV98" s="108"/>
      <c r="AW98" s="108"/>
      <c r="AX98" s="108" t="s">
        <v>97</v>
      </c>
      <c r="AY98" s="108" t="s">
        <v>98</v>
      </c>
      <c r="AZ98" s="108"/>
      <c r="BA98" s="108"/>
      <c r="BB98" s="108"/>
      <c r="BC98" s="108"/>
      <c r="BD98" s="111"/>
      <c r="BE98" s="111"/>
      <c r="BF98" s="111"/>
      <c r="BG98" s="111"/>
      <c r="BH98" s="111"/>
      <c r="BI98" s="111"/>
      <c r="BJ98" s="111"/>
      <c r="BK98" s="111"/>
      <c r="BL98" s="111"/>
      <c r="BM98" s="117" t="e">
        <v>#N/A</v>
      </c>
      <c r="BN98" s="111"/>
      <c r="BO98" s="117"/>
      <c r="BP98" s="117"/>
      <c r="BQ98" s="117"/>
      <c r="BR98" s="111"/>
      <c r="BS98" s="118"/>
      <c r="BT98" s="111"/>
      <c r="BU98" s="118"/>
      <c r="BV98" s="111"/>
      <c r="BW98" s="111"/>
      <c r="BX98" s="111"/>
      <c r="BY98" s="111"/>
      <c r="BZ98" s="111"/>
      <c r="CA98" s="111"/>
      <c r="CB98" s="119"/>
      <c r="CC98" s="117"/>
      <c r="CD98" s="120" t="e">
        <v>#N/A</v>
      </c>
      <c r="CE98" s="120" t="e">
        <v>#N/A</v>
      </c>
      <c r="CF98" s="120" t="e">
        <v>#N/A</v>
      </c>
      <c r="CG98" s="111"/>
      <c r="CH98" s="120" t="e">
        <v>#N/A</v>
      </c>
      <c r="CI98" s="120" t="e">
        <v>#N/A</v>
      </c>
      <c r="CJ98" s="111"/>
    </row>
    <row r="99" spans="1:88" ht="101.45" hidden="1">
      <c r="A99" s="106" t="s">
        <v>316</v>
      </c>
      <c r="B99" s="107">
        <v>0</v>
      </c>
      <c r="C99" s="49" t="e">
        <v>#N/A</v>
      </c>
      <c r="D99" s="107">
        <v>0</v>
      </c>
      <c r="E99" s="108"/>
      <c r="F99" s="108"/>
      <c r="G99" s="121"/>
      <c r="H99" s="151">
        <v>13153843</v>
      </c>
      <c r="I99" s="127">
        <f>Tracker6[[#This Row],[DCR ID - PTC]]</f>
        <v>13153843</v>
      </c>
      <c r="J99" s="108" t="s">
        <v>336</v>
      </c>
      <c r="K99" s="108"/>
      <c r="L99" s="108" t="s">
        <v>337</v>
      </c>
      <c r="M99" s="108"/>
      <c r="N99" s="108"/>
      <c r="O99" s="111"/>
      <c r="P99" s="111"/>
      <c r="Q99" s="111"/>
      <c r="R99" s="111"/>
      <c r="S99" s="111"/>
      <c r="T99" s="111"/>
      <c r="U99" s="108"/>
      <c r="V99" s="108"/>
      <c r="W99" s="108"/>
      <c r="X99" s="108"/>
      <c r="Y99" s="108"/>
      <c r="Z99" s="108"/>
      <c r="AA99" s="108" t="s">
        <v>338</v>
      </c>
      <c r="AB99" s="112"/>
      <c r="AC99" s="108" t="s">
        <v>337</v>
      </c>
      <c r="AD99" s="108" t="s">
        <v>116</v>
      </c>
      <c r="AE99" s="107"/>
      <c r="AF99" s="113"/>
      <c r="AG99" s="115"/>
      <c r="AH99" s="108" t="s">
        <v>109</v>
      </c>
      <c r="AI99" s="108" t="s">
        <v>95</v>
      </c>
      <c r="AJ99" s="114">
        <v>44195.895833333336</v>
      </c>
      <c r="AK99" s="108" t="s">
        <v>96</v>
      </c>
      <c r="AL99" s="115">
        <v>45336.827986111108</v>
      </c>
      <c r="AM99" s="116"/>
      <c r="AN99" s="116"/>
      <c r="AO99" s="116" t="e">
        <v>#N/A</v>
      </c>
      <c r="AP99" s="108"/>
      <c r="AQ99" s="107"/>
      <c r="AR99" s="107"/>
      <c r="AS99" s="116"/>
      <c r="AT99" s="114"/>
      <c r="AU99" s="114"/>
      <c r="AV99" s="108"/>
      <c r="AW99" s="108"/>
      <c r="AX99" s="108" t="s">
        <v>97</v>
      </c>
      <c r="AY99" s="108" t="s">
        <v>98</v>
      </c>
      <c r="AZ99" s="108"/>
      <c r="BA99" s="108"/>
      <c r="BB99" s="108"/>
      <c r="BC99" s="108"/>
      <c r="BD99" s="111"/>
      <c r="BE99" s="111"/>
      <c r="BF99" s="111"/>
      <c r="BG99" s="111"/>
      <c r="BH99" s="111"/>
      <c r="BI99" s="111"/>
      <c r="BJ99" s="111"/>
      <c r="BK99" s="111"/>
      <c r="BL99" s="111"/>
      <c r="BM99" s="117" t="e">
        <v>#N/A</v>
      </c>
      <c r="BN99" s="111"/>
      <c r="BO99" s="117"/>
      <c r="BP99" s="117"/>
      <c r="BQ99" s="117"/>
      <c r="BR99" s="111"/>
      <c r="BS99" s="118"/>
      <c r="BT99" s="111"/>
      <c r="BU99" s="118"/>
      <c r="BV99" s="111"/>
      <c r="BW99" s="111"/>
      <c r="BX99" s="111"/>
      <c r="BY99" s="111"/>
      <c r="BZ99" s="111"/>
      <c r="CA99" s="111"/>
      <c r="CB99" s="119"/>
      <c r="CC99" s="117"/>
      <c r="CD99" s="120" t="e">
        <v>#N/A</v>
      </c>
      <c r="CE99" s="120" t="e">
        <v>#N/A</v>
      </c>
      <c r="CF99" s="120" t="e">
        <v>#N/A</v>
      </c>
      <c r="CG99" s="111"/>
      <c r="CH99" s="120" t="e">
        <v>#N/A</v>
      </c>
      <c r="CI99" s="120" t="e">
        <v>#N/A</v>
      </c>
      <c r="CJ99" s="111"/>
    </row>
    <row r="100" spans="1:88" ht="57.95" hidden="1">
      <c r="A100" s="106" t="s">
        <v>316</v>
      </c>
      <c r="B100" s="107">
        <v>0</v>
      </c>
      <c r="C100" s="49" t="e">
        <v>#N/A</v>
      </c>
      <c r="D100" s="107"/>
      <c r="E100" s="108"/>
      <c r="F100" s="108"/>
      <c r="G100" s="121"/>
      <c r="H100" s="151">
        <v>13325900</v>
      </c>
      <c r="I100" s="127">
        <f>Tracker6[[#This Row],[DCR ID - PTC]]</f>
        <v>13325900</v>
      </c>
      <c r="J100" s="108" t="s">
        <v>339</v>
      </c>
      <c r="K100" s="108"/>
      <c r="L100" s="108"/>
      <c r="M100" s="108"/>
      <c r="N100" s="108"/>
      <c r="O100" s="111"/>
      <c r="P100" s="111"/>
      <c r="Q100" s="111"/>
      <c r="R100" s="111"/>
      <c r="S100" s="111"/>
      <c r="T100" s="111"/>
      <c r="U100" s="108"/>
      <c r="V100" s="108"/>
      <c r="W100" s="108"/>
      <c r="X100" s="108"/>
      <c r="Y100" s="108"/>
      <c r="Z100" s="108"/>
      <c r="AA100" s="108"/>
      <c r="AB100" s="112">
        <v>45596</v>
      </c>
      <c r="AC100" s="108"/>
      <c r="AD100" s="108" t="s">
        <v>116</v>
      </c>
      <c r="AE100" s="107"/>
      <c r="AF100" s="113"/>
      <c r="AG100" s="115">
        <v>45411.943831018521</v>
      </c>
      <c r="AH100" s="108" t="s">
        <v>319</v>
      </c>
      <c r="AI100" s="108" t="s">
        <v>95</v>
      </c>
      <c r="AJ100" s="114">
        <v>45565</v>
      </c>
      <c r="AK100" s="108" t="s">
        <v>96</v>
      </c>
      <c r="AL100" s="115">
        <v>45366.62804398148</v>
      </c>
      <c r="AM100" s="116"/>
      <c r="AN100" s="116"/>
      <c r="AO100" s="116" t="e">
        <v>#N/A</v>
      </c>
      <c r="AP100" s="108"/>
      <c r="AQ100" s="107"/>
      <c r="AR100" s="107"/>
      <c r="AS100" s="116"/>
      <c r="AT100" s="114"/>
      <c r="AU100" s="114"/>
      <c r="AV100" s="108"/>
      <c r="AW100" s="108"/>
      <c r="AX100" s="108" t="s">
        <v>97</v>
      </c>
      <c r="AY100" s="108" t="s">
        <v>98</v>
      </c>
      <c r="AZ100" s="108"/>
      <c r="BA100" s="108"/>
      <c r="BB100" s="108"/>
      <c r="BC100" s="108"/>
      <c r="BD100" s="111"/>
      <c r="BE100" s="111"/>
      <c r="BF100" s="111"/>
      <c r="BG100" s="111"/>
      <c r="BH100" s="111"/>
      <c r="BI100" s="111"/>
      <c r="BJ100" s="111"/>
      <c r="BK100" s="111"/>
      <c r="BL100" s="111"/>
      <c r="BM100" s="117" t="e">
        <v>#N/A</v>
      </c>
      <c r="BN100" s="111"/>
      <c r="BO100" s="117"/>
      <c r="BP100" s="117"/>
      <c r="BQ100" s="117"/>
      <c r="BR100" s="111"/>
      <c r="BS100" s="118"/>
      <c r="BT100" s="111"/>
      <c r="BU100" s="118"/>
      <c r="BV100" s="111"/>
      <c r="BW100" s="111"/>
      <c r="BX100" s="111"/>
      <c r="BY100" s="111"/>
      <c r="BZ100" s="111"/>
      <c r="CA100" s="111"/>
      <c r="CB100" s="119"/>
      <c r="CC100" s="117"/>
      <c r="CD100" s="120" t="e">
        <v>#N/A</v>
      </c>
      <c r="CE100" s="120" t="e">
        <v>#N/A</v>
      </c>
      <c r="CF100" s="120" t="e">
        <v>#N/A</v>
      </c>
      <c r="CG100" s="111"/>
      <c r="CH100" s="120" t="e">
        <v>#N/A</v>
      </c>
      <c r="CI100" s="120" t="e">
        <v>#N/A</v>
      </c>
      <c r="CJ100" s="111"/>
    </row>
    <row r="101" spans="1:88" ht="57.95" hidden="1">
      <c r="A101" s="106" t="s">
        <v>316</v>
      </c>
      <c r="B101" s="107">
        <v>0</v>
      </c>
      <c r="C101" s="49" t="e">
        <v>#N/A</v>
      </c>
      <c r="D101" s="107"/>
      <c r="E101" s="108"/>
      <c r="F101" s="108"/>
      <c r="G101" s="121"/>
      <c r="H101" s="151">
        <v>13753031</v>
      </c>
      <c r="I101" s="127">
        <f>Tracker6[[#This Row],[DCR ID - PTC]]</f>
        <v>13753031</v>
      </c>
      <c r="J101" s="108" t="s">
        <v>340</v>
      </c>
      <c r="K101" s="108" t="s">
        <v>179</v>
      </c>
      <c r="L101" s="108"/>
      <c r="M101" s="108"/>
      <c r="N101" s="108"/>
      <c r="O101" s="111"/>
      <c r="P101" s="111"/>
      <c r="Q101" s="111"/>
      <c r="R101" s="111"/>
      <c r="S101" s="111"/>
      <c r="T101" s="111"/>
      <c r="U101" s="108"/>
      <c r="V101" s="108"/>
      <c r="W101" s="108"/>
      <c r="X101" s="108"/>
      <c r="Y101" s="108"/>
      <c r="Z101" s="108"/>
      <c r="AA101" s="108"/>
      <c r="AB101" s="112"/>
      <c r="AC101" s="108"/>
      <c r="AD101" s="108" t="s">
        <v>93</v>
      </c>
      <c r="AE101" s="107"/>
      <c r="AF101" s="113"/>
      <c r="AG101" s="115"/>
      <c r="AH101" s="108" t="s">
        <v>109</v>
      </c>
      <c r="AI101" s="108" t="s">
        <v>95</v>
      </c>
      <c r="AJ101" s="114">
        <v>45473</v>
      </c>
      <c r="AK101" s="108" t="s">
        <v>96</v>
      </c>
      <c r="AL101" s="115">
        <v>45440.955358796295</v>
      </c>
      <c r="AM101" s="116"/>
      <c r="AN101" s="116"/>
      <c r="AO101" s="116" t="e">
        <v>#N/A</v>
      </c>
      <c r="AP101" s="108"/>
      <c r="AQ101" s="107"/>
      <c r="AR101" s="107"/>
      <c r="AS101" s="116"/>
      <c r="AT101" s="114"/>
      <c r="AU101" s="114"/>
      <c r="AV101" s="108"/>
      <c r="AW101" s="108"/>
      <c r="AX101" s="108" t="s">
        <v>97</v>
      </c>
      <c r="AY101" s="108" t="s">
        <v>98</v>
      </c>
      <c r="AZ101" s="108"/>
      <c r="BA101" s="108"/>
      <c r="BB101" s="108"/>
      <c r="BC101" s="108"/>
      <c r="BD101" s="111"/>
      <c r="BE101" s="111"/>
      <c r="BF101" s="111"/>
      <c r="BG101" s="111"/>
      <c r="BH101" s="111"/>
      <c r="BI101" s="111"/>
      <c r="BJ101" s="111"/>
      <c r="BK101" s="111"/>
      <c r="BL101" s="111"/>
      <c r="BM101" s="117" t="e">
        <v>#N/A</v>
      </c>
      <c r="BN101" s="111"/>
      <c r="BO101" s="117"/>
      <c r="BP101" s="117"/>
      <c r="BQ101" s="117"/>
      <c r="BR101" s="111"/>
      <c r="BS101" s="118"/>
      <c r="BT101" s="111"/>
      <c r="BU101" s="118"/>
      <c r="BV101" s="111"/>
      <c r="BW101" s="111"/>
      <c r="BX101" s="111"/>
      <c r="BY101" s="111"/>
      <c r="BZ101" s="111"/>
      <c r="CA101" s="111"/>
      <c r="CB101" s="119"/>
      <c r="CC101" s="117"/>
      <c r="CD101" s="120" t="e">
        <v>#N/A</v>
      </c>
      <c r="CE101" s="120" t="e">
        <v>#N/A</v>
      </c>
      <c r="CF101" s="120" t="e">
        <v>#N/A</v>
      </c>
      <c r="CG101" s="111"/>
      <c r="CH101" s="120" t="e">
        <v>#N/A</v>
      </c>
      <c r="CI101" s="120" t="e">
        <v>#N/A</v>
      </c>
      <c r="CJ101" s="111"/>
    </row>
    <row r="102" spans="1:88" ht="57.95" hidden="1">
      <c r="A102" s="106" t="s">
        <v>316</v>
      </c>
      <c r="B102" s="107">
        <v>0</v>
      </c>
      <c r="C102" s="49" t="e">
        <v>#N/A</v>
      </c>
      <c r="D102" s="107">
        <v>0</v>
      </c>
      <c r="E102" s="108"/>
      <c r="F102" s="108"/>
      <c r="G102" s="121"/>
      <c r="H102" s="151">
        <v>13779219</v>
      </c>
      <c r="I102" s="127">
        <f>Tracker6[[#This Row],[DCR ID - PTC]]</f>
        <v>13779219</v>
      </c>
      <c r="J102" s="108" t="s">
        <v>341</v>
      </c>
      <c r="K102" s="108"/>
      <c r="L102" s="108"/>
      <c r="M102" s="108"/>
      <c r="N102" s="108"/>
      <c r="O102" s="111"/>
      <c r="P102" s="111"/>
      <c r="Q102" s="111"/>
      <c r="R102" s="111"/>
      <c r="S102" s="111"/>
      <c r="T102" s="111"/>
      <c r="U102" s="108"/>
      <c r="V102" s="108"/>
      <c r="W102" s="108"/>
      <c r="X102" s="108"/>
      <c r="Y102" s="108"/>
      <c r="Z102" s="108"/>
      <c r="AA102" s="108"/>
      <c r="AB102" s="112"/>
      <c r="AC102" s="108"/>
      <c r="AD102" s="108" t="s">
        <v>93</v>
      </c>
      <c r="AE102" s="107"/>
      <c r="AF102" s="113"/>
      <c r="AG102" s="115"/>
      <c r="AH102" s="108" t="s">
        <v>109</v>
      </c>
      <c r="AI102" s="108" t="s">
        <v>95</v>
      </c>
      <c r="AJ102" s="114">
        <v>45535.395833333336</v>
      </c>
      <c r="AK102" s="108" t="s">
        <v>96</v>
      </c>
      <c r="AL102" s="115">
        <v>45442.622835648152</v>
      </c>
      <c r="AM102" s="116"/>
      <c r="AN102" s="116"/>
      <c r="AO102" s="116" t="e">
        <v>#N/A</v>
      </c>
      <c r="AP102" s="108"/>
      <c r="AQ102" s="107"/>
      <c r="AR102" s="107"/>
      <c r="AS102" s="116"/>
      <c r="AT102" s="114"/>
      <c r="AU102" s="114"/>
      <c r="AV102" s="108"/>
      <c r="AW102" s="108"/>
      <c r="AX102" s="108" t="s">
        <v>97</v>
      </c>
      <c r="AY102" s="108" t="s">
        <v>98</v>
      </c>
      <c r="AZ102" s="108"/>
      <c r="BA102" s="108"/>
      <c r="BB102" s="108"/>
      <c r="BC102" s="108"/>
      <c r="BD102" s="111"/>
      <c r="BE102" s="111"/>
      <c r="BF102" s="111"/>
      <c r="BG102" s="111"/>
      <c r="BH102" s="111"/>
      <c r="BI102" s="111"/>
      <c r="BJ102" s="111"/>
      <c r="BK102" s="111"/>
      <c r="BL102" s="111"/>
      <c r="BM102" s="117" t="e">
        <v>#N/A</v>
      </c>
      <c r="BN102" s="111"/>
      <c r="BO102" s="117"/>
      <c r="BP102" s="117"/>
      <c r="BQ102" s="117"/>
      <c r="BR102" s="111"/>
      <c r="BS102" s="118"/>
      <c r="BT102" s="111"/>
      <c r="BU102" s="118"/>
      <c r="BV102" s="111"/>
      <c r="BW102" s="111"/>
      <c r="BX102" s="111"/>
      <c r="BY102" s="111"/>
      <c r="BZ102" s="111"/>
      <c r="CA102" s="111"/>
      <c r="CB102" s="119"/>
      <c r="CC102" s="117"/>
      <c r="CD102" s="120" t="e">
        <v>#N/A</v>
      </c>
      <c r="CE102" s="120" t="e">
        <v>#N/A</v>
      </c>
      <c r="CF102" s="120" t="e">
        <v>#N/A</v>
      </c>
      <c r="CG102" s="111"/>
      <c r="CH102" s="120" t="e">
        <v>#N/A</v>
      </c>
      <c r="CI102" s="120" t="e">
        <v>#N/A</v>
      </c>
      <c r="CJ102" s="111"/>
    </row>
    <row r="103" spans="1:88" ht="72.599999999999994" hidden="1">
      <c r="A103" s="106" t="s">
        <v>316</v>
      </c>
      <c r="B103" s="107">
        <v>0</v>
      </c>
      <c r="C103" s="49" t="e">
        <v>#N/A</v>
      </c>
      <c r="D103" s="107">
        <v>0</v>
      </c>
      <c r="E103" s="108"/>
      <c r="F103" s="108"/>
      <c r="G103" s="121"/>
      <c r="H103" s="151">
        <v>14114589</v>
      </c>
      <c r="I103" s="127">
        <f>Tracker6[[#This Row],[DCR ID - PTC]]</f>
        <v>14114589</v>
      </c>
      <c r="J103" s="108" t="s">
        <v>342</v>
      </c>
      <c r="K103" s="108"/>
      <c r="L103" s="108"/>
      <c r="M103" s="108"/>
      <c r="N103" s="108"/>
      <c r="O103" s="111"/>
      <c r="P103" s="111"/>
      <c r="Q103" s="111"/>
      <c r="R103" s="111"/>
      <c r="S103" s="111"/>
      <c r="T103" s="111"/>
      <c r="U103" s="108"/>
      <c r="V103" s="108"/>
      <c r="W103" s="108"/>
      <c r="X103" s="108"/>
      <c r="Y103" s="108"/>
      <c r="Z103" s="108"/>
      <c r="AA103" s="108"/>
      <c r="AB103" s="112"/>
      <c r="AC103" s="108"/>
      <c r="AD103" s="108" t="s">
        <v>116</v>
      </c>
      <c r="AE103" s="107"/>
      <c r="AF103" s="113"/>
      <c r="AG103" s="115"/>
      <c r="AH103" s="108" t="s">
        <v>109</v>
      </c>
      <c r="AI103" s="108" t="s">
        <v>95</v>
      </c>
      <c r="AJ103" s="114">
        <v>45470.395833333336</v>
      </c>
      <c r="AK103" s="108" t="s">
        <v>96</v>
      </c>
      <c r="AL103" s="115">
        <v>45463.813194444447</v>
      </c>
      <c r="AM103" s="116"/>
      <c r="AN103" s="116"/>
      <c r="AO103" s="116" t="e">
        <v>#N/A</v>
      </c>
      <c r="AP103" s="108"/>
      <c r="AQ103" s="107"/>
      <c r="AR103" s="107"/>
      <c r="AS103" s="116"/>
      <c r="AT103" s="114"/>
      <c r="AU103" s="114"/>
      <c r="AV103" s="108"/>
      <c r="AW103" s="108"/>
      <c r="AX103" s="108" t="s">
        <v>97</v>
      </c>
      <c r="AY103" s="108" t="s">
        <v>98</v>
      </c>
      <c r="AZ103" s="108"/>
      <c r="BA103" s="108"/>
      <c r="BB103" s="108"/>
      <c r="BC103" s="108"/>
      <c r="BD103" s="111"/>
      <c r="BE103" s="111"/>
      <c r="BF103" s="111"/>
      <c r="BG103" s="111"/>
      <c r="BH103" s="111"/>
      <c r="BI103" s="111"/>
      <c r="BJ103" s="111"/>
      <c r="BK103" s="111"/>
      <c r="BL103" s="111"/>
      <c r="BM103" s="117" t="e">
        <v>#N/A</v>
      </c>
      <c r="BN103" s="111"/>
      <c r="BO103" s="117"/>
      <c r="BP103" s="117"/>
      <c r="BQ103" s="117"/>
      <c r="BR103" s="111"/>
      <c r="BS103" s="118"/>
      <c r="BT103" s="111"/>
      <c r="BU103" s="118"/>
      <c r="BV103" s="111"/>
      <c r="BW103" s="111"/>
      <c r="BX103" s="111"/>
      <c r="BY103" s="111"/>
      <c r="BZ103" s="111"/>
      <c r="CA103" s="111"/>
      <c r="CB103" s="119"/>
      <c r="CC103" s="117"/>
      <c r="CD103" s="120" t="e">
        <v>#N/A</v>
      </c>
      <c r="CE103" s="120" t="e">
        <v>#N/A</v>
      </c>
      <c r="CF103" s="120" t="e">
        <v>#N/A</v>
      </c>
      <c r="CG103" s="111"/>
      <c r="CH103" s="120" t="e">
        <v>#N/A</v>
      </c>
      <c r="CI103" s="120" t="e">
        <v>#N/A</v>
      </c>
      <c r="CJ103" s="111"/>
    </row>
    <row r="104" spans="1:88" ht="72.599999999999994" hidden="1">
      <c r="A104" s="106" t="s">
        <v>316</v>
      </c>
      <c r="B104" s="107">
        <v>0</v>
      </c>
      <c r="C104" s="49" t="e">
        <v>#N/A</v>
      </c>
      <c r="D104" s="107">
        <v>0</v>
      </c>
      <c r="E104" s="108"/>
      <c r="F104" s="108"/>
      <c r="G104" s="121"/>
      <c r="H104" s="151">
        <v>14114621</v>
      </c>
      <c r="I104" s="127">
        <f>Tracker6[[#This Row],[DCR ID - PTC]]</f>
        <v>14114621</v>
      </c>
      <c r="J104" s="108" t="s">
        <v>343</v>
      </c>
      <c r="K104" s="108"/>
      <c r="L104" s="108"/>
      <c r="M104" s="108"/>
      <c r="N104" s="108"/>
      <c r="O104" s="111"/>
      <c r="P104" s="111"/>
      <c r="Q104" s="111"/>
      <c r="R104" s="111"/>
      <c r="S104" s="111"/>
      <c r="T104" s="111"/>
      <c r="U104" s="108"/>
      <c r="V104" s="108"/>
      <c r="W104" s="108"/>
      <c r="X104" s="108"/>
      <c r="Y104" s="108"/>
      <c r="Z104" s="108"/>
      <c r="AA104" s="108" t="s">
        <v>344</v>
      </c>
      <c r="AB104" s="112"/>
      <c r="AC104" s="108"/>
      <c r="AD104" s="108" t="s">
        <v>116</v>
      </c>
      <c r="AE104" s="107"/>
      <c r="AF104" s="113"/>
      <c r="AG104" s="115"/>
      <c r="AH104" s="108" t="s">
        <v>109</v>
      </c>
      <c r="AI104" s="108" t="s">
        <v>95</v>
      </c>
      <c r="AJ104" s="114">
        <v>45470.395833333336</v>
      </c>
      <c r="AK104" s="108" t="s">
        <v>96</v>
      </c>
      <c r="AL104" s="115">
        <v>45463.821666666663</v>
      </c>
      <c r="AM104" s="116"/>
      <c r="AN104" s="116"/>
      <c r="AO104" s="116" t="e">
        <v>#N/A</v>
      </c>
      <c r="AP104" s="108"/>
      <c r="AQ104" s="107"/>
      <c r="AR104" s="107"/>
      <c r="AS104" s="116"/>
      <c r="AT104" s="114"/>
      <c r="AU104" s="114"/>
      <c r="AV104" s="108"/>
      <c r="AW104" s="108"/>
      <c r="AX104" s="108" t="s">
        <v>97</v>
      </c>
      <c r="AY104" s="108" t="s">
        <v>98</v>
      </c>
      <c r="AZ104" s="108"/>
      <c r="BA104" s="108"/>
      <c r="BB104" s="108"/>
      <c r="BC104" s="108"/>
      <c r="BD104" s="111"/>
      <c r="BE104" s="111"/>
      <c r="BF104" s="111"/>
      <c r="BG104" s="111"/>
      <c r="BH104" s="111"/>
      <c r="BI104" s="111"/>
      <c r="BJ104" s="111"/>
      <c r="BK104" s="111"/>
      <c r="BL104" s="111"/>
      <c r="BM104" s="117" t="e">
        <v>#N/A</v>
      </c>
      <c r="BN104" s="111"/>
      <c r="BO104" s="117"/>
      <c r="BP104" s="117"/>
      <c r="BQ104" s="117"/>
      <c r="BR104" s="111"/>
      <c r="BS104" s="118"/>
      <c r="BT104" s="111"/>
      <c r="BU104" s="118"/>
      <c r="BV104" s="111"/>
      <c r="BW104" s="111"/>
      <c r="BX104" s="111"/>
      <c r="BY104" s="111"/>
      <c r="BZ104" s="111"/>
      <c r="CA104" s="111"/>
      <c r="CB104" s="119"/>
      <c r="CC104" s="117"/>
      <c r="CD104" s="120" t="e">
        <v>#N/A</v>
      </c>
      <c r="CE104" s="120" t="e">
        <v>#N/A</v>
      </c>
      <c r="CF104" s="120" t="e">
        <v>#N/A</v>
      </c>
      <c r="CG104" s="111"/>
      <c r="CH104" s="120" t="e">
        <v>#N/A</v>
      </c>
      <c r="CI104" s="120" t="e">
        <v>#N/A</v>
      </c>
      <c r="CJ104" s="111"/>
    </row>
    <row r="105" spans="1:88" ht="72.599999999999994" hidden="1">
      <c r="A105" s="106" t="s">
        <v>316</v>
      </c>
      <c r="B105" s="107">
        <v>0</v>
      </c>
      <c r="C105" s="49" t="e">
        <v>#N/A</v>
      </c>
      <c r="D105" s="107">
        <v>0</v>
      </c>
      <c r="E105" s="108"/>
      <c r="F105" s="108"/>
      <c r="G105" s="121"/>
      <c r="H105" s="151">
        <v>14744133</v>
      </c>
      <c r="I105" s="127">
        <f>Tracker6[[#This Row],[DCR ID - PTC]]</f>
        <v>14744133</v>
      </c>
      <c r="J105" s="108" t="s">
        <v>345</v>
      </c>
      <c r="K105" s="108"/>
      <c r="L105" s="108"/>
      <c r="M105" s="108"/>
      <c r="N105" s="108"/>
      <c r="O105" s="111"/>
      <c r="P105" s="111"/>
      <c r="Q105" s="111"/>
      <c r="R105" s="111"/>
      <c r="S105" s="111"/>
      <c r="T105" s="111"/>
      <c r="U105" s="108"/>
      <c r="V105" s="108"/>
      <c r="W105" s="108"/>
      <c r="X105" s="108"/>
      <c r="Y105" s="108"/>
      <c r="Z105" s="108"/>
      <c r="AA105" s="108" t="s">
        <v>344</v>
      </c>
      <c r="AB105" s="112"/>
      <c r="AC105" s="108"/>
      <c r="AD105" s="108" t="s">
        <v>93</v>
      </c>
      <c r="AE105" s="107"/>
      <c r="AF105" s="113"/>
      <c r="AG105" s="115"/>
      <c r="AH105" s="108" t="s">
        <v>109</v>
      </c>
      <c r="AI105" s="108" t="s">
        <v>95</v>
      </c>
      <c r="AJ105" s="114">
        <v>45415.1875</v>
      </c>
      <c r="AK105" s="108" t="s">
        <v>96</v>
      </c>
      <c r="AL105" s="115">
        <v>45545.515219907407</v>
      </c>
      <c r="AM105" s="116"/>
      <c r="AN105" s="116"/>
      <c r="AO105" s="116" t="e">
        <v>#N/A</v>
      </c>
      <c r="AP105" s="108"/>
      <c r="AQ105" s="107"/>
      <c r="AR105" s="107"/>
      <c r="AS105" s="116"/>
      <c r="AT105" s="114"/>
      <c r="AU105" s="114"/>
      <c r="AV105" s="108"/>
      <c r="AW105" s="108"/>
      <c r="AX105" s="108" t="s">
        <v>97</v>
      </c>
      <c r="AY105" s="108" t="s">
        <v>98</v>
      </c>
      <c r="AZ105" s="108"/>
      <c r="BA105" s="108"/>
      <c r="BB105" s="108"/>
      <c r="BC105" s="108"/>
      <c r="BD105" s="111"/>
      <c r="BE105" s="111"/>
      <c r="BF105" s="111"/>
      <c r="BG105" s="111"/>
      <c r="BH105" s="111"/>
      <c r="BI105" s="111"/>
      <c r="BJ105" s="111"/>
      <c r="BK105" s="111"/>
      <c r="BL105" s="111"/>
      <c r="BM105" s="117" t="e">
        <v>#N/A</v>
      </c>
      <c r="BN105" s="111"/>
      <c r="BO105" s="117"/>
      <c r="BP105" s="117"/>
      <c r="BQ105" s="117"/>
      <c r="BR105" s="111"/>
      <c r="BS105" s="118"/>
      <c r="BT105" s="111"/>
      <c r="BU105" s="118"/>
      <c r="BV105" s="111"/>
      <c r="BW105" s="111"/>
      <c r="BX105" s="111"/>
      <c r="BY105" s="111"/>
      <c r="BZ105" s="111"/>
      <c r="CA105" s="111"/>
      <c r="CB105" s="119"/>
      <c r="CC105" s="117"/>
      <c r="CD105" s="120" t="e">
        <v>#N/A</v>
      </c>
      <c r="CE105" s="120" t="e">
        <v>#N/A</v>
      </c>
      <c r="CF105" s="120" t="e">
        <v>#N/A</v>
      </c>
      <c r="CG105" s="111"/>
      <c r="CH105" s="120" t="e">
        <v>#N/A</v>
      </c>
      <c r="CI105" s="120" t="e">
        <v>#N/A</v>
      </c>
      <c r="CJ105" s="111"/>
    </row>
    <row r="106" spans="1:88" ht="57.95" hidden="1">
      <c r="A106" s="106" t="s">
        <v>316</v>
      </c>
      <c r="B106" s="107">
        <v>0</v>
      </c>
      <c r="C106" s="49" t="e">
        <v>#N/A</v>
      </c>
      <c r="D106" s="107">
        <v>0</v>
      </c>
      <c r="E106" s="108"/>
      <c r="F106" s="108"/>
      <c r="G106" s="121"/>
      <c r="H106" s="151">
        <v>14847366</v>
      </c>
      <c r="I106" s="127">
        <f>Tracker6[[#This Row],[DCR ID - PTC]]</f>
        <v>14847366</v>
      </c>
      <c r="J106" s="108" t="s">
        <v>346</v>
      </c>
      <c r="K106" s="108"/>
      <c r="L106" s="108"/>
      <c r="M106" s="108"/>
      <c r="N106" s="108"/>
      <c r="O106" s="111"/>
      <c r="P106" s="111"/>
      <c r="Q106" s="111"/>
      <c r="R106" s="111"/>
      <c r="S106" s="111"/>
      <c r="T106" s="111"/>
      <c r="U106" s="108"/>
      <c r="V106" s="108"/>
      <c r="W106" s="108"/>
      <c r="X106" s="108"/>
      <c r="Y106" s="108"/>
      <c r="Z106" s="108"/>
      <c r="AA106" s="108"/>
      <c r="AB106" s="112"/>
      <c r="AC106" s="108"/>
      <c r="AD106" s="108" t="s">
        <v>116</v>
      </c>
      <c r="AE106" s="107"/>
      <c r="AF106" s="113"/>
      <c r="AG106" s="115"/>
      <c r="AH106" s="108" t="s">
        <v>117</v>
      </c>
      <c r="AI106" s="108" t="s">
        <v>95</v>
      </c>
      <c r="AJ106" s="114">
        <v>45596</v>
      </c>
      <c r="AK106" s="108" t="s">
        <v>96</v>
      </c>
      <c r="AL106" s="115">
        <v>45555.75072916667</v>
      </c>
      <c r="AM106" s="116"/>
      <c r="AN106" s="116"/>
      <c r="AO106" s="116" t="e">
        <v>#N/A</v>
      </c>
      <c r="AP106" s="108"/>
      <c r="AQ106" s="107"/>
      <c r="AR106" s="107"/>
      <c r="AS106" s="116"/>
      <c r="AT106" s="114"/>
      <c r="AU106" s="114"/>
      <c r="AV106" s="108"/>
      <c r="AW106" s="108"/>
      <c r="AX106" s="108" t="s">
        <v>97</v>
      </c>
      <c r="AY106" s="108" t="s">
        <v>98</v>
      </c>
      <c r="AZ106" s="108"/>
      <c r="BA106" s="108"/>
      <c r="BB106" s="108"/>
      <c r="BC106" s="108"/>
      <c r="BD106" s="111"/>
      <c r="BE106" s="111"/>
      <c r="BF106" s="111"/>
      <c r="BG106" s="111"/>
      <c r="BH106" s="111"/>
      <c r="BI106" s="111"/>
      <c r="BJ106" s="111"/>
      <c r="BK106" s="111"/>
      <c r="BL106" s="111"/>
      <c r="BM106" s="117" t="e">
        <v>#N/A</v>
      </c>
      <c r="BN106" s="111"/>
      <c r="BO106" s="117"/>
      <c r="BP106" s="117"/>
      <c r="BQ106" s="117"/>
      <c r="BR106" s="111"/>
      <c r="BS106" s="118"/>
      <c r="BT106" s="111"/>
      <c r="BU106" s="118"/>
      <c r="BV106" s="111"/>
      <c r="BW106" s="111"/>
      <c r="BX106" s="111"/>
      <c r="BY106" s="111"/>
      <c r="BZ106" s="111"/>
      <c r="CA106" s="111"/>
      <c r="CB106" s="119"/>
      <c r="CC106" s="117"/>
      <c r="CD106" s="120" t="e">
        <v>#N/A</v>
      </c>
      <c r="CE106" s="120" t="e">
        <v>#N/A</v>
      </c>
      <c r="CF106" s="120" t="e">
        <v>#N/A</v>
      </c>
      <c r="CG106" s="111"/>
      <c r="CH106" s="120" t="e">
        <v>#N/A</v>
      </c>
      <c r="CI106" s="120" t="e">
        <v>#N/A</v>
      </c>
      <c r="CJ106" s="111"/>
    </row>
    <row r="107" spans="1:88" ht="57.95" hidden="1">
      <c r="A107" s="106" t="s">
        <v>316</v>
      </c>
      <c r="B107" s="107">
        <v>0</v>
      </c>
      <c r="C107" s="49" t="e">
        <v>#N/A</v>
      </c>
      <c r="D107" s="107">
        <v>0</v>
      </c>
      <c r="E107" s="108"/>
      <c r="F107" s="108"/>
      <c r="G107" s="121"/>
      <c r="H107" s="151">
        <v>14931436</v>
      </c>
      <c r="I107" s="127">
        <f>Tracker6[[#This Row],[DCR ID - PTC]]</f>
        <v>14931436</v>
      </c>
      <c r="J107" s="108" t="s">
        <v>347</v>
      </c>
      <c r="K107" s="108"/>
      <c r="L107" s="108"/>
      <c r="M107" s="108"/>
      <c r="N107" s="108"/>
      <c r="O107" s="111"/>
      <c r="P107" s="111"/>
      <c r="Q107" s="111"/>
      <c r="R107" s="111"/>
      <c r="S107" s="111"/>
      <c r="T107" s="111"/>
      <c r="U107" s="108"/>
      <c r="V107" s="108"/>
      <c r="W107" s="108"/>
      <c r="X107" s="108"/>
      <c r="Y107" s="108"/>
      <c r="Z107" s="108"/>
      <c r="AA107" s="108" t="s">
        <v>338</v>
      </c>
      <c r="AB107" s="112"/>
      <c r="AC107" s="108"/>
      <c r="AD107" s="108" t="s">
        <v>146</v>
      </c>
      <c r="AE107" s="107"/>
      <c r="AF107" s="113"/>
      <c r="AG107" s="115"/>
      <c r="AH107" s="108" t="s">
        <v>109</v>
      </c>
      <c r="AI107" s="108" t="s">
        <v>95</v>
      </c>
      <c r="AJ107" s="114">
        <v>45260.395833333336</v>
      </c>
      <c r="AK107" s="108" t="s">
        <v>96</v>
      </c>
      <c r="AL107" s="115">
        <v>45572.59983796296</v>
      </c>
      <c r="AM107" s="116"/>
      <c r="AN107" s="116"/>
      <c r="AO107" s="116" t="e">
        <v>#N/A</v>
      </c>
      <c r="AP107" s="108"/>
      <c r="AQ107" s="107"/>
      <c r="AR107" s="107"/>
      <c r="AS107" s="116"/>
      <c r="AT107" s="114"/>
      <c r="AU107" s="114"/>
      <c r="AV107" s="108"/>
      <c r="AW107" s="108"/>
      <c r="AX107" s="108" t="s">
        <v>97</v>
      </c>
      <c r="AY107" s="108" t="s">
        <v>98</v>
      </c>
      <c r="AZ107" s="108"/>
      <c r="BA107" s="108"/>
      <c r="BB107" s="108"/>
      <c r="BC107" s="108"/>
      <c r="BD107" s="111"/>
      <c r="BE107" s="111"/>
      <c r="BF107" s="111"/>
      <c r="BG107" s="111"/>
      <c r="BH107" s="111"/>
      <c r="BI107" s="111"/>
      <c r="BJ107" s="111"/>
      <c r="BK107" s="111"/>
      <c r="BL107" s="111"/>
      <c r="BM107" s="117" t="e">
        <v>#N/A</v>
      </c>
      <c r="BN107" s="111"/>
      <c r="BO107" s="117"/>
      <c r="BP107" s="117"/>
      <c r="BQ107" s="117"/>
      <c r="BR107" s="111"/>
      <c r="BS107" s="118"/>
      <c r="BT107" s="111"/>
      <c r="BU107" s="118"/>
      <c r="BV107" s="111"/>
      <c r="BW107" s="111"/>
      <c r="BX107" s="111"/>
      <c r="BY107" s="111"/>
      <c r="BZ107" s="111"/>
      <c r="CA107" s="111"/>
      <c r="CB107" s="119"/>
      <c r="CC107" s="117"/>
      <c r="CD107" s="120" t="e">
        <v>#N/A</v>
      </c>
      <c r="CE107" s="120" t="e">
        <v>#N/A</v>
      </c>
      <c r="CF107" s="120" t="e">
        <v>#N/A</v>
      </c>
      <c r="CG107" s="111"/>
      <c r="CH107" s="120" t="e">
        <v>#N/A</v>
      </c>
      <c r="CI107" s="120" t="e">
        <v>#N/A</v>
      </c>
      <c r="CJ107" s="111"/>
    </row>
    <row r="108" spans="1:88" ht="57.95" hidden="1">
      <c r="A108" s="106" t="s">
        <v>316</v>
      </c>
      <c r="B108" s="107">
        <v>0</v>
      </c>
      <c r="C108" s="49" t="e">
        <v>#N/A</v>
      </c>
      <c r="D108" s="107">
        <v>0</v>
      </c>
      <c r="E108" s="108"/>
      <c r="F108" s="108"/>
      <c r="G108" s="121"/>
      <c r="H108" s="151">
        <v>15123510</v>
      </c>
      <c r="I108" s="127">
        <f>Tracker6[[#This Row],[DCR ID - PTC]]</f>
        <v>15123510</v>
      </c>
      <c r="J108" s="108" t="s">
        <v>348</v>
      </c>
      <c r="K108" s="108"/>
      <c r="L108" s="108"/>
      <c r="M108" s="108"/>
      <c r="N108" s="108"/>
      <c r="O108" s="111"/>
      <c r="P108" s="111"/>
      <c r="Q108" s="111"/>
      <c r="R108" s="111"/>
      <c r="S108" s="111"/>
      <c r="T108" s="111"/>
      <c r="U108" s="108"/>
      <c r="V108" s="108"/>
      <c r="W108" s="108"/>
      <c r="X108" s="108"/>
      <c r="Y108" s="108"/>
      <c r="Z108" s="108"/>
      <c r="AA108" s="108" t="s">
        <v>349</v>
      </c>
      <c r="AB108" s="112"/>
      <c r="AC108" s="108"/>
      <c r="AD108" s="108" t="s">
        <v>93</v>
      </c>
      <c r="AE108" s="107"/>
      <c r="AF108" s="113"/>
      <c r="AG108" s="115"/>
      <c r="AH108" s="108" t="s">
        <v>350</v>
      </c>
      <c r="AI108" s="108" t="s">
        <v>101</v>
      </c>
      <c r="AJ108" s="114">
        <v>45688</v>
      </c>
      <c r="AK108" s="108" t="s">
        <v>96</v>
      </c>
      <c r="AL108" s="115">
        <v>45604.558738425927</v>
      </c>
      <c r="AM108" s="116"/>
      <c r="AN108" s="116"/>
      <c r="AO108" s="116" t="e">
        <v>#N/A</v>
      </c>
      <c r="AP108" s="108"/>
      <c r="AQ108" s="107"/>
      <c r="AR108" s="107"/>
      <c r="AS108" s="116"/>
      <c r="AT108" s="114"/>
      <c r="AU108" s="114"/>
      <c r="AV108" s="108"/>
      <c r="AW108" s="108"/>
      <c r="AX108" s="108" t="s">
        <v>97</v>
      </c>
      <c r="AY108" s="108" t="s">
        <v>98</v>
      </c>
      <c r="AZ108" s="108"/>
      <c r="BA108" s="108"/>
      <c r="BB108" s="108"/>
      <c r="BC108" s="108"/>
      <c r="BD108" s="111"/>
      <c r="BE108" s="111"/>
      <c r="BF108" s="111"/>
      <c r="BG108" s="111"/>
      <c r="BH108" s="111"/>
      <c r="BI108" s="111"/>
      <c r="BJ108" s="111"/>
      <c r="BK108" s="111"/>
      <c r="BL108" s="111"/>
      <c r="BM108" s="117" t="e">
        <v>#N/A</v>
      </c>
      <c r="BN108" s="111"/>
      <c r="BO108" s="117"/>
      <c r="BP108" s="117"/>
      <c r="BQ108" s="117"/>
      <c r="BR108" s="111"/>
      <c r="BS108" s="118"/>
      <c r="BT108" s="111"/>
      <c r="BU108" s="118"/>
      <c r="BV108" s="111"/>
      <c r="BW108" s="111"/>
      <c r="BX108" s="111"/>
      <c r="BY108" s="111"/>
      <c r="BZ108" s="111"/>
      <c r="CA108" s="111"/>
      <c r="CB108" s="119"/>
      <c r="CC108" s="117"/>
      <c r="CD108" s="120" t="e">
        <v>#N/A</v>
      </c>
      <c r="CE108" s="120" t="e">
        <v>#N/A</v>
      </c>
      <c r="CF108" s="120" t="e">
        <v>#N/A</v>
      </c>
      <c r="CG108" s="111"/>
      <c r="CH108" s="120" t="e">
        <v>#N/A</v>
      </c>
      <c r="CI108" s="120" t="e">
        <v>#N/A</v>
      </c>
      <c r="CJ108" s="111"/>
    </row>
    <row r="109" spans="1:88" ht="57.95" hidden="1">
      <c r="A109" s="106" t="s">
        <v>316</v>
      </c>
      <c r="B109" s="107">
        <v>0</v>
      </c>
      <c r="C109" s="49" t="e">
        <v>#N/A</v>
      </c>
      <c r="D109" s="107">
        <v>0</v>
      </c>
      <c r="E109" s="108"/>
      <c r="F109" s="108"/>
      <c r="G109" s="121"/>
      <c r="H109" s="151">
        <v>15123512</v>
      </c>
      <c r="I109" s="127">
        <f>Tracker6[[#This Row],[DCR ID - PTC]]</f>
        <v>15123512</v>
      </c>
      <c r="J109" s="108" t="s">
        <v>351</v>
      </c>
      <c r="K109" s="108"/>
      <c r="L109" s="108"/>
      <c r="M109" s="108"/>
      <c r="N109" s="108"/>
      <c r="O109" s="111"/>
      <c r="P109" s="111"/>
      <c r="Q109" s="111"/>
      <c r="R109" s="111"/>
      <c r="S109" s="111"/>
      <c r="T109" s="111"/>
      <c r="U109" s="108"/>
      <c r="V109" s="108"/>
      <c r="W109" s="108"/>
      <c r="X109" s="108"/>
      <c r="Y109" s="108"/>
      <c r="Z109" s="108"/>
      <c r="AA109" s="108" t="s">
        <v>349</v>
      </c>
      <c r="AB109" s="112"/>
      <c r="AC109" s="108"/>
      <c r="AD109" s="108" t="s">
        <v>93</v>
      </c>
      <c r="AE109" s="107"/>
      <c r="AF109" s="113"/>
      <c r="AG109" s="115"/>
      <c r="AH109" s="108" t="s">
        <v>350</v>
      </c>
      <c r="AI109" s="108" t="s">
        <v>101</v>
      </c>
      <c r="AJ109" s="114">
        <v>45688</v>
      </c>
      <c r="AK109" s="108" t="s">
        <v>96</v>
      </c>
      <c r="AL109" s="115">
        <v>45604.559733796297</v>
      </c>
      <c r="AM109" s="116"/>
      <c r="AN109" s="116"/>
      <c r="AO109" s="116" t="e">
        <v>#N/A</v>
      </c>
      <c r="AP109" s="108"/>
      <c r="AQ109" s="107"/>
      <c r="AR109" s="107"/>
      <c r="AS109" s="116"/>
      <c r="AT109" s="114"/>
      <c r="AU109" s="114"/>
      <c r="AV109" s="108"/>
      <c r="AW109" s="108"/>
      <c r="AX109" s="108" t="s">
        <v>97</v>
      </c>
      <c r="AY109" s="108" t="s">
        <v>98</v>
      </c>
      <c r="AZ109" s="108"/>
      <c r="BA109" s="108"/>
      <c r="BB109" s="108"/>
      <c r="BC109" s="108"/>
      <c r="BD109" s="111"/>
      <c r="BE109" s="111"/>
      <c r="BF109" s="111"/>
      <c r="BG109" s="111"/>
      <c r="BH109" s="111"/>
      <c r="BI109" s="111"/>
      <c r="BJ109" s="111"/>
      <c r="BK109" s="111"/>
      <c r="BL109" s="111"/>
      <c r="BM109" s="117" t="e">
        <v>#N/A</v>
      </c>
      <c r="BN109" s="111"/>
      <c r="BO109" s="117"/>
      <c r="BP109" s="117"/>
      <c r="BQ109" s="117"/>
      <c r="BR109" s="111"/>
      <c r="BS109" s="118"/>
      <c r="BT109" s="111"/>
      <c r="BU109" s="118"/>
      <c r="BV109" s="111"/>
      <c r="BW109" s="111"/>
      <c r="BX109" s="111"/>
      <c r="BY109" s="111"/>
      <c r="BZ109" s="111"/>
      <c r="CA109" s="111"/>
      <c r="CB109" s="119"/>
      <c r="CC109" s="117"/>
      <c r="CD109" s="120" t="e">
        <v>#N/A</v>
      </c>
      <c r="CE109" s="120" t="e">
        <v>#N/A</v>
      </c>
      <c r="CF109" s="120" t="e">
        <v>#N/A</v>
      </c>
      <c r="CG109" s="111"/>
      <c r="CH109" s="120" t="e">
        <v>#N/A</v>
      </c>
      <c r="CI109" s="120" t="e">
        <v>#N/A</v>
      </c>
      <c r="CJ109" s="111"/>
    </row>
    <row r="110" spans="1:88" ht="57.95" hidden="1">
      <c r="A110" s="106" t="s">
        <v>316</v>
      </c>
      <c r="B110" s="107">
        <v>0</v>
      </c>
      <c r="C110" s="49" t="e">
        <v>#N/A</v>
      </c>
      <c r="D110" s="107">
        <v>0</v>
      </c>
      <c r="E110" s="108"/>
      <c r="F110" s="108"/>
      <c r="G110" s="121"/>
      <c r="H110" s="151">
        <v>15123513</v>
      </c>
      <c r="I110" s="127">
        <f>Tracker6[[#This Row],[DCR ID - PTC]]</f>
        <v>15123513</v>
      </c>
      <c r="J110" s="108" t="s">
        <v>352</v>
      </c>
      <c r="K110" s="108"/>
      <c r="L110" s="108"/>
      <c r="M110" s="108"/>
      <c r="N110" s="108"/>
      <c r="O110" s="111"/>
      <c r="P110" s="111"/>
      <c r="Q110" s="111"/>
      <c r="R110" s="111"/>
      <c r="S110" s="111"/>
      <c r="T110" s="111"/>
      <c r="U110" s="108"/>
      <c r="V110" s="108"/>
      <c r="W110" s="108"/>
      <c r="X110" s="108"/>
      <c r="Y110" s="108"/>
      <c r="Z110" s="108"/>
      <c r="AA110" s="108" t="s">
        <v>349</v>
      </c>
      <c r="AB110" s="112"/>
      <c r="AC110" s="108"/>
      <c r="AD110" s="108" t="s">
        <v>93</v>
      </c>
      <c r="AE110" s="107"/>
      <c r="AF110" s="113"/>
      <c r="AG110" s="115"/>
      <c r="AH110" s="108" t="s">
        <v>350</v>
      </c>
      <c r="AI110" s="108" t="s">
        <v>101</v>
      </c>
      <c r="AJ110" s="114">
        <v>45688</v>
      </c>
      <c r="AK110" s="108" t="s">
        <v>96</v>
      </c>
      <c r="AL110" s="115">
        <v>45604.560659722221</v>
      </c>
      <c r="AM110" s="116"/>
      <c r="AN110" s="116"/>
      <c r="AO110" s="116" t="e">
        <v>#N/A</v>
      </c>
      <c r="AP110" s="108"/>
      <c r="AQ110" s="107"/>
      <c r="AR110" s="107"/>
      <c r="AS110" s="116"/>
      <c r="AT110" s="114"/>
      <c r="AU110" s="114"/>
      <c r="AV110" s="108"/>
      <c r="AW110" s="108"/>
      <c r="AX110" s="108" t="s">
        <v>97</v>
      </c>
      <c r="AY110" s="108" t="s">
        <v>98</v>
      </c>
      <c r="AZ110" s="108"/>
      <c r="BA110" s="108"/>
      <c r="BB110" s="108"/>
      <c r="BC110" s="108"/>
      <c r="BD110" s="111"/>
      <c r="BE110" s="111"/>
      <c r="BF110" s="111"/>
      <c r="BG110" s="111"/>
      <c r="BH110" s="111"/>
      <c r="BI110" s="111"/>
      <c r="BJ110" s="111"/>
      <c r="BK110" s="111"/>
      <c r="BL110" s="111"/>
      <c r="BM110" s="117" t="e">
        <v>#N/A</v>
      </c>
      <c r="BN110" s="111"/>
      <c r="BO110" s="117"/>
      <c r="BP110" s="117"/>
      <c r="BQ110" s="117"/>
      <c r="BR110" s="111"/>
      <c r="BS110" s="118"/>
      <c r="BT110" s="111"/>
      <c r="BU110" s="118"/>
      <c r="BV110" s="111"/>
      <c r="BW110" s="111"/>
      <c r="BX110" s="111"/>
      <c r="BY110" s="111"/>
      <c r="BZ110" s="111"/>
      <c r="CA110" s="111"/>
      <c r="CB110" s="119"/>
      <c r="CC110" s="117"/>
      <c r="CD110" s="120" t="e">
        <v>#N/A</v>
      </c>
      <c r="CE110" s="120" t="e">
        <v>#N/A</v>
      </c>
      <c r="CF110" s="120" t="e">
        <v>#N/A</v>
      </c>
      <c r="CG110" s="111"/>
      <c r="CH110" s="120" t="e">
        <v>#N/A</v>
      </c>
      <c r="CI110" s="120" t="e">
        <v>#N/A</v>
      </c>
      <c r="CJ110" s="111"/>
    </row>
    <row r="111" spans="1:88" ht="57.95" hidden="1">
      <c r="A111" s="106" t="s">
        <v>316</v>
      </c>
      <c r="B111" s="107">
        <v>0</v>
      </c>
      <c r="C111" s="49" t="e">
        <v>#N/A</v>
      </c>
      <c r="D111" s="107">
        <v>0</v>
      </c>
      <c r="E111" s="108"/>
      <c r="F111" s="108"/>
      <c r="G111" s="121"/>
      <c r="H111" s="151">
        <v>15123514</v>
      </c>
      <c r="I111" s="127">
        <f>Tracker6[[#This Row],[DCR ID - PTC]]</f>
        <v>15123514</v>
      </c>
      <c r="J111" s="108" t="s">
        <v>353</v>
      </c>
      <c r="K111" s="108"/>
      <c r="L111" s="108"/>
      <c r="M111" s="108"/>
      <c r="N111" s="108"/>
      <c r="O111" s="111"/>
      <c r="P111" s="111"/>
      <c r="Q111" s="111"/>
      <c r="R111" s="111"/>
      <c r="S111" s="111"/>
      <c r="T111" s="111"/>
      <c r="U111" s="108"/>
      <c r="V111" s="108"/>
      <c r="W111" s="108"/>
      <c r="X111" s="108"/>
      <c r="Y111" s="108"/>
      <c r="Z111" s="108"/>
      <c r="AA111" s="108" t="s">
        <v>349</v>
      </c>
      <c r="AB111" s="112"/>
      <c r="AC111" s="108"/>
      <c r="AD111" s="108" t="s">
        <v>93</v>
      </c>
      <c r="AE111" s="107"/>
      <c r="AF111" s="113"/>
      <c r="AG111" s="115"/>
      <c r="AH111" s="108" t="s">
        <v>350</v>
      </c>
      <c r="AI111" s="108" t="s">
        <v>101</v>
      </c>
      <c r="AJ111" s="114">
        <v>45688</v>
      </c>
      <c r="AK111" s="108" t="s">
        <v>96</v>
      </c>
      <c r="AL111" s="115">
        <v>45604.561712962961</v>
      </c>
      <c r="AM111" s="116"/>
      <c r="AN111" s="116"/>
      <c r="AO111" s="116" t="e">
        <v>#N/A</v>
      </c>
      <c r="AP111" s="108"/>
      <c r="AQ111" s="107"/>
      <c r="AR111" s="107"/>
      <c r="AS111" s="116"/>
      <c r="AT111" s="114"/>
      <c r="AU111" s="114"/>
      <c r="AV111" s="108"/>
      <c r="AW111" s="108"/>
      <c r="AX111" s="108" t="s">
        <v>97</v>
      </c>
      <c r="AY111" s="108" t="s">
        <v>98</v>
      </c>
      <c r="AZ111" s="108"/>
      <c r="BA111" s="108"/>
      <c r="BB111" s="108"/>
      <c r="BC111" s="108"/>
      <c r="BD111" s="111"/>
      <c r="BE111" s="111"/>
      <c r="BF111" s="111"/>
      <c r="BG111" s="111"/>
      <c r="BH111" s="111"/>
      <c r="BI111" s="111"/>
      <c r="BJ111" s="111"/>
      <c r="BK111" s="111"/>
      <c r="BL111" s="111"/>
      <c r="BM111" s="117" t="e">
        <v>#N/A</v>
      </c>
      <c r="BN111" s="111"/>
      <c r="BO111" s="117"/>
      <c r="BP111" s="117"/>
      <c r="BQ111" s="117"/>
      <c r="BR111" s="111"/>
      <c r="BS111" s="118"/>
      <c r="BT111" s="111"/>
      <c r="BU111" s="118"/>
      <c r="BV111" s="111"/>
      <c r="BW111" s="111"/>
      <c r="BX111" s="111"/>
      <c r="BY111" s="111"/>
      <c r="BZ111" s="111"/>
      <c r="CA111" s="111"/>
      <c r="CB111" s="119"/>
      <c r="CC111" s="117"/>
      <c r="CD111" s="120" t="e">
        <v>#N/A</v>
      </c>
      <c r="CE111" s="120" t="e">
        <v>#N/A</v>
      </c>
      <c r="CF111" s="120" t="e">
        <v>#N/A</v>
      </c>
      <c r="CG111" s="111"/>
      <c r="CH111" s="120" t="e">
        <v>#N/A</v>
      </c>
      <c r="CI111" s="120" t="e">
        <v>#N/A</v>
      </c>
      <c r="CJ111" s="111"/>
    </row>
    <row r="112" spans="1:88" ht="188.45" hidden="1">
      <c r="A112" s="106" t="s">
        <v>316</v>
      </c>
      <c r="B112" s="107">
        <v>0</v>
      </c>
      <c r="C112" s="49" t="e">
        <v>#N/A</v>
      </c>
      <c r="D112" s="107">
        <v>0</v>
      </c>
      <c r="E112" s="108"/>
      <c r="F112" s="108"/>
      <c r="G112" s="121"/>
      <c r="H112" s="151">
        <v>15554144</v>
      </c>
      <c r="I112" s="127">
        <f>Tracker6[[#This Row],[DCR ID - PTC]]</f>
        <v>15554144</v>
      </c>
      <c r="J112" s="108" t="s">
        <v>354</v>
      </c>
      <c r="K112" s="108"/>
      <c r="L112" s="108" t="s">
        <v>355</v>
      </c>
      <c r="M112" s="108"/>
      <c r="N112" s="108"/>
      <c r="O112" s="111"/>
      <c r="P112" s="111"/>
      <c r="Q112" s="111"/>
      <c r="R112" s="111"/>
      <c r="S112" s="111"/>
      <c r="T112" s="111"/>
      <c r="U112" s="108"/>
      <c r="V112" s="108"/>
      <c r="W112" s="108"/>
      <c r="X112" s="108"/>
      <c r="Y112" s="108"/>
      <c r="Z112" s="108"/>
      <c r="AA112" s="108"/>
      <c r="AB112" s="112"/>
      <c r="AC112" s="108" t="s">
        <v>355</v>
      </c>
      <c r="AD112" s="108" t="s">
        <v>146</v>
      </c>
      <c r="AE112" s="107"/>
      <c r="AF112" s="113"/>
      <c r="AG112" s="115"/>
      <c r="AH112" s="108" t="s">
        <v>109</v>
      </c>
      <c r="AI112" s="108" t="s">
        <v>95</v>
      </c>
      <c r="AJ112" s="114">
        <v>45688</v>
      </c>
      <c r="AK112" s="108" t="s">
        <v>96</v>
      </c>
      <c r="AL112" s="115">
        <v>45672.44903935185</v>
      </c>
      <c r="AM112" s="116"/>
      <c r="AN112" s="116"/>
      <c r="AO112" s="116" t="e">
        <v>#N/A</v>
      </c>
      <c r="AP112" s="108"/>
      <c r="AQ112" s="107"/>
      <c r="AR112" s="107"/>
      <c r="AS112" s="116"/>
      <c r="AT112" s="114"/>
      <c r="AU112" s="114"/>
      <c r="AV112" s="108"/>
      <c r="AW112" s="108"/>
      <c r="AX112" s="108" t="s">
        <v>97</v>
      </c>
      <c r="AY112" s="108" t="s">
        <v>98</v>
      </c>
      <c r="AZ112" s="108"/>
      <c r="BA112" s="108"/>
      <c r="BB112" s="108"/>
      <c r="BC112" s="108"/>
      <c r="BD112" s="111"/>
      <c r="BE112" s="111"/>
      <c r="BF112" s="111"/>
      <c r="BG112" s="111"/>
      <c r="BH112" s="111"/>
      <c r="BI112" s="111"/>
      <c r="BJ112" s="111"/>
      <c r="BK112" s="111"/>
      <c r="BL112" s="111"/>
      <c r="BM112" s="117" t="e">
        <v>#N/A</v>
      </c>
      <c r="BN112" s="111"/>
      <c r="BO112" s="117"/>
      <c r="BP112" s="117"/>
      <c r="BQ112" s="117"/>
      <c r="BR112" s="111"/>
      <c r="BS112" s="118"/>
      <c r="BT112" s="111"/>
      <c r="BU112" s="118"/>
      <c r="BV112" s="111"/>
      <c r="BW112" s="111"/>
      <c r="BX112" s="111"/>
      <c r="BY112" s="111"/>
      <c r="BZ112" s="111"/>
      <c r="CA112" s="111"/>
      <c r="CB112" s="119"/>
      <c r="CC112" s="117"/>
      <c r="CD112" s="120" t="e">
        <v>#N/A</v>
      </c>
      <c r="CE112" s="120" t="e">
        <v>#N/A</v>
      </c>
      <c r="CF112" s="120" t="e">
        <v>#N/A</v>
      </c>
      <c r="CG112" s="111"/>
      <c r="CH112" s="120" t="e">
        <v>#N/A</v>
      </c>
      <c r="CI112" s="120" t="e">
        <v>#N/A</v>
      </c>
      <c r="CJ112" s="111"/>
    </row>
    <row r="113" spans="1:88" ht="57.95" hidden="1">
      <c r="A113" s="106" t="s">
        <v>316</v>
      </c>
      <c r="B113" s="107">
        <v>0</v>
      </c>
      <c r="C113" s="49" t="e">
        <v>#N/A</v>
      </c>
      <c r="D113" s="107">
        <v>0</v>
      </c>
      <c r="E113" s="108"/>
      <c r="F113" s="108"/>
      <c r="G113" s="121"/>
      <c r="H113" s="151">
        <v>15599977</v>
      </c>
      <c r="I113" s="127">
        <f>Tracker6[[#This Row],[DCR ID - PTC]]</f>
        <v>15599977</v>
      </c>
      <c r="J113" s="108" t="s">
        <v>356</v>
      </c>
      <c r="K113" s="108"/>
      <c r="L113" s="108"/>
      <c r="M113" s="108"/>
      <c r="N113" s="108"/>
      <c r="O113" s="111"/>
      <c r="P113" s="111"/>
      <c r="Q113" s="111"/>
      <c r="R113" s="111"/>
      <c r="S113" s="111"/>
      <c r="T113" s="111"/>
      <c r="U113" s="108"/>
      <c r="V113" s="108"/>
      <c r="W113" s="108"/>
      <c r="X113" s="108"/>
      <c r="Y113" s="108"/>
      <c r="Z113" s="108"/>
      <c r="AA113" s="108"/>
      <c r="AB113" s="112"/>
      <c r="AC113" s="108"/>
      <c r="AD113" s="108" t="s">
        <v>108</v>
      </c>
      <c r="AE113" s="107"/>
      <c r="AF113" s="113"/>
      <c r="AG113" s="115"/>
      <c r="AH113" s="108" t="s">
        <v>109</v>
      </c>
      <c r="AI113" s="108" t="s">
        <v>95</v>
      </c>
      <c r="AJ113" s="114">
        <v>45991.395833333336</v>
      </c>
      <c r="AK113" s="108" t="s">
        <v>96</v>
      </c>
      <c r="AL113" s="115">
        <v>45681.469224537039</v>
      </c>
      <c r="AM113" s="116"/>
      <c r="AN113" s="116"/>
      <c r="AO113" s="116" t="e">
        <v>#N/A</v>
      </c>
      <c r="AP113" s="108"/>
      <c r="AQ113" s="107"/>
      <c r="AR113" s="107"/>
      <c r="AS113" s="116"/>
      <c r="AT113" s="114"/>
      <c r="AU113" s="114"/>
      <c r="AV113" s="108"/>
      <c r="AW113" s="108"/>
      <c r="AX113" s="108" t="s">
        <v>97</v>
      </c>
      <c r="AY113" s="108" t="s">
        <v>98</v>
      </c>
      <c r="AZ113" s="108"/>
      <c r="BA113" s="108"/>
      <c r="BB113" s="108"/>
      <c r="BC113" s="108"/>
      <c r="BD113" s="111"/>
      <c r="BE113" s="111"/>
      <c r="BF113" s="111"/>
      <c r="BG113" s="111"/>
      <c r="BH113" s="111"/>
      <c r="BI113" s="111"/>
      <c r="BJ113" s="111"/>
      <c r="BK113" s="111"/>
      <c r="BL113" s="111"/>
      <c r="BM113" s="117" t="e">
        <v>#N/A</v>
      </c>
      <c r="BN113" s="111"/>
      <c r="BO113" s="117"/>
      <c r="BP113" s="117"/>
      <c r="BQ113" s="117"/>
      <c r="BR113" s="111"/>
      <c r="BS113" s="118"/>
      <c r="BT113" s="111"/>
      <c r="BU113" s="118"/>
      <c r="BV113" s="111"/>
      <c r="BW113" s="111"/>
      <c r="BX113" s="111"/>
      <c r="BY113" s="111"/>
      <c r="BZ113" s="111"/>
      <c r="CA113" s="111"/>
      <c r="CB113" s="119"/>
      <c r="CC113" s="117"/>
      <c r="CD113" s="120" t="e">
        <v>#N/A</v>
      </c>
      <c r="CE113" s="120" t="e">
        <v>#N/A</v>
      </c>
      <c r="CF113" s="120" t="e">
        <v>#N/A</v>
      </c>
      <c r="CG113" s="111"/>
      <c r="CH113" s="120" t="e">
        <v>#N/A</v>
      </c>
      <c r="CI113" s="120" t="e">
        <v>#N/A</v>
      </c>
      <c r="CJ113" s="111"/>
    </row>
    <row r="114" spans="1:88" ht="101.45" hidden="1">
      <c r="A114" s="106" t="s">
        <v>316</v>
      </c>
      <c r="B114" s="107">
        <v>0</v>
      </c>
      <c r="C114" s="49" t="e">
        <v>#N/A</v>
      </c>
      <c r="D114" s="107">
        <v>0</v>
      </c>
      <c r="E114" s="108"/>
      <c r="F114" s="108"/>
      <c r="G114" s="121"/>
      <c r="H114" s="151">
        <v>15756823</v>
      </c>
      <c r="I114" s="127">
        <f>Tracker6[[#This Row],[DCR ID - PTC]]</f>
        <v>15756823</v>
      </c>
      <c r="J114" s="108" t="s">
        <v>357</v>
      </c>
      <c r="K114" s="108"/>
      <c r="L114" s="108" t="s">
        <v>358</v>
      </c>
      <c r="M114" s="108"/>
      <c r="N114" s="108"/>
      <c r="O114" s="111"/>
      <c r="P114" s="111"/>
      <c r="Q114" s="111"/>
      <c r="R114" s="111"/>
      <c r="S114" s="111"/>
      <c r="T114" s="111"/>
      <c r="U114" s="108"/>
      <c r="V114" s="108"/>
      <c r="W114" s="108"/>
      <c r="X114" s="108"/>
      <c r="Y114" s="108"/>
      <c r="Z114" s="108"/>
      <c r="AA114" s="108"/>
      <c r="AB114" s="112"/>
      <c r="AC114" s="108" t="s">
        <v>358</v>
      </c>
      <c r="AD114" s="108" t="s">
        <v>93</v>
      </c>
      <c r="AE114" s="107"/>
      <c r="AF114" s="113"/>
      <c r="AG114" s="115"/>
      <c r="AH114" s="108" t="s">
        <v>109</v>
      </c>
      <c r="AI114" s="108" t="s">
        <v>95</v>
      </c>
      <c r="AJ114" s="114">
        <v>45709.395833333336</v>
      </c>
      <c r="AK114" s="108" t="s">
        <v>96</v>
      </c>
      <c r="AL114" s="115">
        <v>45702.420092592591</v>
      </c>
      <c r="AM114" s="116"/>
      <c r="AN114" s="116"/>
      <c r="AO114" s="116" t="e">
        <v>#N/A</v>
      </c>
      <c r="AP114" s="108"/>
      <c r="AQ114" s="107"/>
      <c r="AR114" s="107"/>
      <c r="AS114" s="116"/>
      <c r="AT114" s="114"/>
      <c r="AU114" s="114"/>
      <c r="AV114" s="108"/>
      <c r="AW114" s="108"/>
      <c r="AX114" s="108" t="s">
        <v>97</v>
      </c>
      <c r="AY114" s="108" t="s">
        <v>98</v>
      </c>
      <c r="AZ114" s="108"/>
      <c r="BA114" s="108"/>
      <c r="BB114" s="108"/>
      <c r="BC114" s="108"/>
      <c r="BD114" s="111"/>
      <c r="BE114" s="111"/>
      <c r="BF114" s="111"/>
      <c r="BG114" s="111"/>
      <c r="BH114" s="111"/>
      <c r="BI114" s="111"/>
      <c r="BJ114" s="111"/>
      <c r="BK114" s="111"/>
      <c r="BL114" s="111"/>
      <c r="BM114" s="117" t="e">
        <v>#N/A</v>
      </c>
      <c r="BN114" s="111"/>
      <c r="BO114" s="117"/>
      <c r="BP114" s="117"/>
      <c r="BQ114" s="117"/>
      <c r="BR114" s="111"/>
      <c r="BS114" s="118"/>
      <c r="BT114" s="111"/>
      <c r="BU114" s="118"/>
      <c r="BV114" s="111"/>
      <c r="BW114" s="111"/>
      <c r="BX114" s="111"/>
      <c r="BY114" s="111"/>
      <c r="BZ114" s="111"/>
      <c r="CA114" s="111"/>
      <c r="CB114" s="119"/>
      <c r="CC114" s="117"/>
      <c r="CD114" s="120" t="e">
        <v>#N/A</v>
      </c>
      <c r="CE114" s="120" t="e">
        <v>#N/A</v>
      </c>
      <c r="CF114" s="120" t="e">
        <v>#N/A</v>
      </c>
      <c r="CG114" s="111"/>
      <c r="CH114" s="120" t="e">
        <v>#N/A</v>
      </c>
      <c r="CI114" s="120" t="e">
        <v>#N/A</v>
      </c>
      <c r="CJ114" s="111"/>
    </row>
    <row r="115" spans="1:88" ht="57.95" hidden="1">
      <c r="A115" s="106" t="s">
        <v>316</v>
      </c>
      <c r="B115" s="107">
        <v>0</v>
      </c>
      <c r="C115" s="49" t="e">
        <v>#N/A</v>
      </c>
      <c r="D115" s="107">
        <v>0</v>
      </c>
      <c r="E115" s="108"/>
      <c r="F115" s="108"/>
      <c r="G115" s="121"/>
      <c r="H115" s="151">
        <v>16484890</v>
      </c>
      <c r="I115" s="127">
        <f>Tracker6[[#This Row],[DCR ID - PTC]]</f>
        <v>16484890</v>
      </c>
      <c r="J115" s="108" t="s">
        <v>359</v>
      </c>
      <c r="K115" s="108"/>
      <c r="L115" s="108"/>
      <c r="M115" s="108"/>
      <c r="N115" s="108"/>
      <c r="O115" s="111"/>
      <c r="P115" s="111"/>
      <c r="Q115" s="111"/>
      <c r="R115" s="111"/>
      <c r="S115" s="111"/>
      <c r="T115" s="111"/>
      <c r="U115" s="108"/>
      <c r="V115" s="108"/>
      <c r="W115" s="108"/>
      <c r="X115" s="108"/>
      <c r="Y115" s="108"/>
      <c r="Z115" s="108"/>
      <c r="AA115" s="108"/>
      <c r="AB115" s="112"/>
      <c r="AC115" s="108"/>
      <c r="AD115" s="108" t="s">
        <v>93</v>
      </c>
      <c r="AE115" s="107"/>
      <c r="AF115" s="113"/>
      <c r="AG115" s="115"/>
      <c r="AH115" s="108" t="s">
        <v>109</v>
      </c>
      <c r="AI115" s="108" t="s">
        <v>95</v>
      </c>
      <c r="AJ115" s="114">
        <v>45838</v>
      </c>
      <c r="AK115" s="108" t="s">
        <v>96</v>
      </c>
      <c r="AL115" s="115">
        <v>45803.816782407404</v>
      </c>
      <c r="AM115" s="116"/>
      <c r="AN115" s="116"/>
      <c r="AO115" s="116" t="e">
        <v>#N/A</v>
      </c>
      <c r="AP115" s="108"/>
      <c r="AQ115" s="107"/>
      <c r="AR115" s="107"/>
      <c r="AS115" s="116"/>
      <c r="AT115" s="114"/>
      <c r="AU115" s="114"/>
      <c r="AV115" s="108"/>
      <c r="AW115" s="108"/>
      <c r="AX115" s="108" t="s">
        <v>97</v>
      </c>
      <c r="AY115" s="108" t="s">
        <v>98</v>
      </c>
      <c r="AZ115" s="108"/>
      <c r="BA115" s="108"/>
      <c r="BB115" s="108"/>
      <c r="BC115" s="108"/>
      <c r="BD115" s="111"/>
      <c r="BE115" s="111"/>
      <c r="BF115" s="111"/>
      <c r="BG115" s="111"/>
      <c r="BH115" s="111"/>
      <c r="BI115" s="111"/>
      <c r="BJ115" s="111"/>
      <c r="BK115" s="111"/>
      <c r="BL115" s="111"/>
      <c r="BM115" s="117" t="e">
        <v>#N/A</v>
      </c>
      <c r="BN115" s="111"/>
      <c r="BO115" s="117"/>
      <c r="BP115" s="117"/>
      <c r="BQ115" s="117"/>
      <c r="BR115" s="111"/>
      <c r="BS115" s="118"/>
      <c r="BT115" s="111"/>
      <c r="BU115" s="118"/>
      <c r="BV115" s="111"/>
      <c r="BW115" s="111"/>
      <c r="BX115" s="111"/>
      <c r="BY115" s="111"/>
      <c r="BZ115" s="111"/>
      <c r="CA115" s="111"/>
      <c r="CB115" s="119"/>
      <c r="CC115" s="117"/>
      <c r="CD115" s="120" t="e">
        <v>#N/A</v>
      </c>
      <c r="CE115" s="120" t="e">
        <v>#N/A</v>
      </c>
      <c r="CF115" s="120" t="e">
        <v>#N/A</v>
      </c>
      <c r="CG115" s="111"/>
      <c r="CH115" s="120" t="e">
        <v>#N/A</v>
      </c>
      <c r="CI115" s="120" t="e">
        <v>#N/A</v>
      </c>
      <c r="CJ115" s="111"/>
    </row>
    <row r="116" spans="1:88" ht="57.95" hidden="1">
      <c r="A116" s="106" t="s">
        <v>316</v>
      </c>
      <c r="B116" s="107">
        <v>0</v>
      </c>
      <c r="C116" s="49" t="e">
        <v>#N/A</v>
      </c>
      <c r="D116" s="107"/>
      <c r="E116" s="108"/>
      <c r="F116" s="108" t="s">
        <v>89</v>
      </c>
      <c r="G116" s="121"/>
      <c r="H116" s="151">
        <v>16824279</v>
      </c>
      <c r="I116" s="127">
        <f>Tracker6[[#This Row],[DCR ID - PTC]]</f>
        <v>16824279</v>
      </c>
      <c r="J116" s="108" t="s">
        <v>360</v>
      </c>
      <c r="K116" s="108"/>
      <c r="L116" s="108" t="s">
        <v>131</v>
      </c>
      <c r="M116" s="108"/>
      <c r="N116" s="108"/>
      <c r="O116" s="111"/>
      <c r="P116" s="111"/>
      <c r="Q116" s="111"/>
      <c r="R116" s="111"/>
      <c r="S116" s="111"/>
      <c r="T116" s="111"/>
      <c r="U116" s="108"/>
      <c r="V116" s="108"/>
      <c r="W116" s="108"/>
      <c r="X116" s="108"/>
      <c r="Y116" s="108"/>
      <c r="Z116" s="108"/>
      <c r="AA116" s="108" t="s">
        <v>92</v>
      </c>
      <c r="AB116" s="112"/>
      <c r="AC116" s="108" t="s">
        <v>131</v>
      </c>
      <c r="AD116" s="108" t="s">
        <v>116</v>
      </c>
      <c r="AE116" s="107"/>
      <c r="AF116" s="113"/>
      <c r="AG116" s="115">
        <v>45947.004293981481</v>
      </c>
      <c r="AH116" s="108" t="s">
        <v>94</v>
      </c>
      <c r="AI116" s="108" t="s">
        <v>95</v>
      </c>
      <c r="AJ116" s="114">
        <v>45986.4375</v>
      </c>
      <c r="AK116" s="108" t="s">
        <v>96</v>
      </c>
      <c r="AL116" s="115">
        <v>45833.456608796296</v>
      </c>
      <c r="AM116" s="116"/>
      <c r="AN116" s="116"/>
      <c r="AO116" s="116" t="e">
        <v>#N/A</v>
      </c>
      <c r="AP116" s="108"/>
      <c r="AQ116" s="107"/>
      <c r="AR116" s="107"/>
      <c r="AS116" s="116"/>
      <c r="AT116" s="114"/>
      <c r="AU116" s="114"/>
      <c r="AV116" s="108"/>
      <c r="AW116" s="108"/>
      <c r="AX116" s="108" t="s">
        <v>97</v>
      </c>
      <c r="AY116" s="108" t="s">
        <v>98</v>
      </c>
      <c r="AZ116" s="108"/>
      <c r="BA116" s="108"/>
      <c r="BB116" s="108"/>
      <c r="BC116" s="108"/>
      <c r="BD116" s="111"/>
      <c r="BE116" s="111"/>
      <c r="BF116" s="111"/>
      <c r="BG116" s="111"/>
      <c r="BH116" s="111"/>
      <c r="BI116" s="111"/>
      <c r="BJ116" s="111"/>
      <c r="BK116" s="111"/>
      <c r="BL116" s="111"/>
      <c r="BM116" s="117" t="e">
        <v>#N/A</v>
      </c>
      <c r="BN116" s="111"/>
      <c r="BO116" s="117"/>
      <c r="BP116" s="117"/>
      <c r="BQ116" s="117"/>
      <c r="BR116" s="111"/>
      <c r="BS116" s="118"/>
      <c r="BT116" s="111"/>
      <c r="BU116" s="118"/>
      <c r="BV116" s="111"/>
      <c r="BW116" s="111"/>
      <c r="BX116" s="111"/>
      <c r="BY116" s="111"/>
      <c r="BZ116" s="111"/>
      <c r="CA116" s="111"/>
      <c r="CB116" s="119"/>
      <c r="CC116" s="117"/>
      <c r="CD116" s="120" t="e">
        <v>#N/A</v>
      </c>
      <c r="CE116" s="120" t="e">
        <v>#N/A</v>
      </c>
      <c r="CF116" s="120" t="e">
        <v>#N/A</v>
      </c>
      <c r="CG116" s="111"/>
      <c r="CH116" s="120" t="e">
        <v>#N/A</v>
      </c>
      <c r="CI116" s="120" t="e">
        <v>#N/A</v>
      </c>
      <c r="CJ116" s="111"/>
    </row>
    <row r="117" spans="1:88" ht="57.95" hidden="1">
      <c r="A117" s="106" t="s">
        <v>316</v>
      </c>
      <c r="B117" s="107">
        <v>0</v>
      </c>
      <c r="C117" s="49" t="e">
        <v>#N/A</v>
      </c>
      <c r="D117" s="107">
        <v>0</v>
      </c>
      <c r="E117" s="108"/>
      <c r="F117" s="108"/>
      <c r="G117" s="121"/>
      <c r="H117" s="151">
        <v>17159921</v>
      </c>
      <c r="I117" s="127">
        <f>Tracker6[[#This Row],[DCR ID - PTC]]</f>
        <v>17159921</v>
      </c>
      <c r="J117" s="108" t="s">
        <v>361</v>
      </c>
      <c r="K117" s="108"/>
      <c r="L117" s="108"/>
      <c r="M117" s="108"/>
      <c r="N117" s="108"/>
      <c r="O117" s="111"/>
      <c r="P117" s="111"/>
      <c r="Q117" s="111"/>
      <c r="R117" s="111"/>
      <c r="S117" s="111"/>
      <c r="T117" s="111"/>
      <c r="U117" s="108"/>
      <c r="V117" s="108"/>
      <c r="W117" s="108"/>
      <c r="X117" s="108"/>
      <c r="Y117" s="108"/>
      <c r="Z117" s="108"/>
      <c r="AA117" s="108"/>
      <c r="AB117" s="112"/>
      <c r="AC117" s="108"/>
      <c r="AD117" s="108" t="s">
        <v>146</v>
      </c>
      <c r="AE117" s="107"/>
      <c r="AF117" s="113"/>
      <c r="AG117" s="115"/>
      <c r="AH117" s="108" t="s">
        <v>117</v>
      </c>
      <c r="AI117" s="108" t="s">
        <v>95</v>
      </c>
      <c r="AJ117" s="114">
        <v>45596.395833333336</v>
      </c>
      <c r="AK117" s="108" t="s">
        <v>96</v>
      </c>
      <c r="AL117" s="115">
        <v>45869.625694444447</v>
      </c>
      <c r="AM117" s="116"/>
      <c r="AN117" s="116"/>
      <c r="AO117" s="116" t="e">
        <v>#N/A</v>
      </c>
      <c r="AP117" s="108"/>
      <c r="AQ117" s="107"/>
      <c r="AR117" s="107"/>
      <c r="AS117" s="116"/>
      <c r="AT117" s="114"/>
      <c r="AU117" s="114"/>
      <c r="AV117" s="108"/>
      <c r="AW117" s="108"/>
      <c r="AX117" s="108" t="s">
        <v>97</v>
      </c>
      <c r="AY117" s="108" t="s">
        <v>98</v>
      </c>
      <c r="AZ117" s="108"/>
      <c r="BA117" s="108"/>
      <c r="BB117" s="108"/>
      <c r="BC117" s="108"/>
      <c r="BD117" s="111"/>
      <c r="BE117" s="111"/>
      <c r="BF117" s="111"/>
      <c r="BG117" s="111"/>
      <c r="BH117" s="111"/>
      <c r="BI117" s="111"/>
      <c r="BJ117" s="111"/>
      <c r="BK117" s="111"/>
      <c r="BL117" s="111"/>
      <c r="BM117" s="117" t="e">
        <v>#N/A</v>
      </c>
      <c r="BN117" s="111"/>
      <c r="BO117" s="117"/>
      <c r="BP117" s="117"/>
      <c r="BQ117" s="117"/>
      <c r="BR117" s="111"/>
      <c r="BS117" s="118"/>
      <c r="BT117" s="111"/>
      <c r="BU117" s="118"/>
      <c r="BV117" s="111"/>
      <c r="BW117" s="111"/>
      <c r="BX117" s="111"/>
      <c r="BY117" s="111"/>
      <c r="BZ117" s="111"/>
      <c r="CA117" s="111"/>
      <c r="CB117" s="119"/>
      <c r="CC117" s="117"/>
      <c r="CD117" s="120" t="e">
        <v>#N/A</v>
      </c>
      <c r="CE117" s="120" t="e">
        <v>#N/A</v>
      </c>
      <c r="CF117" s="120" t="e">
        <v>#N/A</v>
      </c>
      <c r="CG117" s="111"/>
      <c r="CH117" s="120" t="e">
        <v>#N/A</v>
      </c>
      <c r="CI117" s="120" t="e">
        <v>#N/A</v>
      </c>
      <c r="CJ117" s="111"/>
    </row>
    <row r="118" spans="1:88" ht="57.95" hidden="1">
      <c r="A118" s="106" t="s">
        <v>316</v>
      </c>
      <c r="B118" s="107">
        <v>84</v>
      </c>
      <c r="C118" s="49" t="e">
        <v>#N/A</v>
      </c>
      <c r="D118" s="107"/>
      <c r="E118" s="108"/>
      <c r="F118" s="108" t="s">
        <v>89</v>
      </c>
      <c r="G118" s="121"/>
      <c r="H118" s="151">
        <v>17270728</v>
      </c>
      <c r="I118" s="127">
        <f>Tracker6[[#This Row],[DCR ID - PTC]]</f>
        <v>17270728</v>
      </c>
      <c r="J118" s="108" t="s">
        <v>362</v>
      </c>
      <c r="K118" s="108"/>
      <c r="L118" s="108" t="s">
        <v>131</v>
      </c>
      <c r="M118" s="108"/>
      <c r="N118" s="108"/>
      <c r="O118" s="111"/>
      <c r="P118" s="111"/>
      <c r="Q118" s="111"/>
      <c r="R118" s="111"/>
      <c r="S118" s="111"/>
      <c r="T118" s="111"/>
      <c r="U118" s="108"/>
      <c r="V118" s="108"/>
      <c r="W118" s="108"/>
      <c r="X118" s="108"/>
      <c r="Y118" s="108"/>
      <c r="Z118" s="108"/>
      <c r="AA118" s="108" t="s">
        <v>174</v>
      </c>
      <c r="AB118" s="112"/>
      <c r="AC118" s="108" t="s">
        <v>131</v>
      </c>
      <c r="AD118" s="108" t="s">
        <v>93</v>
      </c>
      <c r="AE118" s="107"/>
      <c r="AF118" s="113"/>
      <c r="AG118" s="115">
        <v>45896.694675925923</v>
      </c>
      <c r="AH118" s="108" t="s">
        <v>94</v>
      </c>
      <c r="AI118" s="108" t="s">
        <v>95</v>
      </c>
      <c r="AJ118" s="114">
        <v>45947.395833333336</v>
      </c>
      <c r="AK118" s="108" t="s">
        <v>96</v>
      </c>
      <c r="AL118" s="115">
        <v>45882.576736111114</v>
      </c>
      <c r="AM118" s="116"/>
      <c r="AN118" s="116"/>
      <c r="AO118" s="116" t="e">
        <v>#N/A</v>
      </c>
      <c r="AP118" s="108"/>
      <c r="AQ118" s="107"/>
      <c r="AR118" s="107"/>
      <c r="AS118" s="116"/>
      <c r="AT118" s="114"/>
      <c r="AU118" s="114"/>
      <c r="AV118" s="108"/>
      <c r="AW118" s="108"/>
      <c r="AX118" s="108" t="s">
        <v>97</v>
      </c>
      <c r="AY118" s="108" t="s">
        <v>98</v>
      </c>
      <c r="AZ118" s="108"/>
      <c r="BA118" s="108"/>
      <c r="BB118" s="108"/>
      <c r="BC118" s="108"/>
      <c r="BD118" s="111"/>
      <c r="BE118" s="111"/>
      <c r="BF118" s="111"/>
      <c r="BG118" s="111"/>
      <c r="BH118" s="111"/>
      <c r="BI118" s="111"/>
      <c r="BJ118" s="111"/>
      <c r="BK118" s="111"/>
      <c r="BL118" s="111"/>
      <c r="BM118" s="117" t="e">
        <v>#N/A</v>
      </c>
      <c r="BN118" s="111"/>
      <c r="BO118" s="117"/>
      <c r="BP118" s="117"/>
      <c r="BQ118" s="117"/>
      <c r="BR118" s="111"/>
      <c r="BS118" s="118"/>
      <c r="BT118" s="111"/>
      <c r="BU118" s="118"/>
      <c r="BV118" s="111"/>
      <c r="BW118" s="111"/>
      <c r="BX118" s="111"/>
      <c r="BY118" s="111"/>
      <c r="BZ118" s="111"/>
      <c r="CA118" s="111"/>
      <c r="CB118" s="119"/>
      <c r="CC118" s="117"/>
      <c r="CD118" s="120" t="e">
        <v>#N/A</v>
      </c>
      <c r="CE118" s="120" t="e">
        <v>#N/A</v>
      </c>
      <c r="CF118" s="120" t="e">
        <v>#N/A</v>
      </c>
      <c r="CG118" s="111"/>
      <c r="CH118" s="120" t="e">
        <v>#N/A</v>
      </c>
      <c r="CI118" s="120" t="e">
        <v>#N/A</v>
      </c>
      <c r="CJ118" s="111"/>
    </row>
    <row r="119" spans="1:88" ht="57.95" hidden="1">
      <c r="A119" s="106" t="s">
        <v>316</v>
      </c>
      <c r="B119" s="107">
        <v>70</v>
      </c>
      <c r="C119" s="49" t="e">
        <v>#N/A</v>
      </c>
      <c r="D119" s="107"/>
      <c r="E119" s="108"/>
      <c r="F119" s="108" t="s">
        <v>89</v>
      </c>
      <c r="G119" s="121"/>
      <c r="H119" s="151">
        <v>17311990</v>
      </c>
      <c r="I119" s="127">
        <f>Tracker6[[#This Row],[DCR ID - PTC]]</f>
        <v>17311990</v>
      </c>
      <c r="J119" s="108" t="s">
        <v>363</v>
      </c>
      <c r="K119" s="108"/>
      <c r="L119" s="108" t="s">
        <v>131</v>
      </c>
      <c r="M119" s="108"/>
      <c r="N119" s="108"/>
      <c r="O119" s="111"/>
      <c r="P119" s="111"/>
      <c r="Q119" s="111"/>
      <c r="R119" s="111"/>
      <c r="S119" s="111"/>
      <c r="T119" s="111"/>
      <c r="U119" s="108"/>
      <c r="V119" s="108"/>
      <c r="W119" s="108"/>
      <c r="X119" s="108"/>
      <c r="Y119" s="108"/>
      <c r="Z119" s="108"/>
      <c r="AA119" s="108" t="s">
        <v>174</v>
      </c>
      <c r="AB119" s="112"/>
      <c r="AC119" s="108" t="s">
        <v>131</v>
      </c>
      <c r="AD119" s="108" t="s">
        <v>93</v>
      </c>
      <c r="AE119" s="107"/>
      <c r="AF119" s="113"/>
      <c r="AG119" s="115">
        <v>45896.696064814816</v>
      </c>
      <c r="AH119" s="108" t="s">
        <v>94</v>
      </c>
      <c r="AI119" s="108" t="s">
        <v>95</v>
      </c>
      <c r="AJ119" s="114">
        <v>45947.395833333336</v>
      </c>
      <c r="AK119" s="108" t="s">
        <v>96</v>
      </c>
      <c r="AL119" s="115">
        <v>45889.42328703704</v>
      </c>
      <c r="AM119" s="116"/>
      <c r="AN119" s="116"/>
      <c r="AO119" s="116" t="e">
        <v>#N/A</v>
      </c>
      <c r="AP119" s="108"/>
      <c r="AQ119" s="107"/>
      <c r="AR119" s="107"/>
      <c r="AS119" s="116"/>
      <c r="AT119" s="114"/>
      <c r="AU119" s="114"/>
      <c r="AV119" s="108"/>
      <c r="AW119" s="108"/>
      <c r="AX119" s="108" t="s">
        <v>97</v>
      </c>
      <c r="AY119" s="108" t="s">
        <v>98</v>
      </c>
      <c r="AZ119" s="108"/>
      <c r="BA119" s="108"/>
      <c r="BB119" s="108"/>
      <c r="BC119" s="108"/>
      <c r="BD119" s="111"/>
      <c r="BE119" s="111"/>
      <c r="BF119" s="111"/>
      <c r="BG119" s="111"/>
      <c r="BH119" s="111"/>
      <c r="BI119" s="111"/>
      <c r="BJ119" s="111"/>
      <c r="BK119" s="111"/>
      <c r="BL119" s="111"/>
      <c r="BM119" s="117" t="e">
        <v>#N/A</v>
      </c>
      <c r="BN119" s="111"/>
      <c r="BO119" s="117"/>
      <c r="BP119" s="117"/>
      <c r="BQ119" s="117"/>
      <c r="BR119" s="111"/>
      <c r="BS119" s="118"/>
      <c r="BT119" s="111"/>
      <c r="BU119" s="118"/>
      <c r="BV119" s="111"/>
      <c r="BW119" s="111"/>
      <c r="BX119" s="111"/>
      <c r="BY119" s="111"/>
      <c r="BZ119" s="111"/>
      <c r="CA119" s="111"/>
      <c r="CB119" s="119"/>
      <c r="CC119" s="117"/>
      <c r="CD119" s="120" t="e">
        <v>#N/A</v>
      </c>
      <c r="CE119" s="120" t="e">
        <v>#N/A</v>
      </c>
      <c r="CF119" s="120" t="e">
        <v>#N/A</v>
      </c>
      <c r="CG119" s="111"/>
      <c r="CH119" s="120" t="e">
        <v>#N/A</v>
      </c>
      <c r="CI119" s="120" t="e">
        <v>#N/A</v>
      </c>
      <c r="CJ119" s="111"/>
    </row>
    <row r="120" spans="1:88" ht="57.95" hidden="1">
      <c r="A120" s="106" t="s">
        <v>316</v>
      </c>
      <c r="B120" s="107">
        <v>180</v>
      </c>
      <c r="C120" s="49" t="e">
        <v>#N/A</v>
      </c>
      <c r="D120" s="107"/>
      <c r="E120" s="108"/>
      <c r="F120" s="108" t="s">
        <v>127</v>
      </c>
      <c r="G120" s="121"/>
      <c r="H120" s="151">
        <v>17633915</v>
      </c>
      <c r="I120" s="127">
        <f>Tracker6[[#This Row],[DCR ID - PTC]]</f>
        <v>17633915</v>
      </c>
      <c r="J120" s="108" t="s">
        <v>364</v>
      </c>
      <c r="K120" s="108"/>
      <c r="L120" s="108" t="s">
        <v>252</v>
      </c>
      <c r="M120" s="108"/>
      <c r="N120" s="108"/>
      <c r="O120" s="111"/>
      <c r="P120" s="111"/>
      <c r="Q120" s="111"/>
      <c r="R120" s="111"/>
      <c r="S120" s="111"/>
      <c r="T120" s="111"/>
      <c r="U120" s="108"/>
      <c r="V120" s="108"/>
      <c r="W120" s="108"/>
      <c r="X120" s="108"/>
      <c r="Y120" s="108"/>
      <c r="Z120" s="108"/>
      <c r="AA120" s="108" t="s">
        <v>253</v>
      </c>
      <c r="AB120" s="112">
        <v>46052</v>
      </c>
      <c r="AC120" s="108" t="s">
        <v>252</v>
      </c>
      <c r="AD120" s="108" t="s">
        <v>93</v>
      </c>
      <c r="AE120" s="107"/>
      <c r="AF120" s="113"/>
      <c r="AG120" s="115">
        <v>45975.915949074071</v>
      </c>
      <c r="AH120" s="108" t="s">
        <v>254</v>
      </c>
      <c r="AI120" s="108" t="s">
        <v>95</v>
      </c>
      <c r="AJ120" s="114">
        <v>46052.4375</v>
      </c>
      <c r="AK120" s="108" t="s">
        <v>96</v>
      </c>
      <c r="AL120" s="115">
        <v>45937.471724537034</v>
      </c>
      <c r="AM120" s="116"/>
      <c r="AN120" s="116"/>
      <c r="AO120" s="116" t="e">
        <v>#N/A</v>
      </c>
      <c r="AP120" s="108"/>
      <c r="AQ120" s="107"/>
      <c r="AR120" s="107"/>
      <c r="AS120" s="116"/>
      <c r="AT120" s="114"/>
      <c r="AU120" s="114"/>
      <c r="AV120" s="108"/>
      <c r="AW120" s="108"/>
      <c r="AX120" s="108" t="s">
        <v>97</v>
      </c>
      <c r="AY120" s="108" t="s">
        <v>98</v>
      </c>
      <c r="AZ120" s="108"/>
      <c r="BA120" s="108"/>
      <c r="BB120" s="108"/>
      <c r="BC120" s="108"/>
      <c r="BD120" s="111"/>
      <c r="BE120" s="111"/>
      <c r="BF120" s="111"/>
      <c r="BG120" s="111"/>
      <c r="BH120" s="111"/>
      <c r="BI120" s="111"/>
      <c r="BJ120" s="111"/>
      <c r="BK120" s="111"/>
      <c r="BL120" s="111"/>
      <c r="BM120" s="117" t="e">
        <v>#N/A</v>
      </c>
      <c r="BN120" s="111"/>
      <c r="BO120" s="117"/>
      <c r="BP120" s="117"/>
      <c r="BQ120" s="117"/>
      <c r="BR120" s="111"/>
      <c r="BS120" s="118"/>
      <c r="BT120" s="111"/>
      <c r="BU120" s="118"/>
      <c r="BV120" s="111"/>
      <c r="BW120" s="111"/>
      <c r="BX120" s="111"/>
      <c r="BY120" s="111"/>
      <c r="BZ120" s="111"/>
      <c r="CA120" s="111"/>
      <c r="CB120" s="119"/>
      <c r="CC120" s="117"/>
      <c r="CD120" s="120" t="e">
        <v>#N/A</v>
      </c>
      <c r="CE120" s="120" t="e">
        <v>#N/A</v>
      </c>
      <c r="CF120" s="120" t="e">
        <v>#N/A</v>
      </c>
      <c r="CG120" s="111"/>
      <c r="CH120" s="120" t="e">
        <v>#N/A</v>
      </c>
      <c r="CI120" s="120" t="e">
        <v>#N/A</v>
      </c>
      <c r="CJ120" s="111"/>
    </row>
    <row r="121" spans="1:88" ht="409.5" hidden="1">
      <c r="A121" s="106" t="s">
        <v>365</v>
      </c>
      <c r="B121" s="107">
        <f>7+4+3+7+7+7+2+3+1+1+3+3+4+6+3+(2)+7+0.5+3.5</f>
        <v>74</v>
      </c>
      <c r="C121" s="49">
        <v>21</v>
      </c>
      <c r="D121" s="107">
        <f t="shared" ref="D121:D128" si="0">C121-B121</f>
        <v>-53</v>
      </c>
      <c r="E121" s="108"/>
      <c r="F121" s="108"/>
      <c r="G121" s="121"/>
      <c r="H121" s="109">
        <v>18638023</v>
      </c>
      <c r="I121" s="127">
        <v>18638023</v>
      </c>
      <c r="J121" s="108" t="s">
        <v>366</v>
      </c>
      <c r="K121" s="108" t="s">
        <v>118</v>
      </c>
      <c r="L121" s="108"/>
      <c r="M121" s="108"/>
      <c r="N121" s="110" t="s">
        <v>367</v>
      </c>
      <c r="O121" s="111" t="s">
        <v>115</v>
      </c>
      <c r="P121" s="111"/>
      <c r="Q121" s="111"/>
      <c r="R121" s="111"/>
      <c r="S121" s="111"/>
      <c r="T121" s="111"/>
      <c r="U121" s="108"/>
      <c r="V121" s="108"/>
      <c r="W121" s="108"/>
      <c r="X121" s="108"/>
      <c r="Y121" s="108"/>
      <c r="Z121" s="108"/>
      <c r="AA121" s="108"/>
      <c r="AB121" s="112"/>
      <c r="AC121" s="108"/>
      <c r="AD121" s="108"/>
      <c r="AE121" s="107"/>
      <c r="AF121" s="113"/>
      <c r="AG121" s="115"/>
      <c r="AH121" s="108"/>
      <c r="AI121" s="108"/>
      <c r="AJ121" s="114"/>
      <c r="AK121" s="108"/>
      <c r="AL121" s="115"/>
      <c r="AM121" s="116"/>
      <c r="AN121" s="116"/>
      <c r="AO121" s="116">
        <v>46115</v>
      </c>
      <c r="AP121" s="108"/>
      <c r="AQ121" s="107"/>
      <c r="AR121" s="107"/>
      <c r="AS121" s="116"/>
      <c r="AT121" s="114"/>
      <c r="AU121" s="114"/>
      <c r="AV121" s="108"/>
      <c r="AW121" s="108"/>
      <c r="AX121" s="108" t="s">
        <v>97</v>
      </c>
      <c r="AY121" s="108" t="s">
        <v>98</v>
      </c>
      <c r="AZ121" s="108"/>
      <c r="BA121" s="108"/>
      <c r="BB121" s="108"/>
      <c r="BC121" s="108"/>
      <c r="BD121" s="111"/>
      <c r="BE121" s="111"/>
      <c r="BF121" s="111"/>
      <c r="BG121" s="111"/>
      <c r="BH121" s="111"/>
      <c r="BI121" s="111"/>
      <c r="BJ121" s="111"/>
      <c r="BK121" s="111"/>
      <c r="BL121" s="111"/>
      <c r="BM121" s="117" t="s">
        <v>368</v>
      </c>
      <c r="BN121" s="111"/>
      <c r="BO121" s="117"/>
      <c r="BP121" s="117"/>
      <c r="BQ121" s="117"/>
      <c r="BR121" s="111"/>
      <c r="BS121" s="118"/>
      <c r="BT121" s="111"/>
      <c r="BU121" s="118"/>
      <c r="BV121" s="111"/>
      <c r="BW121" s="111"/>
      <c r="BX121" s="111"/>
      <c r="BY121" s="111"/>
      <c r="BZ121" s="111"/>
      <c r="CA121" s="111"/>
      <c r="CB121" s="119">
        <v>0.96499999999999997</v>
      </c>
      <c r="CC121" s="117"/>
      <c r="CD121" s="120">
        <v>46083</v>
      </c>
      <c r="CE121" s="120" t="s">
        <v>369</v>
      </c>
      <c r="CF121" s="120">
        <v>46090</v>
      </c>
      <c r="CG121" s="111"/>
      <c r="CH121" s="120" t="s">
        <v>265</v>
      </c>
      <c r="CI121" s="120" t="s">
        <v>125</v>
      </c>
      <c r="CJ121" s="111"/>
    </row>
    <row r="122" spans="1:88" ht="409.5" hidden="1">
      <c r="A122" s="106" t="s">
        <v>365</v>
      </c>
      <c r="B122" s="107">
        <f>7+3+4+7+6+(5+3)+3.5+5+2.5+4+3.5+2+4+8+1+7+2.5+6+4.5+2.5+0.5</f>
        <v>91.5</v>
      </c>
      <c r="C122" s="49">
        <v>45</v>
      </c>
      <c r="D122" s="107">
        <f t="shared" si="0"/>
        <v>-46.5</v>
      </c>
      <c r="E122" s="108"/>
      <c r="F122" s="108"/>
      <c r="G122" s="121"/>
      <c r="H122" s="109">
        <v>18638024</v>
      </c>
      <c r="I122" s="127">
        <v>18638024</v>
      </c>
      <c r="J122" s="108" t="s">
        <v>370</v>
      </c>
      <c r="K122" s="108" t="s">
        <v>118</v>
      </c>
      <c r="L122" s="108"/>
      <c r="M122" s="108"/>
      <c r="N122" s="110" t="s">
        <v>371</v>
      </c>
      <c r="O122" s="111" t="s">
        <v>115</v>
      </c>
      <c r="P122" s="111" t="s">
        <v>365</v>
      </c>
      <c r="Q122" s="117">
        <f>7</f>
        <v>7</v>
      </c>
      <c r="R122" s="117"/>
      <c r="S122" s="117"/>
      <c r="T122" s="111"/>
      <c r="U122" s="108"/>
      <c r="V122" s="108"/>
      <c r="W122" s="107">
        <v>18638023</v>
      </c>
      <c r="X122" s="107">
        <v>18638023</v>
      </c>
      <c r="Y122" s="108" t="s">
        <v>366</v>
      </c>
      <c r="Z122" s="108" t="s">
        <v>118</v>
      </c>
      <c r="AA122" s="108"/>
      <c r="AB122" s="112"/>
      <c r="AC122" s="108" t="s">
        <v>372</v>
      </c>
      <c r="AD122" s="108" t="s">
        <v>115</v>
      </c>
      <c r="AE122" s="107" t="s">
        <v>365</v>
      </c>
      <c r="AF122" s="113">
        <f>7</f>
        <v>7</v>
      </c>
      <c r="AG122" s="115"/>
      <c r="AH122" s="107"/>
      <c r="AI122" s="108"/>
      <c r="AJ122" s="114"/>
      <c r="AK122" s="108"/>
      <c r="AL122" s="115">
        <v>18638023</v>
      </c>
      <c r="AM122" s="116">
        <v>18638023</v>
      </c>
      <c r="AN122" s="116" t="s">
        <v>366</v>
      </c>
      <c r="AO122" s="116">
        <v>46115</v>
      </c>
      <c r="AP122" s="108"/>
      <c r="AQ122" s="107"/>
      <c r="AR122" s="107" t="s">
        <v>372</v>
      </c>
      <c r="AS122" s="116" t="s">
        <v>115</v>
      </c>
      <c r="AT122" s="114" t="s">
        <v>365</v>
      </c>
      <c r="AU122" s="114"/>
      <c r="AV122" s="107"/>
      <c r="AW122" s="107"/>
      <c r="AX122" s="108" t="s">
        <v>97</v>
      </c>
      <c r="AY122" s="108" t="s">
        <v>98</v>
      </c>
      <c r="AZ122" s="108"/>
      <c r="BA122" s="107">
        <v>18638023</v>
      </c>
      <c r="BB122" s="107">
        <v>18638023</v>
      </c>
      <c r="BC122" s="108" t="s">
        <v>366</v>
      </c>
      <c r="BD122" s="111" t="s">
        <v>118</v>
      </c>
      <c r="BE122" s="111"/>
      <c r="BF122" s="111"/>
      <c r="BG122" s="111" t="s">
        <v>372</v>
      </c>
      <c r="BH122" s="111" t="s">
        <v>115</v>
      </c>
      <c r="BI122" s="111" t="s">
        <v>365</v>
      </c>
      <c r="BJ122" s="117">
        <f>7</f>
        <v>7</v>
      </c>
      <c r="BK122" s="117"/>
      <c r="BL122" s="117"/>
      <c r="BM122" s="117" t="s">
        <v>368</v>
      </c>
      <c r="BN122" s="111"/>
      <c r="BO122" s="111"/>
      <c r="BP122" s="117">
        <v>18638023</v>
      </c>
      <c r="BQ122" s="117">
        <v>18638023</v>
      </c>
      <c r="BR122" s="111" t="s">
        <v>366</v>
      </c>
      <c r="BS122" s="111" t="s">
        <v>118</v>
      </c>
      <c r="BT122" s="111"/>
      <c r="BU122" s="111"/>
      <c r="BV122" s="111" t="s">
        <v>372</v>
      </c>
      <c r="BW122" s="111" t="s">
        <v>115</v>
      </c>
      <c r="BX122" s="111" t="s">
        <v>365</v>
      </c>
      <c r="BY122" s="117">
        <f>7</f>
        <v>7</v>
      </c>
      <c r="BZ122" s="117"/>
      <c r="CA122" s="117"/>
      <c r="CB122" s="119">
        <v>0.96499999999999997</v>
      </c>
      <c r="CC122" s="117"/>
      <c r="CD122" s="120">
        <v>46083</v>
      </c>
      <c r="CE122" s="120">
        <v>46086</v>
      </c>
      <c r="CF122" s="120">
        <v>46090</v>
      </c>
      <c r="CG122" s="111" t="s">
        <v>366</v>
      </c>
      <c r="CH122" s="120" t="s">
        <v>265</v>
      </c>
      <c r="CI122" s="120" t="s">
        <v>125</v>
      </c>
      <c r="CJ122" s="111" t="s">
        <v>115</v>
      </c>
    </row>
    <row r="123" spans="1:88" ht="116.1" hidden="1">
      <c r="A123" s="252" t="s">
        <v>365</v>
      </c>
      <c r="B123" s="107">
        <f>3.5+4+6+1</f>
        <v>14.5</v>
      </c>
      <c r="C123" s="49">
        <v>30</v>
      </c>
      <c r="D123" s="107">
        <f t="shared" si="0"/>
        <v>15.5</v>
      </c>
      <c r="E123" s="108"/>
      <c r="F123" s="108"/>
      <c r="G123" s="121"/>
      <c r="H123" s="109">
        <v>18490976</v>
      </c>
      <c r="I123" s="127">
        <v>18490976</v>
      </c>
      <c r="J123" s="335" t="s">
        <v>373</v>
      </c>
      <c r="K123" s="108" t="s">
        <v>118</v>
      </c>
      <c r="L123" s="108"/>
      <c r="M123" s="108"/>
      <c r="N123" s="108" t="s">
        <v>374</v>
      </c>
      <c r="O123" s="282" t="s">
        <v>115</v>
      </c>
      <c r="P123" s="111"/>
      <c r="Q123" s="111"/>
      <c r="R123" s="111"/>
      <c r="S123" s="111"/>
      <c r="T123" s="111"/>
      <c r="U123" s="108"/>
      <c r="V123" s="108"/>
      <c r="W123" s="108"/>
      <c r="X123" s="108"/>
      <c r="Y123" s="108"/>
      <c r="Z123" s="108"/>
      <c r="AA123" s="108"/>
      <c r="AB123" s="112"/>
      <c r="AC123" s="108"/>
      <c r="AD123" s="108"/>
      <c r="AE123" s="107"/>
      <c r="AF123" s="113"/>
      <c r="AG123" s="115"/>
      <c r="AH123" s="108"/>
      <c r="AI123" s="108"/>
      <c r="AJ123" s="114"/>
      <c r="AK123" s="108"/>
      <c r="AL123" s="115"/>
      <c r="AM123" s="116"/>
      <c r="AN123" s="116"/>
      <c r="AO123" s="116">
        <v>46128</v>
      </c>
      <c r="AP123" s="108"/>
      <c r="AQ123" s="107"/>
      <c r="AR123" s="107"/>
      <c r="AS123" s="116"/>
      <c r="AT123" s="114"/>
      <c r="AU123" s="114"/>
      <c r="AV123" s="108"/>
      <c r="AW123" s="108"/>
      <c r="AX123" s="108" t="s">
        <v>97</v>
      </c>
      <c r="AY123" s="108" t="s">
        <v>98</v>
      </c>
      <c r="AZ123" s="108"/>
      <c r="BA123" s="108"/>
      <c r="BB123" s="108"/>
      <c r="BC123" s="108"/>
      <c r="BD123" s="111"/>
      <c r="BE123" s="111"/>
      <c r="BF123" s="111"/>
      <c r="BG123" s="111"/>
      <c r="BH123" s="111"/>
      <c r="BI123" s="111"/>
      <c r="BJ123" s="111"/>
      <c r="BK123" s="111"/>
      <c r="BL123" s="111"/>
      <c r="BM123" s="117" t="s">
        <v>375</v>
      </c>
      <c r="BN123" s="111"/>
      <c r="BO123" s="117"/>
      <c r="BP123" s="117"/>
      <c r="BQ123" s="117"/>
      <c r="BR123" s="111"/>
      <c r="BS123" s="118"/>
      <c r="BT123" s="111"/>
      <c r="BU123" s="118"/>
      <c r="BV123" s="111"/>
      <c r="BW123" s="111"/>
      <c r="BX123" s="111"/>
      <c r="BY123" s="111"/>
      <c r="BZ123" s="111"/>
      <c r="CA123" s="111"/>
      <c r="CB123" s="119">
        <v>0.4</v>
      </c>
      <c r="CC123" s="117"/>
      <c r="CD123" s="120">
        <v>46104</v>
      </c>
      <c r="CE123" s="120">
        <v>46106</v>
      </c>
      <c r="CF123" s="120">
        <v>46108</v>
      </c>
      <c r="CG123" s="111"/>
      <c r="CH123" s="120" t="s">
        <v>265</v>
      </c>
      <c r="CI123" s="120" t="s">
        <v>125</v>
      </c>
      <c r="CJ123" s="111"/>
    </row>
    <row r="124" spans="1:88" ht="130.5" hidden="1">
      <c r="A124" s="252" t="s">
        <v>365</v>
      </c>
      <c r="B124" s="107">
        <f>1.5+4+2</f>
        <v>7.5</v>
      </c>
      <c r="C124" s="49">
        <v>70</v>
      </c>
      <c r="D124" s="107">
        <f t="shared" si="0"/>
        <v>62.5</v>
      </c>
      <c r="E124" s="108"/>
      <c r="F124" s="108"/>
      <c r="G124" s="121"/>
      <c r="H124" s="109">
        <v>18387962</v>
      </c>
      <c r="I124" s="127">
        <v>18387962</v>
      </c>
      <c r="J124" s="335" t="s">
        <v>376</v>
      </c>
      <c r="K124" s="108" t="s">
        <v>118</v>
      </c>
      <c r="L124" s="108"/>
      <c r="M124" s="108"/>
      <c r="N124" s="108" t="s">
        <v>377</v>
      </c>
      <c r="O124" s="111" t="s">
        <v>115</v>
      </c>
      <c r="P124" s="111"/>
      <c r="Q124" s="111"/>
      <c r="R124" s="111"/>
      <c r="S124" s="111"/>
      <c r="T124" s="111"/>
      <c r="U124" s="108"/>
      <c r="V124" s="108"/>
      <c r="W124" s="108"/>
      <c r="X124" s="108"/>
      <c r="Y124" s="108"/>
      <c r="Z124" s="108"/>
      <c r="AA124" s="108"/>
      <c r="AB124" s="112"/>
      <c r="AC124" s="108"/>
      <c r="AD124" s="108"/>
      <c r="AE124" s="107"/>
      <c r="AF124" s="113"/>
      <c r="AG124" s="115"/>
      <c r="AH124" s="108"/>
      <c r="AI124" s="108"/>
      <c r="AJ124" s="114"/>
      <c r="AK124" s="108"/>
      <c r="AL124" s="115"/>
      <c r="AM124" s="116"/>
      <c r="AN124" s="116"/>
      <c r="AO124" s="116">
        <v>46128</v>
      </c>
      <c r="AP124" s="108"/>
      <c r="AQ124" s="107"/>
      <c r="AR124" s="107"/>
      <c r="AS124" s="116"/>
      <c r="AT124" s="114"/>
      <c r="AU124" s="114"/>
      <c r="AV124" s="108"/>
      <c r="AW124" s="108"/>
      <c r="AX124" s="108" t="s">
        <v>97</v>
      </c>
      <c r="AY124" s="108" t="s">
        <v>98</v>
      </c>
      <c r="AZ124" s="108"/>
      <c r="BA124" s="108"/>
      <c r="BB124" s="108"/>
      <c r="BC124" s="108"/>
      <c r="BD124" s="111"/>
      <c r="BE124" s="111"/>
      <c r="BF124" s="111"/>
      <c r="BG124" s="111"/>
      <c r="BH124" s="111"/>
      <c r="BI124" s="111"/>
      <c r="BJ124" s="111"/>
      <c r="BK124" s="111"/>
      <c r="BL124" s="111"/>
      <c r="BM124" s="117" t="s">
        <v>375</v>
      </c>
      <c r="BN124" s="111"/>
      <c r="BO124" s="117"/>
      <c r="BP124" s="117"/>
      <c r="BQ124" s="117"/>
      <c r="BR124" s="111"/>
      <c r="BS124" s="118"/>
      <c r="BT124" s="111"/>
      <c r="BU124" s="118"/>
      <c r="BV124" s="111"/>
      <c r="BW124" s="111"/>
      <c r="BX124" s="111"/>
      <c r="BY124" s="111"/>
      <c r="BZ124" s="111"/>
      <c r="CA124" s="111"/>
      <c r="CB124" s="119">
        <v>0.01</v>
      </c>
      <c r="CC124" s="117"/>
      <c r="CD124" s="120">
        <v>46104</v>
      </c>
      <c r="CE124" s="120">
        <v>46106</v>
      </c>
      <c r="CF124" s="120">
        <v>46108</v>
      </c>
      <c r="CG124" s="111"/>
      <c r="CH124" s="120" t="s">
        <v>265</v>
      </c>
      <c r="CI124" s="120" t="s">
        <v>125</v>
      </c>
      <c r="CJ124" s="111"/>
    </row>
    <row r="125" spans="1:88" ht="159.6" hidden="1">
      <c r="A125" s="252" t="s">
        <v>365</v>
      </c>
      <c r="B125" s="107">
        <f>7.5+3+2+2.5+4.5+4+3+5.5</f>
        <v>32</v>
      </c>
      <c r="C125" s="49">
        <v>45</v>
      </c>
      <c r="D125" s="107">
        <f t="shared" si="0"/>
        <v>13</v>
      </c>
      <c r="E125" s="108"/>
      <c r="F125" s="108"/>
      <c r="G125" s="121"/>
      <c r="H125" s="109">
        <v>18644518</v>
      </c>
      <c r="I125" s="127">
        <v>18644518</v>
      </c>
      <c r="J125" s="107" t="s">
        <v>378</v>
      </c>
      <c r="K125" s="108" t="s">
        <v>118</v>
      </c>
      <c r="L125" s="108"/>
      <c r="M125" s="108"/>
      <c r="N125" s="108" t="s">
        <v>379</v>
      </c>
      <c r="O125" s="111" t="s">
        <v>115</v>
      </c>
      <c r="P125" s="111"/>
      <c r="Q125" s="111"/>
      <c r="R125" s="111"/>
      <c r="S125" s="111"/>
      <c r="T125" s="111"/>
      <c r="U125" s="108"/>
      <c r="V125" s="108"/>
      <c r="W125" s="108"/>
      <c r="X125" s="108"/>
      <c r="Y125" s="108"/>
      <c r="Z125" s="108"/>
      <c r="AA125" s="108"/>
      <c r="AB125" s="112"/>
      <c r="AC125" s="108"/>
      <c r="AD125" s="108"/>
      <c r="AE125" s="107"/>
      <c r="AF125" s="113"/>
      <c r="AG125" s="115"/>
      <c r="AH125" s="108"/>
      <c r="AI125" s="108"/>
      <c r="AJ125" s="114"/>
      <c r="AK125" s="108"/>
      <c r="AL125" s="115"/>
      <c r="AM125" s="116"/>
      <c r="AN125" s="116"/>
      <c r="AO125" s="338" t="s">
        <v>380</v>
      </c>
      <c r="AP125" s="108"/>
      <c r="AQ125" s="107"/>
      <c r="AR125" s="107"/>
      <c r="AS125" s="116"/>
      <c r="AT125" s="114"/>
      <c r="AU125" s="114"/>
      <c r="AV125" s="108"/>
      <c r="AW125" s="108"/>
      <c r="AX125" s="108" t="s">
        <v>97</v>
      </c>
      <c r="AY125" s="108" t="s">
        <v>98</v>
      </c>
      <c r="AZ125" s="108"/>
      <c r="BA125" s="108"/>
      <c r="BB125" s="108"/>
      <c r="BC125" s="108"/>
      <c r="BD125" s="111"/>
      <c r="BE125" s="111"/>
      <c r="BF125" s="111"/>
      <c r="BG125" s="111"/>
      <c r="BH125" s="111"/>
      <c r="BI125" s="111"/>
      <c r="BJ125" s="111"/>
      <c r="BK125" s="111"/>
      <c r="BL125" s="111"/>
      <c r="BM125" s="117" t="s">
        <v>381</v>
      </c>
      <c r="BN125" s="111"/>
      <c r="BO125" s="117"/>
      <c r="BP125" s="117"/>
      <c r="BQ125" s="117"/>
      <c r="BR125" s="111"/>
      <c r="BS125" s="118"/>
      <c r="BT125" s="111"/>
      <c r="BU125" s="118"/>
      <c r="BV125" s="111"/>
      <c r="BW125" s="111"/>
      <c r="BX125" s="111"/>
      <c r="BY125" s="111"/>
      <c r="BZ125" s="111"/>
      <c r="CA125" s="111"/>
      <c r="CB125" s="119">
        <v>0.15</v>
      </c>
      <c r="CC125" s="117"/>
      <c r="CD125" s="120">
        <v>46115</v>
      </c>
      <c r="CE125" s="120">
        <v>46119</v>
      </c>
      <c r="CF125" s="120">
        <v>46121</v>
      </c>
      <c r="CG125" s="111"/>
      <c r="CH125" s="120" t="s">
        <v>265</v>
      </c>
      <c r="CI125" s="120" t="s">
        <v>125</v>
      </c>
      <c r="CJ125" s="111"/>
    </row>
    <row r="126" spans="1:88" ht="261" hidden="1">
      <c r="A126" s="252" t="s">
        <v>365</v>
      </c>
      <c r="B126" s="107">
        <f>4+2.5+4.5+3+1.5+1</f>
        <v>16.5</v>
      </c>
      <c r="C126" s="49">
        <v>21</v>
      </c>
      <c r="D126" s="107">
        <f t="shared" si="0"/>
        <v>4.5</v>
      </c>
      <c r="E126" s="108"/>
      <c r="F126" s="108"/>
      <c r="G126" s="121"/>
      <c r="H126" s="109">
        <v>18644009</v>
      </c>
      <c r="I126" s="127">
        <v>18644009</v>
      </c>
      <c r="J126" s="107" t="s">
        <v>382</v>
      </c>
      <c r="K126" s="108" t="s">
        <v>118</v>
      </c>
      <c r="L126" s="108"/>
      <c r="M126" s="108"/>
      <c r="N126" s="108" t="s">
        <v>383</v>
      </c>
      <c r="O126" s="111" t="s">
        <v>115</v>
      </c>
      <c r="P126" s="111"/>
      <c r="Q126" s="111"/>
      <c r="R126" s="111"/>
      <c r="S126" s="111"/>
      <c r="T126" s="111"/>
      <c r="U126" s="108"/>
      <c r="V126" s="108"/>
      <c r="W126" s="108"/>
      <c r="X126" s="108"/>
      <c r="Y126" s="108"/>
      <c r="Z126" s="108"/>
      <c r="AA126" s="108"/>
      <c r="AB126" s="112"/>
      <c r="AC126" s="108"/>
      <c r="AD126" s="108"/>
      <c r="AE126" s="107"/>
      <c r="AF126" s="113"/>
      <c r="AG126" s="115"/>
      <c r="AH126" s="108"/>
      <c r="AI126" s="108"/>
      <c r="AJ126" s="114"/>
      <c r="AK126" s="108"/>
      <c r="AL126" s="115"/>
      <c r="AM126" s="116"/>
      <c r="AN126" s="116"/>
      <c r="AO126" s="338" t="s">
        <v>380</v>
      </c>
      <c r="AP126" s="108"/>
      <c r="AQ126" s="107"/>
      <c r="AR126" s="107"/>
      <c r="AS126" s="116"/>
      <c r="AT126" s="114"/>
      <c r="AU126" s="114"/>
      <c r="AV126" s="108"/>
      <c r="AW126" s="108"/>
      <c r="AX126" s="108" t="s">
        <v>97</v>
      </c>
      <c r="AY126" s="108" t="s">
        <v>98</v>
      </c>
      <c r="AZ126" s="108"/>
      <c r="BA126" s="108"/>
      <c r="BB126" s="108"/>
      <c r="BC126" s="108"/>
      <c r="BD126" s="111"/>
      <c r="BE126" s="111"/>
      <c r="BF126" s="111"/>
      <c r="BG126" s="111"/>
      <c r="BH126" s="111"/>
      <c r="BI126" s="111"/>
      <c r="BJ126" s="111"/>
      <c r="BK126" s="111"/>
      <c r="BL126" s="111"/>
      <c r="BM126" s="117" t="s">
        <v>381</v>
      </c>
      <c r="BN126" s="111"/>
      <c r="BO126" s="117"/>
      <c r="BP126" s="117"/>
      <c r="BQ126" s="117"/>
      <c r="BR126" s="111"/>
      <c r="BS126" s="118"/>
      <c r="BT126" s="111"/>
      <c r="BU126" s="118"/>
      <c r="BV126" s="111"/>
      <c r="BW126" s="111"/>
      <c r="BX126" s="111"/>
      <c r="BY126" s="111"/>
      <c r="BZ126" s="111"/>
      <c r="CA126" s="111"/>
      <c r="CB126" s="119">
        <v>0.4</v>
      </c>
      <c r="CC126" s="117"/>
      <c r="CD126" s="120">
        <v>46115</v>
      </c>
      <c r="CE126" s="120">
        <v>46119</v>
      </c>
      <c r="CF126" s="120">
        <v>46121</v>
      </c>
      <c r="CG126" s="111"/>
      <c r="CH126" s="120" t="s">
        <v>265</v>
      </c>
      <c r="CI126" s="120" t="s">
        <v>125</v>
      </c>
      <c r="CJ126" s="111"/>
    </row>
    <row r="127" spans="1:88" ht="130.5" hidden="1">
      <c r="A127" s="252" t="s">
        <v>365</v>
      </c>
      <c r="B127" s="107"/>
      <c r="C127" s="49">
        <v>30</v>
      </c>
      <c r="D127" s="107">
        <f t="shared" si="0"/>
        <v>30</v>
      </c>
      <c r="E127" s="108"/>
      <c r="F127" s="108"/>
      <c r="G127" s="121"/>
      <c r="H127" s="109">
        <v>18404253</v>
      </c>
      <c r="I127" s="127">
        <v>18404253</v>
      </c>
      <c r="J127" s="107" t="s">
        <v>384</v>
      </c>
      <c r="K127" s="108" t="s">
        <v>118</v>
      </c>
      <c r="L127" s="108"/>
      <c r="M127" s="108"/>
      <c r="N127" s="146"/>
      <c r="O127" s="111" t="s">
        <v>122</v>
      </c>
      <c r="P127" s="111"/>
      <c r="Q127" s="111"/>
      <c r="R127" s="111"/>
      <c r="S127" s="111"/>
      <c r="T127" s="111"/>
      <c r="U127" s="108"/>
      <c r="V127" s="108"/>
      <c r="W127" s="108"/>
      <c r="X127" s="108"/>
      <c r="Y127" s="108"/>
      <c r="Z127" s="108"/>
      <c r="AA127" s="108"/>
      <c r="AB127" s="112"/>
      <c r="AC127" s="108"/>
      <c r="AD127" s="108"/>
      <c r="AE127" s="107"/>
      <c r="AF127" s="113"/>
      <c r="AG127" s="115"/>
      <c r="AH127" s="108"/>
      <c r="AI127" s="108"/>
      <c r="AJ127" s="114"/>
      <c r="AK127" s="108"/>
      <c r="AL127" s="115"/>
      <c r="AM127" s="116"/>
      <c r="AN127" s="116"/>
      <c r="AO127" s="116">
        <v>46140</v>
      </c>
      <c r="AP127" s="108"/>
      <c r="AQ127" s="107"/>
      <c r="AR127" s="107"/>
      <c r="AS127" s="116"/>
      <c r="AT127" s="114"/>
      <c r="AU127" s="114"/>
      <c r="AV127" s="108"/>
      <c r="AW127" s="108"/>
      <c r="AX127" s="108" t="s">
        <v>97</v>
      </c>
      <c r="AY127" s="108" t="s">
        <v>98</v>
      </c>
      <c r="AZ127" s="108"/>
      <c r="BA127" s="108"/>
      <c r="BB127" s="108"/>
      <c r="BC127" s="108"/>
      <c r="BD127" s="111"/>
      <c r="BE127" s="111"/>
      <c r="BF127" s="111"/>
      <c r="BG127" s="111"/>
      <c r="BH127" s="111"/>
      <c r="BI127" s="111"/>
      <c r="BJ127" s="111"/>
      <c r="BK127" s="111"/>
      <c r="BL127" s="111"/>
      <c r="BM127" s="117" t="s">
        <v>385</v>
      </c>
      <c r="BN127" s="111"/>
      <c r="BO127" s="117"/>
      <c r="BP127" s="117"/>
      <c r="BQ127" s="117"/>
      <c r="BR127" s="111"/>
      <c r="BS127" s="118"/>
      <c r="BT127" s="111"/>
      <c r="BU127" s="118"/>
      <c r="BV127" s="111"/>
      <c r="BW127" s="111"/>
      <c r="BX127" s="111"/>
      <c r="BY127" s="111"/>
      <c r="BZ127" s="111"/>
      <c r="CA127" s="111"/>
      <c r="CB127" s="119">
        <v>0</v>
      </c>
      <c r="CC127" s="117"/>
      <c r="CD127" s="120">
        <v>46129</v>
      </c>
      <c r="CE127" s="120">
        <v>46133</v>
      </c>
      <c r="CF127" s="120">
        <v>46135</v>
      </c>
      <c r="CG127" s="111"/>
      <c r="CH127" s="120" t="s">
        <v>313</v>
      </c>
      <c r="CI127" s="120" t="s">
        <v>125</v>
      </c>
      <c r="CJ127" s="111"/>
    </row>
    <row r="128" spans="1:88" ht="116.1" hidden="1">
      <c r="A128" s="252" t="s">
        <v>365</v>
      </c>
      <c r="B128" s="107"/>
      <c r="C128" s="49">
        <v>37</v>
      </c>
      <c r="D128" s="107">
        <f t="shared" si="0"/>
        <v>37</v>
      </c>
      <c r="E128" s="108"/>
      <c r="F128" s="108"/>
      <c r="G128" s="121"/>
      <c r="H128" s="109">
        <v>18404194</v>
      </c>
      <c r="I128" s="127">
        <v>18404194</v>
      </c>
      <c r="J128" s="107" t="s">
        <v>386</v>
      </c>
      <c r="K128" s="108" t="s">
        <v>118</v>
      </c>
      <c r="L128" s="108"/>
      <c r="M128" s="108"/>
      <c r="N128" s="146"/>
      <c r="O128" s="111" t="s">
        <v>122</v>
      </c>
      <c r="P128" s="111"/>
      <c r="Q128" s="111"/>
      <c r="R128" s="111"/>
      <c r="S128" s="111"/>
      <c r="T128" s="111"/>
      <c r="U128" s="108"/>
      <c r="V128" s="108"/>
      <c r="W128" s="108"/>
      <c r="X128" s="108"/>
      <c r="Y128" s="108"/>
      <c r="Z128" s="108"/>
      <c r="AA128" s="108"/>
      <c r="AB128" s="112"/>
      <c r="AC128" s="108"/>
      <c r="AD128" s="108"/>
      <c r="AE128" s="107"/>
      <c r="AF128" s="113"/>
      <c r="AG128" s="115"/>
      <c r="AH128" s="108"/>
      <c r="AI128" s="108"/>
      <c r="AJ128" s="114"/>
      <c r="AK128" s="108"/>
      <c r="AL128" s="115"/>
      <c r="AM128" s="116"/>
      <c r="AN128" s="116"/>
      <c r="AO128" s="116">
        <v>46140</v>
      </c>
      <c r="AP128" s="108"/>
      <c r="AQ128" s="107"/>
      <c r="AR128" s="107"/>
      <c r="AS128" s="116"/>
      <c r="AT128" s="114"/>
      <c r="AU128" s="114"/>
      <c r="AV128" s="108"/>
      <c r="AW128" s="108"/>
      <c r="AX128" s="108" t="s">
        <v>97</v>
      </c>
      <c r="AY128" s="108" t="s">
        <v>98</v>
      </c>
      <c r="AZ128" s="108"/>
      <c r="BA128" s="108"/>
      <c r="BB128" s="108"/>
      <c r="BC128" s="108"/>
      <c r="BD128" s="111"/>
      <c r="BE128" s="111"/>
      <c r="BF128" s="111"/>
      <c r="BG128" s="111"/>
      <c r="BH128" s="111"/>
      <c r="BI128" s="111"/>
      <c r="BJ128" s="111"/>
      <c r="BK128" s="111"/>
      <c r="BL128" s="111"/>
      <c r="BM128" s="117" t="s">
        <v>385</v>
      </c>
      <c r="BN128" s="111"/>
      <c r="BO128" s="117"/>
      <c r="BP128" s="117"/>
      <c r="BQ128" s="117"/>
      <c r="BR128" s="111"/>
      <c r="BS128" s="118"/>
      <c r="BT128" s="111"/>
      <c r="BU128" s="118"/>
      <c r="BV128" s="111"/>
      <c r="BW128" s="111"/>
      <c r="BX128" s="111"/>
      <c r="BY128" s="111"/>
      <c r="BZ128" s="111"/>
      <c r="CA128" s="111"/>
      <c r="CB128" s="119">
        <v>0</v>
      </c>
      <c r="CC128" s="117"/>
      <c r="CD128" s="120">
        <v>46129</v>
      </c>
      <c r="CE128" s="120">
        <v>46133</v>
      </c>
      <c r="CF128" s="120">
        <v>46135</v>
      </c>
      <c r="CG128" s="111"/>
      <c r="CH128" s="120" t="s">
        <v>313</v>
      </c>
      <c r="CI128" s="120" t="s">
        <v>125</v>
      </c>
      <c r="CJ128" s="111"/>
    </row>
    <row r="129" spans="1:88" ht="409.5" hidden="1">
      <c r="A129" s="106" t="s">
        <v>183</v>
      </c>
      <c r="B129" s="107">
        <f>(6.5+7+7)+7.5+4+7.5+5+5+6+7.75+(4)+7+4+7+1+3+1+3.5+1</f>
        <v>94.75</v>
      </c>
      <c r="C129" s="49">
        <f>50+20</f>
        <v>70</v>
      </c>
      <c r="D129" s="107">
        <f>Tracker6[[#This Row],[Estimated Hrs]]-Tracker6[[#This Row],[Actual Efforts (Hrs)]]</f>
        <v>-24.75</v>
      </c>
      <c r="E129" s="108"/>
      <c r="F129" s="108"/>
      <c r="G129" s="121"/>
      <c r="H129" s="109">
        <v>18849299</v>
      </c>
      <c r="I129" s="127">
        <v>18849299</v>
      </c>
      <c r="J129" s="108" t="s">
        <v>387</v>
      </c>
      <c r="K129" s="108" t="s">
        <v>104</v>
      </c>
      <c r="L129" s="108"/>
      <c r="M129" s="108"/>
      <c r="N129" s="296" t="s">
        <v>388</v>
      </c>
      <c r="O129" s="111" t="s">
        <v>106</v>
      </c>
      <c r="P129" s="111"/>
      <c r="Q129" s="111"/>
      <c r="R129" s="111"/>
      <c r="S129" s="111"/>
      <c r="T129" s="111"/>
      <c r="U129" s="108"/>
      <c r="V129" s="108"/>
      <c r="W129" s="108"/>
      <c r="X129" s="108"/>
      <c r="Y129" s="108"/>
      <c r="Z129" s="108"/>
      <c r="AA129" s="108"/>
      <c r="AB129" s="112"/>
      <c r="AC129" s="108"/>
      <c r="AD129" s="108"/>
      <c r="AE129" s="107"/>
      <c r="AF129" s="113"/>
      <c r="AG129" s="115"/>
      <c r="AH129" s="108"/>
      <c r="AI129" s="108"/>
      <c r="AJ129" s="114"/>
      <c r="AK129" s="108"/>
      <c r="AL129" s="115"/>
      <c r="AM129" s="116"/>
      <c r="AN129" s="116"/>
      <c r="AO129" s="116">
        <v>46101</v>
      </c>
      <c r="AP129" s="108"/>
      <c r="AQ129" s="107"/>
      <c r="AR129" s="107"/>
      <c r="AS129" s="116"/>
      <c r="AT129" s="114"/>
      <c r="AU129" s="114"/>
      <c r="AV129" s="108"/>
      <c r="AW129" s="108"/>
      <c r="AX129" s="108"/>
      <c r="AY129" s="108"/>
      <c r="AZ129" s="108"/>
      <c r="BA129" s="108"/>
      <c r="BB129" s="108"/>
      <c r="BC129" s="108"/>
      <c r="BD129" s="111"/>
      <c r="BE129" s="111"/>
      <c r="BF129" s="111"/>
      <c r="BG129" s="111"/>
      <c r="BH129" s="111"/>
      <c r="BI129" s="111"/>
      <c r="BJ129" s="111"/>
      <c r="BK129" s="111"/>
      <c r="BL129" s="111"/>
      <c r="BM129" s="117"/>
      <c r="BN129" s="111"/>
      <c r="BO129" s="117"/>
      <c r="BP129" s="117"/>
      <c r="BQ129" s="117"/>
      <c r="BR129" s="111"/>
      <c r="BS129" s="118"/>
      <c r="BT129" s="111"/>
      <c r="BU129" s="118"/>
      <c r="BV129" s="111"/>
      <c r="BW129" s="111"/>
      <c r="BX129" s="111"/>
      <c r="BY129" s="111"/>
      <c r="BZ129" s="111"/>
      <c r="CA129" s="111"/>
      <c r="CB129" s="119">
        <v>0.1</v>
      </c>
      <c r="CC129" s="117"/>
      <c r="CD129" s="120"/>
      <c r="CE129" s="120"/>
      <c r="CF129" s="120"/>
      <c r="CG129" s="111"/>
      <c r="CH129" s="120" t="s">
        <v>182</v>
      </c>
      <c r="CI129" s="120"/>
      <c r="CJ129" s="111"/>
    </row>
    <row r="130" spans="1:88" ht="409.5" hidden="1">
      <c r="A130" s="106" t="s">
        <v>389</v>
      </c>
      <c r="B130" s="107">
        <f>4+7+7+7+7+0.5+5.5+7+3+3+1+2+5+1</f>
        <v>60</v>
      </c>
      <c r="C130" s="49">
        <f>30+20</f>
        <v>50</v>
      </c>
      <c r="D130" s="107">
        <f>Tracker6[[#This Row],[Estimated Hrs]]-Tracker6[[#This Row],[Actual Efforts (Hrs)]]</f>
        <v>-10</v>
      </c>
      <c r="E130" s="108"/>
      <c r="F130" s="108"/>
      <c r="G130" s="121"/>
      <c r="H130" s="151">
        <v>18216449</v>
      </c>
      <c r="I130" s="127">
        <f>Tracker6[[#This Row],[DCR ID - PTC]]</f>
        <v>18216449</v>
      </c>
      <c r="J130" s="108" t="s">
        <v>390</v>
      </c>
      <c r="K130" s="108" t="s">
        <v>104</v>
      </c>
      <c r="L130" s="108"/>
      <c r="M130" s="108"/>
      <c r="N130" s="296" t="s">
        <v>391</v>
      </c>
      <c r="O130" s="111" t="s">
        <v>106</v>
      </c>
      <c r="P130" s="111"/>
      <c r="Q130" s="111"/>
      <c r="R130" s="111"/>
      <c r="S130" s="111"/>
      <c r="T130" s="111"/>
      <c r="U130" s="108"/>
      <c r="V130" s="108"/>
      <c r="W130" s="108"/>
      <c r="X130" s="108"/>
      <c r="Y130" s="108"/>
      <c r="Z130" s="108"/>
      <c r="AA130" s="108"/>
      <c r="AB130" s="112"/>
      <c r="AC130" s="108"/>
      <c r="AD130" s="108" t="s">
        <v>93</v>
      </c>
      <c r="AE130" s="107"/>
      <c r="AF130" s="113"/>
      <c r="AG130" s="115"/>
      <c r="AH130" s="108" t="s">
        <v>109</v>
      </c>
      <c r="AI130" s="108" t="s">
        <v>95</v>
      </c>
      <c r="AJ130" s="114">
        <v>46052.4375</v>
      </c>
      <c r="AK130" s="108" t="s">
        <v>96</v>
      </c>
      <c r="AL130" s="115">
        <v>46008.852303240739</v>
      </c>
      <c r="AM130" s="116"/>
      <c r="AN130" s="116"/>
      <c r="AO130" s="116">
        <v>46083</v>
      </c>
      <c r="AP130" s="108"/>
      <c r="AQ130" s="107"/>
      <c r="AR130" s="107"/>
      <c r="AS130" s="116">
        <v>46093</v>
      </c>
      <c r="AT130" s="114">
        <v>46086</v>
      </c>
      <c r="AU130" s="114">
        <v>46093</v>
      </c>
      <c r="AV130" s="108"/>
      <c r="AW130" s="108"/>
      <c r="AX130" s="108" t="s">
        <v>97</v>
      </c>
      <c r="AY130" s="108" t="s">
        <v>98</v>
      </c>
      <c r="AZ130" s="108"/>
      <c r="BA130" s="108"/>
      <c r="BB130" s="108"/>
      <c r="BC130" s="108"/>
      <c r="BD130" s="111"/>
      <c r="BE130" s="111"/>
      <c r="BF130" s="111"/>
      <c r="BG130" s="111"/>
      <c r="BH130" s="111"/>
      <c r="BI130" s="111"/>
      <c r="BJ130" s="111"/>
      <c r="BK130" s="111"/>
      <c r="BL130" s="111"/>
      <c r="BM130" s="117" t="s">
        <v>392</v>
      </c>
      <c r="BN130" s="111"/>
      <c r="BO130" s="117"/>
      <c r="BP130" s="117"/>
      <c r="BQ130" s="117"/>
      <c r="BR130" s="111"/>
      <c r="BS130" s="118"/>
      <c r="BT130" s="111"/>
      <c r="BU130" s="118"/>
      <c r="BV130" s="111"/>
      <c r="BW130" s="111"/>
      <c r="BX130" s="111"/>
      <c r="BY130" s="111"/>
      <c r="BZ130" s="111"/>
      <c r="CA130" s="111"/>
      <c r="CB130" s="119">
        <v>1</v>
      </c>
      <c r="CC130" s="117"/>
      <c r="CD130" s="120">
        <v>46100</v>
      </c>
      <c r="CE130" s="120">
        <v>46104</v>
      </c>
      <c r="CF130" s="120">
        <v>46105</v>
      </c>
      <c r="CG130" s="111"/>
      <c r="CH130" s="120" t="s">
        <v>112</v>
      </c>
      <c r="CI130" s="120">
        <v>46105</v>
      </c>
      <c r="CJ130" s="111"/>
    </row>
    <row r="131" spans="1:88" ht="261" hidden="1">
      <c r="A131" s="106" t="s">
        <v>389</v>
      </c>
      <c r="B131" s="107">
        <f>6+7.75+(8+8+8+8)</f>
        <v>45.75</v>
      </c>
      <c r="C131" s="49">
        <v>80</v>
      </c>
      <c r="D131" s="107">
        <f>Tracker6[[#This Row],[Estimated Hrs]]-Tracker6[[#This Row],[Actual Efforts (Hrs)]]</f>
        <v>34.25</v>
      </c>
      <c r="E131" s="108"/>
      <c r="F131" s="108"/>
      <c r="G131" s="121"/>
      <c r="H131" s="151">
        <v>17151985</v>
      </c>
      <c r="I131" s="127">
        <f>Tracker6[[#This Row],[DCR ID - PTC]]</f>
        <v>17151985</v>
      </c>
      <c r="J131" s="108" t="s">
        <v>393</v>
      </c>
      <c r="K131" s="108" t="s">
        <v>101</v>
      </c>
      <c r="L131" s="108"/>
      <c r="M131" s="108"/>
      <c r="N131" s="296" t="s">
        <v>394</v>
      </c>
      <c r="O131" s="111" t="s">
        <v>115</v>
      </c>
      <c r="P131" s="111"/>
      <c r="Q131" s="111"/>
      <c r="R131" s="111"/>
      <c r="S131" s="111"/>
      <c r="T131" s="111"/>
      <c r="U131" s="108"/>
      <c r="V131" s="108"/>
      <c r="W131" s="108"/>
      <c r="X131" s="108"/>
      <c r="Y131" s="108"/>
      <c r="Z131" s="108"/>
      <c r="AA131" s="108" t="s">
        <v>107</v>
      </c>
      <c r="AB131" s="112"/>
      <c r="AC131" s="108"/>
      <c r="AD131" s="108" t="s">
        <v>93</v>
      </c>
      <c r="AE131" s="107"/>
      <c r="AF131" s="113"/>
      <c r="AG131" s="115"/>
      <c r="AH131" s="108" t="s">
        <v>350</v>
      </c>
      <c r="AI131" s="108" t="s">
        <v>101</v>
      </c>
      <c r="AJ131" s="114">
        <v>45961</v>
      </c>
      <c r="AK131" s="108" t="s">
        <v>96</v>
      </c>
      <c r="AL131" s="115">
        <v>45868.673518518517</v>
      </c>
      <c r="AM131" s="116"/>
      <c r="AN131" s="116"/>
      <c r="AO131" s="116">
        <v>46105</v>
      </c>
      <c r="AP131" s="108"/>
      <c r="AQ131" s="107"/>
      <c r="AR131" s="107"/>
      <c r="AS131" s="116"/>
      <c r="AT131" s="114"/>
      <c r="AU131" s="114"/>
      <c r="AV131" s="108"/>
      <c r="AW131" s="108"/>
      <c r="AX131" s="108" t="s">
        <v>97</v>
      </c>
      <c r="AY131" s="108" t="s">
        <v>98</v>
      </c>
      <c r="AZ131" s="108"/>
      <c r="BA131" s="108"/>
      <c r="BB131" s="108"/>
      <c r="BC131" s="108"/>
      <c r="BD131" s="111"/>
      <c r="BE131" s="111"/>
      <c r="BF131" s="111"/>
      <c r="BG131" s="111"/>
      <c r="BH131" s="111"/>
      <c r="BI131" s="111"/>
      <c r="BJ131" s="111"/>
      <c r="BK131" s="111"/>
      <c r="BL131" s="111"/>
      <c r="BM131" s="117" t="s">
        <v>395</v>
      </c>
      <c r="BN131" s="111"/>
      <c r="BO131" s="117"/>
      <c r="BP131" s="117"/>
      <c r="BQ131" s="117"/>
      <c r="BR131" s="111"/>
      <c r="BS131" s="118"/>
      <c r="BT131" s="111"/>
      <c r="BU131" s="118"/>
      <c r="BV131" s="111"/>
      <c r="BW131" s="111"/>
      <c r="BX131" s="111"/>
      <c r="BY131" s="111"/>
      <c r="BZ131" s="111"/>
      <c r="CA131" s="111"/>
      <c r="CB131" s="119"/>
      <c r="CC131" s="117"/>
      <c r="CD131" s="120">
        <v>0</v>
      </c>
      <c r="CE131" s="120">
        <v>0</v>
      </c>
      <c r="CF131" s="120">
        <v>0</v>
      </c>
      <c r="CG131" s="111"/>
      <c r="CH131" s="120" t="s">
        <v>182</v>
      </c>
      <c r="CI131" s="120">
        <v>0</v>
      </c>
      <c r="CJ131" s="111"/>
    </row>
    <row r="132" spans="1:88" ht="409.5" hidden="1">
      <c r="A132" s="106" t="s">
        <v>389</v>
      </c>
      <c r="B132" s="107">
        <f>4+3+6.5+5+2+1+2+6+7+8+6+7.75+7+8+6+8+7.5</f>
        <v>94.75</v>
      </c>
      <c r="C132" s="49">
        <v>80</v>
      </c>
      <c r="D132" s="107">
        <f>Tracker6[[#This Row],[Estimated Hrs]]-Tracker6[[#This Row],[Actual Efforts (Hrs)]]</f>
        <v>-14.75</v>
      </c>
      <c r="E132" s="108"/>
      <c r="F132" s="108"/>
      <c r="G132" s="121"/>
      <c r="H132" s="109">
        <v>18216449</v>
      </c>
      <c r="I132" s="127">
        <f>Tracker6[[#This Row],[DCR ID - PTC]]</f>
        <v>18216449</v>
      </c>
      <c r="J132" s="108" t="s">
        <v>390</v>
      </c>
      <c r="K132" s="108" t="s">
        <v>118</v>
      </c>
      <c r="L132" s="108"/>
      <c r="M132" s="108"/>
      <c r="N132" s="296" t="s">
        <v>396</v>
      </c>
      <c r="O132" s="111" t="s">
        <v>115</v>
      </c>
      <c r="P132" s="111"/>
      <c r="Q132" s="111"/>
      <c r="R132" s="111"/>
      <c r="S132" s="111"/>
      <c r="T132" s="111"/>
      <c r="U132" s="108"/>
      <c r="V132" s="108"/>
      <c r="W132" s="108"/>
      <c r="X132" s="108"/>
      <c r="Y132" s="108"/>
      <c r="Z132" s="108"/>
      <c r="AA132" s="108"/>
      <c r="AB132" s="112"/>
      <c r="AC132" s="108"/>
      <c r="AD132" s="108" t="s">
        <v>93</v>
      </c>
      <c r="AE132" s="107"/>
      <c r="AF132" s="113"/>
      <c r="AG132" s="115"/>
      <c r="AH132" s="108" t="s">
        <v>109</v>
      </c>
      <c r="AI132" s="108" t="s">
        <v>95</v>
      </c>
      <c r="AJ132" s="114">
        <v>46052.4375</v>
      </c>
      <c r="AK132" s="108" t="s">
        <v>96</v>
      </c>
      <c r="AL132" s="115">
        <v>46008.852303240739</v>
      </c>
      <c r="AM132" s="116"/>
      <c r="AN132" s="116"/>
      <c r="AO132" s="116">
        <v>46125</v>
      </c>
      <c r="AP132" s="108"/>
      <c r="AQ132" s="107"/>
      <c r="AR132" s="107"/>
      <c r="AS132" s="116"/>
      <c r="AT132" s="114"/>
      <c r="AU132" s="114"/>
      <c r="AV132" s="108"/>
      <c r="AW132" s="108"/>
      <c r="AX132" s="108" t="s">
        <v>97</v>
      </c>
      <c r="AY132" s="108" t="s">
        <v>98</v>
      </c>
      <c r="AZ132" s="108"/>
      <c r="BA132" s="108"/>
      <c r="BB132" s="108"/>
      <c r="BC132" s="108"/>
      <c r="BD132" s="111"/>
      <c r="BE132" s="111"/>
      <c r="BF132" s="111"/>
      <c r="BG132" s="111"/>
      <c r="BH132" s="111"/>
      <c r="BI132" s="111"/>
      <c r="BJ132" s="111"/>
      <c r="BK132" s="111"/>
      <c r="BL132" s="111"/>
      <c r="BM132" s="117" t="s">
        <v>392</v>
      </c>
      <c r="BN132" s="111"/>
      <c r="BO132" s="117"/>
      <c r="BP132" s="117"/>
      <c r="BQ132" s="117"/>
      <c r="BR132" s="111"/>
      <c r="BS132" s="118"/>
      <c r="BT132" s="111"/>
      <c r="BU132" s="118"/>
      <c r="BV132" s="111"/>
      <c r="BW132" s="111"/>
      <c r="BX132" s="111"/>
      <c r="BY132" s="111"/>
      <c r="BZ132" s="111"/>
      <c r="CA132" s="111"/>
      <c r="CB132" s="119">
        <v>0.78</v>
      </c>
      <c r="CC132" s="117"/>
      <c r="CD132" s="120">
        <v>46119</v>
      </c>
      <c r="CE132" s="120">
        <v>46120</v>
      </c>
      <c r="CF132" s="120">
        <v>46121</v>
      </c>
      <c r="CG132" s="111"/>
      <c r="CH132" s="120" t="s">
        <v>112</v>
      </c>
      <c r="CI132" s="120"/>
      <c r="CJ132" s="111"/>
    </row>
    <row r="133" spans="1:88" ht="409.5" hidden="1">
      <c r="A133" s="106" t="s">
        <v>397</v>
      </c>
      <c r="B133" s="107">
        <f>2+2.5+2.5+(6+6.5+7+7.5+8.5+7.5+6.5+7+3+0.5)+(7.5+6.5+6.5+9.5+7)</f>
        <v>104</v>
      </c>
      <c r="C133" s="49">
        <v>160</v>
      </c>
      <c r="D133" s="107"/>
      <c r="E133" s="108"/>
      <c r="F133" s="108" t="s">
        <v>125</v>
      </c>
      <c r="G133" s="121" t="s">
        <v>125</v>
      </c>
      <c r="H133" s="151">
        <v>16826557</v>
      </c>
      <c r="I133" s="127">
        <f>Tracker6[[#This Row],[DCR ID - PTC]]</f>
        <v>16826557</v>
      </c>
      <c r="J133" s="108" t="s">
        <v>398</v>
      </c>
      <c r="K133" s="108" t="s">
        <v>101</v>
      </c>
      <c r="L133" s="108"/>
      <c r="M133" s="108"/>
      <c r="N133" s="146" t="s">
        <v>399</v>
      </c>
      <c r="O133" s="111" t="s">
        <v>106</v>
      </c>
      <c r="P133" s="111"/>
      <c r="Q133" s="111"/>
      <c r="R133" s="111"/>
      <c r="S133" s="111"/>
      <c r="T133" s="111"/>
      <c r="U133" s="108"/>
      <c r="V133" s="108"/>
      <c r="W133" s="108"/>
      <c r="X133" s="108"/>
      <c r="Y133" s="108"/>
      <c r="Z133" s="108"/>
      <c r="AA133" s="108" t="s">
        <v>107</v>
      </c>
      <c r="AB133" s="112">
        <v>45869</v>
      </c>
      <c r="AC133" s="108"/>
      <c r="AD133" s="108" t="s">
        <v>93</v>
      </c>
      <c r="AE133" s="107"/>
      <c r="AF133" s="113"/>
      <c r="AG133" s="115">
        <v>46050</v>
      </c>
      <c r="AH133" s="108" t="s">
        <v>100</v>
      </c>
      <c r="AI133" s="108" t="s">
        <v>101</v>
      </c>
      <c r="AJ133" s="114">
        <v>45869</v>
      </c>
      <c r="AK133" s="108" t="s">
        <v>96</v>
      </c>
      <c r="AL133" s="115">
        <v>45833.862268518518</v>
      </c>
      <c r="AM133" s="116"/>
      <c r="AN133" s="116"/>
      <c r="AO133" s="116">
        <v>46077</v>
      </c>
      <c r="AP133" s="108"/>
      <c r="AQ133" s="107"/>
      <c r="AR133" s="107"/>
      <c r="AS133" s="116">
        <v>46078</v>
      </c>
      <c r="AT133" s="114" t="s">
        <v>125</v>
      </c>
      <c r="AU133" s="114" t="s">
        <v>125</v>
      </c>
      <c r="AV133" s="108"/>
      <c r="AW133" s="108"/>
      <c r="AX133" s="108" t="s">
        <v>97</v>
      </c>
      <c r="AY133" s="108" t="s">
        <v>98</v>
      </c>
      <c r="AZ133" s="108"/>
      <c r="BA133" s="108"/>
      <c r="BB133" s="108"/>
      <c r="BC133" s="108"/>
      <c r="BD133" s="111"/>
      <c r="BE133" s="111"/>
      <c r="BF133" s="111"/>
      <c r="BG133" s="111"/>
      <c r="BH133" s="111"/>
      <c r="BI133" s="111"/>
      <c r="BJ133" s="111"/>
      <c r="BK133" s="111"/>
      <c r="BL133" s="111"/>
      <c r="BM133" s="117" t="s">
        <v>400</v>
      </c>
      <c r="BN133" s="111"/>
      <c r="BO133" s="117"/>
      <c r="BP133" s="117"/>
      <c r="BQ133" s="117"/>
      <c r="BR133" s="111"/>
      <c r="BS133" s="118"/>
      <c r="BT133" s="111"/>
      <c r="BU133" s="118"/>
      <c r="BV133" s="111"/>
      <c r="BW133" s="111"/>
      <c r="BX133" s="111"/>
      <c r="BY133" s="111"/>
      <c r="BZ133" s="111"/>
      <c r="CA133" s="111"/>
      <c r="CB133" s="119"/>
      <c r="CC133" s="117"/>
      <c r="CD133" s="120">
        <v>0</v>
      </c>
      <c r="CE133" s="120">
        <v>0</v>
      </c>
      <c r="CF133" s="120">
        <v>0</v>
      </c>
      <c r="CG133" s="111"/>
      <c r="CH133" s="120" t="s">
        <v>182</v>
      </c>
      <c r="CI133" s="120">
        <v>0</v>
      </c>
      <c r="CJ133" s="111"/>
    </row>
    <row r="134" spans="1:88" ht="409.5" hidden="1">
      <c r="A134" s="106" t="s">
        <v>401</v>
      </c>
      <c r="B134" s="107">
        <f>4+5.5+5+6.5+5.5+6+6.5+7+6.5+6.5+7+5.5+4+4.5+5+5+7.5+4.5+5.5+5.5+6.5+8+5+(7)</f>
        <v>139.5</v>
      </c>
      <c r="C134" s="49">
        <v>200</v>
      </c>
      <c r="D134" s="107">
        <f>Tracker6[[#This Row],[Estimated Hrs]]-Tracker6[[#This Row],[Actual Efforts (Hrs)]]</f>
        <v>60.5</v>
      </c>
      <c r="E134" s="108"/>
      <c r="F134" s="108"/>
      <c r="G134" s="121"/>
      <c r="H134" s="151">
        <v>15022706</v>
      </c>
      <c r="I134" s="127">
        <f>Tracker6[[#This Row],[DCR ID - PTC]]</f>
        <v>15022706</v>
      </c>
      <c r="J134" s="108" t="s">
        <v>402</v>
      </c>
      <c r="K134" s="108" t="s">
        <v>101</v>
      </c>
      <c r="L134" s="108"/>
      <c r="M134" s="108"/>
      <c r="N134" s="296" t="s">
        <v>403</v>
      </c>
      <c r="O134" s="111" t="s">
        <v>115</v>
      </c>
      <c r="P134" s="111"/>
      <c r="Q134" s="111"/>
      <c r="R134" s="111"/>
      <c r="S134" s="111"/>
      <c r="T134" s="111"/>
      <c r="U134" s="108"/>
      <c r="V134" s="108"/>
      <c r="W134" s="108"/>
      <c r="X134" s="108"/>
      <c r="Y134" s="108"/>
      <c r="Z134" s="108"/>
      <c r="AA134" s="108" t="s">
        <v>107</v>
      </c>
      <c r="AB134" s="112"/>
      <c r="AC134" s="108"/>
      <c r="AD134" s="108" t="s">
        <v>93</v>
      </c>
      <c r="AE134" s="107"/>
      <c r="AF134" s="113"/>
      <c r="AG134" s="115"/>
      <c r="AH134" s="108" t="s">
        <v>109</v>
      </c>
      <c r="AI134" s="108" t="s">
        <v>95</v>
      </c>
      <c r="AJ134" s="114">
        <v>45688.4375</v>
      </c>
      <c r="AK134" s="108" t="s">
        <v>96</v>
      </c>
      <c r="AL134" s="115">
        <v>45590.059537037036</v>
      </c>
      <c r="AM134" s="116"/>
      <c r="AN134" s="116"/>
      <c r="AO134" s="116" t="e">
        <v>#N/A</v>
      </c>
      <c r="AP134" s="108"/>
      <c r="AQ134" s="107"/>
      <c r="AR134" s="107"/>
      <c r="AS134" s="116"/>
      <c r="AT134" s="114"/>
      <c r="AU134" s="114"/>
      <c r="AV134" s="108"/>
      <c r="AW134" s="108"/>
      <c r="AX134" s="108" t="s">
        <v>97</v>
      </c>
      <c r="AY134" s="108" t="s">
        <v>98</v>
      </c>
      <c r="AZ134" s="108"/>
      <c r="BA134" s="108"/>
      <c r="BB134" s="108"/>
      <c r="BC134" s="108"/>
      <c r="BD134" s="111"/>
      <c r="BE134" s="111"/>
      <c r="BF134" s="111"/>
      <c r="BG134" s="111"/>
      <c r="BH134" s="111"/>
      <c r="BI134" s="111"/>
      <c r="BJ134" s="111"/>
      <c r="BK134" s="111"/>
      <c r="BL134" s="111"/>
      <c r="BM134" s="117" t="e">
        <v>#N/A</v>
      </c>
      <c r="BN134" s="111"/>
      <c r="BO134" s="117"/>
      <c r="BP134" s="117"/>
      <c r="BQ134" s="117"/>
      <c r="BR134" s="111"/>
      <c r="BS134" s="118"/>
      <c r="BT134" s="111"/>
      <c r="BU134" s="118"/>
      <c r="BV134" s="111"/>
      <c r="BW134" s="111"/>
      <c r="BX134" s="111"/>
      <c r="BY134" s="111"/>
      <c r="BZ134" s="111"/>
      <c r="CA134" s="111"/>
      <c r="CB134" s="119"/>
      <c r="CC134" s="117"/>
      <c r="CD134" s="120" t="e">
        <v>#N/A</v>
      </c>
      <c r="CE134" s="120" t="e">
        <v>#N/A</v>
      </c>
      <c r="CF134" s="120" t="e">
        <v>#N/A</v>
      </c>
      <c r="CG134" s="111"/>
      <c r="CH134" s="120" t="e">
        <v>#N/A</v>
      </c>
      <c r="CI134" s="120" t="e">
        <v>#N/A</v>
      </c>
      <c r="CJ134" s="111"/>
    </row>
    <row r="135" spans="1:88" ht="57.95" hidden="1">
      <c r="A135" s="106" t="s">
        <v>401</v>
      </c>
      <c r="B135" s="107">
        <v>0</v>
      </c>
      <c r="C135" s="49" t="e">
        <v>#N/A</v>
      </c>
      <c r="D135" s="107">
        <v>0</v>
      </c>
      <c r="E135" s="108"/>
      <c r="F135" s="108"/>
      <c r="G135" s="121"/>
      <c r="H135" s="151">
        <v>15194389</v>
      </c>
      <c r="I135" s="127">
        <f>Tracker6[[#This Row],[DCR ID - PTC]]</f>
        <v>15194389</v>
      </c>
      <c r="J135" s="108" t="s">
        <v>404</v>
      </c>
      <c r="K135" s="108" t="s">
        <v>101</v>
      </c>
      <c r="L135" s="108"/>
      <c r="M135" s="108"/>
      <c r="N135" s="146"/>
      <c r="O135" s="111"/>
      <c r="P135" s="111"/>
      <c r="Q135" s="111"/>
      <c r="R135" s="111"/>
      <c r="S135" s="111"/>
      <c r="T135" s="111"/>
      <c r="U135" s="108"/>
      <c r="V135" s="108"/>
      <c r="W135" s="108"/>
      <c r="X135" s="108"/>
      <c r="Y135" s="108"/>
      <c r="Z135" s="108"/>
      <c r="AA135" s="108"/>
      <c r="AB135" s="112"/>
      <c r="AC135" s="108"/>
      <c r="AD135" s="108" t="s">
        <v>93</v>
      </c>
      <c r="AE135" s="107"/>
      <c r="AF135" s="113"/>
      <c r="AG135" s="115"/>
      <c r="AH135" s="108" t="s">
        <v>350</v>
      </c>
      <c r="AI135" s="108" t="s">
        <v>101</v>
      </c>
      <c r="AJ135" s="114">
        <v>45688</v>
      </c>
      <c r="AK135" s="108" t="s">
        <v>96</v>
      </c>
      <c r="AL135" s="115">
        <v>45617.579131944447</v>
      </c>
      <c r="AM135" s="116"/>
      <c r="AN135" s="116"/>
      <c r="AO135" s="116" t="e">
        <v>#N/A</v>
      </c>
      <c r="AP135" s="108"/>
      <c r="AQ135" s="107"/>
      <c r="AR135" s="107"/>
      <c r="AS135" s="116"/>
      <c r="AT135" s="114"/>
      <c r="AU135" s="114"/>
      <c r="AV135" s="108"/>
      <c r="AW135" s="108"/>
      <c r="AX135" s="108" t="s">
        <v>97</v>
      </c>
      <c r="AY135" s="108" t="s">
        <v>98</v>
      </c>
      <c r="AZ135" s="108"/>
      <c r="BA135" s="108"/>
      <c r="BB135" s="108"/>
      <c r="BC135" s="108"/>
      <c r="BD135" s="111"/>
      <c r="BE135" s="111"/>
      <c r="BF135" s="111"/>
      <c r="BG135" s="111"/>
      <c r="BH135" s="111"/>
      <c r="BI135" s="111"/>
      <c r="BJ135" s="111"/>
      <c r="BK135" s="111"/>
      <c r="BL135" s="111"/>
      <c r="BM135" s="117" t="e">
        <v>#N/A</v>
      </c>
      <c r="BN135" s="111"/>
      <c r="BO135" s="117"/>
      <c r="BP135" s="117"/>
      <c r="BQ135" s="117"/>
      <c r="BR135" s="111"/>
      <c r="BS135" s="118"/>
      <c r="BT135" s="111"/>
      <c r="BU135" s="118"/>
      <c r="BV135" s="111"/>
      <c r="BW135" s="111"/>
      <c r="BX135" s="111"/>
      <c r="BY135" s="111"/>
      <c r="BZ135" s="111"/>
      <c r="CA135" s="111"/>
      <c r="CB135" s="119"/>
      <c r="CC135" s="117"/>
      <c r="CD135" s="120" t="e">
        <v>#N/A</v>
      </c>
      <c r="CE135" s="120" t="e">
        <v>#N/A</v>
      </c>
      <c r="CF135" s="120" t="e">
        <v>#N/A</v>
      </c>
      <c r="CG135" s="111"/>
      <c r="CH135" s="120" t="e">
        <v>#N/A</v>
      </c>
      <c r="CI135" s="120" t="e">
        <v>#N/A</v>
      </c>
      <c r="CJ135" s="111"/>
    </row>
    <row r="136" spans="1:88" ht="57.95" hidden="1">
      <c r="A136" s="106" t="s">
        <v>401</v>
      </c>
      <c r="B136" s="107">
        <v>0</v>
      </c>
      <c r="C136" s="49">
        <v>0</v>
      </c>
      <c r="D136" s="107">
        <v>0</v>
      </c>
      <c r="E136" s="108"/>
      <c r="F136" s="108"/>
      <c r="G136" s="121"/>
      <c r="H136" s="151">
        <v>15194491</v>
      </c>
      <c r="I136" s="127">
        <f>Tracker6[[#This Row],[DCR ID - PTC]]</f>
        <v>15194491</v>
      </c>
      <c r="J136" s="108" t="s">
        <v>405</v>
      </c>
      <c r="K136" s="108" t="s">
        <v>101</v>
      </c>
      <c r="L136" s="108"/>
      <c r="M136" s="108"/>
      <c r="N136" s="146"/>
      <c r="O136" s="111" t="s">
        <v>115</v>
      </c>
      <c r="P136" s="111"/>
      <c r="Q136" s="111"/>
      <c r="R136" s="111"/>
      <c r="S136" s="111"/>
      <c r="T136" s="111"/>
      <c r="U136" s="108"/>
      <c r="V136" s="108"/>
      <c r="W136" s="108"/>
      <c r="X136" s="108"/>
      <c r="Y136" s="108"/>
      <c r="Z136" s="108"/>
      <c r="AA136" s="108"/>
      <c r="AB136" s="112"/>
      <c r="AC136" s="108"/>
      <c r="AD136" s="108" t="s">
        <v>93</v>
      </c>
      <c r="AE136" s="107"/>
      <c r="AF136" s="113"/>
      <c r="AG136" s="115"/>
      <c r="AH136" s="108" t="s">
        <v>100</v>
      </c>
      <c r="AI136" s="108" t="s">
        <v>101</v>
      </c>
      <c r="AJ136" s="114">
        <v>45688</v>
      </c>
      <c r="AK136" s="108" t="s">
        <v>96</v>
      </c>
      <c r="AL136" s="115">
        <v>45617.608935185184</v>
      </c>
      <c r="AM136" s="116"/>
      <c r="AN136" s="116"/>
      <c r="AO136" s="116">
        <v>0</v>
      </c>
      <c r="AP136" s="108"/>
      <c r="AQ136" s="107"/>
      <c r="AR136" s="107"/>
      <c r="AS136" s="116"/>
      <c r="AT136" s="114"/>
      <c r="AU136" s="114"/>
      <c r="AV136" s="108"/>
      <c r="AW136" s="108"/>
      <c r="AX136" s="108" t="s">
        <v>97</v>
      </c>
      <c r="AY136" s="108" t="s">
        <v>98</v>
      </c>
      <c r="AZ136" s="108"/>
      <c r="BA136" s="108"/>
      <c r="BB136" s="108"/>
      <c r="BC136" s="108"/>
      <c r="BD136" s="111"/>
      <c r="BE136" s="111"/>
      <c r="BF136" s="111"/>
      <c r="BG136" s="111"/>
      <c r="BH136" s="111"/>
      <c r="BI136" s="111"/>
      <c r="BJ136" s="111"/>
      <c r="BK136" s="111"/>
      <c r="BL136" s="111"/>
      <c r="BM136" s="117" t="s">
        <v>406</v>
      </c>
      <c r="BN136" s="111"/>
      <c r="BO136" s="117"/>
      <c r="BP136" s="117"/>
      <c r="BQ136" s="117"/>
      <c r="BR136" s="111"/>
      <c r="BS136" s="118"/>
      <c r="BT136" s="111"/>
      <c r="BU136" s="118"/>
      <c r="BV136" s="111"/>
      <c r="BW136" s="111"/>
      <c r="BX136" s="111"/>
      <c r="BY136" s="111"/>
      <c r="BZ136" s="111"/>
      <c r="CA136" s="111"/>
      <c r="CB136" s="119"/>
      <c r="CC136" s="117"/>
      <c r="CD136" s="120">
        <v>0</v>
      </c>
      <c r="CE136" s="120">
        <v>0</v>
      </c>
      <c r="CF136" s="120">
        <v>0</v>
      </c>
      <c r="CG136" s="111"/>
      <c r="CH136" s="120" t="s">
        <v>182</v>
      </c>
      <c r="CI136" s="120">
        <v>0</v>
      </c>
      <c r="CJ136" s="111"/>
    </row>
    <row r="137" spans="1:88" ht="57.95" hidden="1">
      <c r="A137" s="106" t="s">
        <v>401</v>
      </c>
      <c r="B137" s="107">
        <v>0</v>
      </c>
      <c r="C137" s="49" t="e">
        <v>#N/A</v>
      </c>
      <c r="D137" s="107">
        <v>0</v>
      </c>
      <c r="E137" s="108"/>
      <c r="F137" s="108"/>
      <c r="G137" s="121"/>
      <c r="H137" s="151">
        <v>15194636</v>
      </c>
      <c r="I137" s="127">
        <f>Tracker6[[#This Row],[DCR ID - PTC]]</f>
        <v>15194636</v>
      </c>
      <c r="J137" s="108" t="s">
        <v>407</v>
      </c>
      <c r="K137" s="108" t="s">
        <v>101</v>
      </c>
      <c r="L137" s="108"/>
      <c r="M137" s="108"/>
      <c r="N137" s="146"/>
      <c r="O137" s="111" t="s">
        <v>115</v>
      </c>
      <c r="P137" s="111"/>
      <c r="Q137" s="111"/>
      <c r="R137" s="111"/>
      <c r="S137" s="111"/>
      <c r="T137" s="111"/>
      <c r="U137" s="108"/>
      <c r="V137" s="108"/>
      <c r="W137" s="108"/>
      <c r="X137" s="108"/>
      <c r="Y137" s="108"/>
      <c r="Z137" s="108"/>
      <c r="AA137" s="108"/>
      <c r="AB137" s="112"/>
      <c r="AC137" s="108"/>
      <c r="AD137" s="108" t="s">
        <v>93</v>
      </c>
      <c r="AE137" s="107"/>
      <c r="AF137" s="113"/>
      <c r="AG137" s="115"/>
      <c r="AH137" s="108" t="s">
        <v>350</v>
      </c>
      <c r="AI137" s="108" t="s">
        <v>101</v>
      </c>
      <c r="AJ137" s="114">
        <v>45688</v>
      </c>
      <c r="AK137" s="108" t="s">
        <v>96</v>
      </c>
      <c r="AL137" s="115">
        <v>45617.633634259262</v>
      </c>
      <c r="AM137" s="116"/>
      <c r="AN137" s="116"/>
      <c r="AO137" s="116" t="e">
        <v>#N/A</v>
      </c>
      <c r="AP137" s="108"/>
      <c r="AQ137" s="107"/>
      <c r="AR137" s="107"/>
      <c r="AS137" s="116"/>
      <c r="AT137" s="114"/>
      <c r="AU137" s="114"/>
      <c r="AV137" s="108"/>
      <c r="AW137" s="108"/>
      <c r="AX137" s="108" t="s">
        <v>97</v>
      </c>
      <c r="AY137" s="108" t="s">
        <v>98</v>
      </c>
      <c r="AZ137" s="108"/>
      <c r="BA137" s="108"/>
      <c r="BB137" s="108"/>
      <c r="BC137" s="108"/>
      <c r="BD137" s="111"/>
      <c r="BE137" s="111"/>
      <c r="BF137" s="111"/>
      <c r="BG137" s="111"/>
      <c r="BH137" s="111"/>
      <c r="BI137" s="111"/>
      <c r="BJ137" s="111"/>
      <c r="BK137" s="111"/>
      <c r="BL137" s="111"/>
      <c r="BM137" s="117" t="e">
        <v>#N/A</v>
      </c>
      <c r="BN137" s="111"/>
      <c r="BO137" s="117"/>
      <c r="BP137" s="117"/>
      <c r="BQ137" s="117"/>
      <c r="BR137" s="111"/>
      <c r="BS137" s="118"/>
      <c r="BT137" s="111"/>
      <c r="BU137" s="118"/>
      <c r="BV137" s="111"/>
      <c r="BW137" s="111"/>
      <c r="BX137" s="111"/>
      <c r="BY137" s="111"/>
      <c r="BZ137" s="111"/>
      <c r="CA137" s="111"/>
      <c r="CB137" s="119"/>
      <c r="CC137" s="117"/>
      <c r="CD137" s="120" t="e">
        <v>#N/A</v>
      </c>
      <c r="CE137" s="120" t="e">
        <v>#N/A</v>
      </c>
      <c r="CF137" s="120" t="e">
        <v>#N/A</v>
      </c>
      <c r="CG137" s="111"/>
      <c r="CH137" s="120" t="e">
        <v>#N/A</v>
      </c>
      <c r="CI137" s="120" t="e">
        <v>#N/A</v>
      </c>
      <c r="CJ137" s="111"/>
    </row>
    <row r="138" spans="1:88" ht="57.95" hidden="1">
      <c r="A138" s="106" t="s">
        <v>401</v>
      </c>
      <c r="B138" s="107">
        <v>0</v>
      </c>
      <c r="C138" s="49" t="e">
        <v>#N/A</v>
      </c>
      <c r="D138" s="107">
        <v>0</v>
      </c>
      <c r="E138" s="108"/>
      <c r="F138" s="108"/>
      <c r="G138" s="121"/>
      <c r="H138" s="151">
        <v>15194642</v>
      </c>
      <c r="I138" s="127">
        <f>Tracker6[[#This Row],[DCR ID - PTC]]</f>
        <v>15194642</v>
      </c>
      <c r="J138" s="108" t="s">
        <v>408</v>
      </c>
      <c r="K138" s="108" t="s">
        <v>101</v>
      </c>
      <c r="L138" s="108"/>
      <c r="M138" s="108"/>
      <c r="N138" s="146"/>
      <c r="O138" s="111" t="s">
        <v>115</v>
      </c>
      <c r="P138" s="111"/>
      <c r="Q138" s="111"/>
      <c r="R138" s="111"/>
      <c r="S138" s="111"/>
      <c r="T138" s="111"/>
      <c r="U138" s="108"/>
      <c r="V138" s="108"/>
      <c r="W138" s="108"/>
      <c r="X138" s="108"/>
      <c r="Y138" s="108"/>
      <c r="Z138" s="108"/>
      <c r="AA138" s="108"/>
      <c r="AB138" s="112"/>
      <c r="AC138" s="108"/>
      <c r="AD138" s="108" t="s">
        <v>93</v>
      </c>
      <c r="AE138" s="107"/>
      <c r="AF138" s="113"/>
      <c r="AG138" s="115"/>
      <c r="AH138" s="108" t="s">
        <v>350</v>
      </c>
      <c r="AI138" s="108" t="s">
        <v>101</v>
      </c>
      <c r="AJ138" s="114">
        <v>45688</v>
      </c>
      <c r="AK138" s="108" t="s">
        <v>96</v>
      </c>
      <c r="AL138" s="115">
        <v>45617.634895833333</v>
      </c>
      <c r="AM138" s="116"/>
      <c r="AN138" s="116"/>
      <c r="AO138" s="116" t="e">
        <v>#N/A</v>
      </c>
      <c r="AP138" s="108"/>
      <c r="AQ138" s="107"/>
      <c r="AR138" s="107"/>
      <c r="AS138" s="116"/>
      <c r="AT138" s="114"/>
      <c r="AU138" s="114"/>
      <c r="AV138" s="108"/>
      <c r="AW138" s="108"/>
      <c r="AX138" s="108" t="s">
        <v>97</v>
      </c>
      <c r="AY138" s="108" t="s">
        <v>98</v>
      </c>
      <c r="AZ138" s="108"/>
      <c r="BA138" s="108"/>
      <c r="BB138" s="108"/>
      <c r="BC138" s="108"/>
      <c r="BD138" s="111"/>
      <c r="BE138" s="111"/>
      <c r="BF138" s="111"/>
      <c r="BG138" s="111"/>
      <c r="BH138" s="111"/>
      <c r="BI138" s="111"/>
      <c r="BJ138" s="111"/>
      <c r="BK138" s="111"/>
      <c r="BL138" s="111"/>
      <c r="BM138" s="117" t="e">
        <v>#N/A</v>
      </c>
      <c r="BN138" s="111"/>
      <c r="BO138" s="117"/>
      <c r="BP138" s="117"/>
      <c r="BQ138" s="117"/>
      <c r="BR138" s="111"/>
      <c r="BS138" s="118"/>
      <c r="BT138" s="111"/>
      <c r="BU138" s="118"/>
      <c r="BV138" s="111"/>
      <c r="BW138" s="111"/>
      <c r="BX138" s="111"/>
      <c r="BY138" s="111"/>
      <c r="BZ138" s="111"/>
      <c r="CA138" s="111"/>
      <c r="CB138" s="119"/>
      <c r="CC138" s="117"/>
      <c r="CD138" s="120" t="e">
        <v>#N/A</v>
      </c>
      <c r="CE138" s="120" t="e">
        <v>#N/A</v>
      </c>
      <c r="CF138" s="120" t="e">
        <v>#N/A</v>
      </c>
      <c r="CG138" s="111"/>
      <c r="CH138" s="120" t="e">
        <v>#N/A</v>
      </c>
      <c r="CI138" s="120" t="e">
        <v>#N/A</v>
      </c>
      <c r="CJ138" s="111"/>
    </row>
    <row r="139" spans="1:88" ht="188.45" hidden="1">
      <c r="A139" s="106" t="s">
        <v>401</v>
      </c>
      <c r="B139" s="107">
        <v>0</v>
      </c>
      <c r="C139" s="49" t="e">
        <v>#N/A</v>
      </c>
      <c r="D139" s="107">
        <v>0</v>
      </c>
      <c r="E139" s="108"/>
      <c r="F139" s="108"/>
      <c r="G139" s="121"/>
      <c r="H139" s="151">
        <v>17817270</v>
      </c>
      <c r="I139" s="127">
        <f>Tracker6[[#This Row],[DCR ID - PTC]]</f>
        <v>17817270</v>
      </c>
      <c r="J139" s="108" t="s">
        <v>409</v>
      </c>
      <c r="K139" s="108" t="s">
        <v>179</v>
      </c>
      <c r="L139" s="108" t="s">
        <v>410</v>
      </c>
      <c r="M139" s="108"/>
      <c r="N139" s="146"/>
      <c r="O139" s="111"/>
      <c r="P139" s="111"/>
      <c r="Q139" s="111"/>
      <c r="R139" s="111"/>
      <c r="S139" s="111"/>
      <c r="T139" s="111"/>
      <c r="U139" s="108"/>
      <c r="V139" s="108"/>
      <c r="W139" s="108"/>
      <c r="X139" s="108"/>
      <c r="Y139" s="108"/>
      <c r="Z139" s="108"/>
      <c r="AA139" s="108"/>
      <c r="AB139" s="112"/>
      <c r="AC139" s="108" t="s">
        <v>410</v>
      </c>
      <c r="AD139" s="108" t="s">
        <v>93</v>
      </c>
      <c r="AE139" s="107"/>
      <c r="AF139" s="113"/>
      <c r="AG139" s="115"/>
      <c r="AH139" s="108" t="s">
        <v>109</v>
      </c>
      <c r="AI139" s="108" t="s">
        <v>95</v>
      </c>
      <c r="AJ139" s="114">
        <v>45989.4375</v>
      </c>
      <c r="AK139" s="108" t="s">
        <v>96</v>
      </c>
      <c r="AL139" s="115">
        <v>45966.603587962964</v>
      </c>
      <c r="AM139" s="116"/>
      <c r="AN139" s="116"/>
      <c r="AO139" s="116" t="e">
        <v>#N/A</v>
      </c>
      <c r="AP139" s="108"/>
      <c r="AQ139" s="107"/>
      <c r="AR139" s="107"/>
      <c r="AS139" s="116"/>
      <c r="AT139" s="114"/>
      <c r="AU139" s="114"/>
      <c r="AV139" s="108"/>
      <c r="AW139" s="108"/>
      <c r="AX139" s="108" t="s">
        <v>97</v>
      </c>
      <c r="AY139" s="108" t="s">
        <v>98</v>
      </c>
      <c r="AZ139" s="108"/>
      <c r="BA139" s="108"/>
      <c r="BB139" s="108"/>
      <c r="BC139" s="108"/>
      <c r="BD139" s="111"/>
      <c r="BE139" s="111"/>
      <c r="BF139" s="111"/>
      <c r="BG139" s="111"/>
      <c r="BH139" s="111"/>
      <c r="BI139" s="111"/>
      <c r="BJ139" s="111"/>
      <c r="BK139" s="111"/>
      <c r="BL139" s="111"/>
      <c r="BM139" s="117" t="e">
        <v>#N/A</v>
      </c>
      <c r="BN139" s="111"/>
      <c r="BO139" s="117"/>
      <c r="BP139" s="117"/>
      <c r="BQ139" s="117"/>
      <c r="BR139" s="111"/>
      <c r="BS139" s="118"/>
      <c r="BT139" s="111"/>
      <c r="BU139" s="118"/>
      <c r="BV139" s="111"/>
      <c r="BW139" s="111"/>
      <c r="BX139" s="111"/>
      <c r="BY139" s="111"/>
      <c r="BZ139" s="111"/>
      <c r="CA139" s="111"/>
      <c r="CB139" s="119"/>
      <c r="CC139" s="117"/>
      <c r="CD139" s="120" t="e">
        <v>#N/A</v>
      </c>
      <c r="CE139" s="120" t="e">
        <v>#N/A</v>
      </c>
      <c r="CF139" s="120" t="e">
        <v>#N/A</v>
      </c>
      <c r="CG139" s="111"/>
      <c r="CH139" s="120" t="e">
        <v>#N/A</v>
      </c>
      <c r="CI139" s="120" t="e">
        <v>#N/A</v>
      </c>
      <c r="CJ139" s="111"/>
    </row>
    <row r="140" spans="1:88" ht="409.5" hidden="1">
      <c r="A140" s="106" t="s">
        <v>411</v>
      </c>
      <c r="B140" s="107">
        <f>3+1.5+1+1+1.5+(5+3+4)+4+3+2.5+2+0.5+3+5+5+1+2+3+2+2+2+0.5+2+2.5+0.5+2.5+2+1+2.5</f>
        <v>70.5</v>
      </c>
      <c r="C140" s="49">
        <v>40</v>
      </c>
      <c r="D140" s="107">
        <v>0</v>
      </c>
      <c r="E140" s="108"/>
      <c r="F140" s="108"/>
      <c r="G140" s="121"/>
      <c r="H140" s="151">
        <v>18054216</v>
      </c>
      <c r="I140" s="127">
        <f>Tracker6[[#This Row],[DCR ID - PTC]]</f>
        <v>18054216</v>
      </c>
      <c r="J140" s="107" t="s">
        <v>412</v>
      </c>
      <c r="K140" s="108" t="s">
        <v>118</v>
      </c>
      <c r="L140" s="108"/>
      <c r="M140" s="108"/>
      <c r="N140" s="146" t="s">
        <v>413</v>
      </c>
      <c r="O140" s="111" t="s">
        <v>106</v>
      </c>
      <c r="P140" s="111"/>
      <c r="Q140" s="111"/>
      <c r="R140" s="111"/>
      <c r="S140" s="111"/>
      <c r="T140" s="111"/>
      <c r="U140" s="108"/>
      <c r="V140" s="108"/>
      <c r="W140" s="108"/>
      <c r="X140" s="108"/>
      <c r="Y140" s="108"/>
      <c r="Z140" s="108"/>
      <c r="AA140" s="108" t="s">
        <v>107</v>
      </c>
      <c r="AB140" s="112"/>
      <c r="AC140" s="108"/>
      <c r="AD140" s="108" t="s">
        <v>93</v>
      </c>
      <c r="AE140" s="107"/>
      <c r="AF140" s="113"/>
      <c r="AG140" s="115"/>
      <c r="AH140" s="108" t="s">
        <v>109</v>
      </c>
      <c r="AI140" s="108" t="s">
        <v>95</v>
      </c>
      <c r="AJ140" s="114">
        <v>45838</v>
      </c>
      <c r="AK140" s="108" t="s">
        <v>96</v>
      </c>
      <c r="AL140" s="115">
        <v>45986.623900462961</v>
      </c>
      <c r="AM140" s="116"/>
      <c r="AN140" s="116"/>
      <c r="AO140" s="116">
        <v>46098</v>
      </c>
      <c r="AP140" s="108"/>
      <c r="AQ140" s="107"/>
      <c r="AR140" s="107"/>
      <c r="AS140" s="116"/>
      <c r="AT140" s="114"/>
      <c r="AU140" s="114"/>
      <c r="AV140" s="108"/>
      <c r="AW140" s="108"/>
      <c r="AX140" s="108" t="s">
        <v>97</v>
      </c>
      <c r="AY140" s="108" t="s">
        <v>98</v>
      </c>
      <c r="AZ140" s="108"/>
      <c r="BA140" s="108"/>
      <c r="BB140" s="108"/>
      <c r="BC140" s="108"/>
      <c r="BD140" s="111"/>
      <c r="BE140" s="111"/>
      <c r="BF140" s="111"/>
      <c r="BG140" s="111"/>
      <c r="BH140" s="111"/>
      <c r="BI140" s="111"/>
      <c r="BJ140" s="111"/>
      <c r="BK140" s="111"/>
      <c r="BL140" s="111"/>
      <c r="BM140" s="117" t="s">
        <v>414</v>
      </c>
      <c r="BN140" s="111"/>
      <c r="BO140" s="117"/>
      <c r="BP140" s="117"/>
      <c r="BQ140" s="117"/>
      <c r="BR140" s="111"/>
      <c r="BS140" s="118"/>
      <c r="BT140" s="111"/>
      <c r="BU140" s="118"/>
      <c r="BV140" s="111"/>
      <c r="BW140" s="111"/>
      <c r="BX140" s="111"/>
      <c r="BY140" s="111"/>
      <c r="BZ140" s="111"/>
      <c r="CA140" s="111"/>
      <c r="CB140" s="119">
        <v>0.8</v>
      </c>
      <c r="CC140" s="117"/>
      <c r="CD140" s="120" t="s">
        <v>125</v>
      </c>
      <c r="CE140" s="120" t="s">
        <v>125</v>
      </c>
      <c r="CF140" s="120">
        <v>46064</v>
      </c>
      <c r="CG140" s="111"/>
      <c r="CH140" s="120" t="s">
        <v>125</v>
      </c>
      <c r="CI140" s="120" t="s">
        <v>125</v>
      </c>
      <c r="CJ140" s="111"/>
    </row>
    <row r="141" spans="1:88" ht="57.95" hidden="1">
      <c r="A141" s="106" t="s">
        <v>260</v>
      </c>
      <c r="B141" s="107">
        <v>0</v>
      </c>
      <c r="C141" s="49" t="e">
        <v>#N/A</v>
      </c>
      <c r="D141" s="107">
        <v>0</v>
      </c>
      <c r="E141" s="108"/>
      <c r="F141" s="108"/>
      <c r="G141" s="121"/>
      <c r="H141" s="151">
        <v>17386788</v>
      </c>
      <c r="I141" s="127">
        <f>Tracker6[[#This Row],[DCR ID - PTC]]</f>
        <v>17386788</v>
      </c>
      <c r="J141" s="107" t="s">
        <v>184</v>
      </c>
      <c r="K141" s="108" t="s">
        <v>101</v>
      </c>
      <c r="L141" s="108"/>
      <c r="M141" s="108"/>
      <c r="N141" s="146"/>
      <c r="O141" s="111"/>
      <c r="P141" s="111"/>
      <c r="Q141" s="111"/>
      <c r="R141" s="111"/>
      <c r="S141" s="111"/>
      <c r="T141" s="111"/>
      <c r="U141" s="108"/>
      <c r="V141" s="108"/>
      <c r="W141" s="108"/>
      <c r="X141" s="108"/>
      <c r="Y141" s="108"/>
      <c r="Z141" s="108"/>
      <c r="AA141" s="108"/>
      <c r="AB141" s="112"/>
      <c r="AC141" s="108"/>
      <c r="AD141" s="108" t="s">
        <v>116</v>
      </c>
      <c r="AE141" s="107"/>
      <c r="AF141" s="113"/>
      <c r="AG141" s="115"/>
      <c r="AH141" s="108" t="s">
        <v>100</v>
      </c>
      <c r="AI141" s="108" t="s">
        <v>101</v>
      </c>
      <c r="AJ141" s="114">
        <v>45905.91609953704</v>
      </c>
      <c r="AK141" s="108" t="s">
        <v>96</v>
      </c>
      <c r="AL141" s="115">
        <v>45897.918344907404</v>
      </c>
      <c r="AM141" s="116"/>
      <c r="AN141" s="116"/>
      <c r="AO141" s="116" t="e">
        <v>#N/A</v>
      </c>
      <c r="AP141" s="108"/>
      <c r="AQ141" s="107"/>
      <c r="AR141" s="107"/>
      <c r="AS141" s="116"/>
      <c r="AT141" s="114"/>
      <c r="AU141" s="114"/>
      <c r="AV141" s="108"/>
      <c r="AW141" s="108"/>
      <c r="AX141" s="108" t="s">
        <v>97</v>
      </c>
      <c r="AY141" s="108" t="s">
        <v>98</v>
      </c>
      <c r="AZ141" s="108"/>
      <c r="BA141" s="108"/>
      <c r="BB141" s="108"/>
      <c r="BC141" s="108"/>
      <c r="BD141" s="111"/>
      <c r="BE141" s="111"/>
      <c r="BF141" s="111"/>
      <c r="BG141" s="111"/>
      <c r="BH141" s="111"/>
      <c r="BI141" s="111"/>
      <c r="BJ141" s="111"/>
      <c r="BK141" s="111"/>
      <c r="BL141" s="111"/>
      <c r="BM141" s="117" t="e">
        <v>#N/A</v>
      </c>
      <c r="BN141" s="111"/>
      <c r="BO141" s="117"/>
      <c r="BP141" s="117"/>
      <c r="BQ141" s="117"/>
      <c r="BR141" s="111"/>
      <c r="BS141" s="118"/>
      <c r="BT141" s="111"/>
      <c r="BU141" s="118"/>
      <c r="BV141" s="111"/>
      <c r="BW141" s="111"/>
      <c r="BX141" s="111"/>
      <c r="BY141" s="111"/>
      <c r="BZ141" s="111"/>
      <c r="CA141" s="111"/>
      <c r="CB141" s="119"/>
      <c r="CC141" s="117"/>
      <c r="CD141" s="120" t="e">
        <v>#N/A</v>
      </c>
      <c r="CE141" s="120" t="e">
        <v>#N/A</v>
      </c>
      <c r="CF141" s="120" t="e">
        <v>#N/A</v>
      </c>
      <c r="CG141" s="111"/>
      <c r="CH141" s="120" t="e">
        <v>#N/A</v>
      </c>
      <c r="CI141" s="120" t="e">
        <v>#N/A</v>
      </c>
      <c r="CJ141" s="111"/>
    </row>
    <row r="142" spans="1:88" ht="101.45" hidden="1">
      <c r="A142" s="106" t="s">
        <v>260</v>
      </c>
      <c r="B142" s="107">
        <v>0</v>
      </c>
      <c r="C142" s="49" t="e">
        <v>#N/A</v>
      </c>
      <c r="D142" s="107"/>
      <c r="E142" s="108"/>
      <c r="F142" s="108" t="s">
        <v>89</v>
      </c>
      <c r="G142" s="121"/>
      <c r="H142" s="151">
        <v>17773433</v>
      </c>
      <c r="I142" s="127">
        <f>Tracker6[[#This Row],[DCR ID - PTC]]</f>
        <v>17773433</v>
      </c>
      <c r="J142" s="107" t="s">
        <v>415</v>
      </c>
      <c r="K142" s="108" t="s">
        <v>101</v>
      </c>
      <c r="L142" s="108" t="s">
        <v>131</v>
      </c>
      <c r="M142" s="108"/>
      <c r="N142" s="146"/>
      <c r="O142" s="111"/>
      <c r="P142" s="111"/>
      <c r="Q142" s="111"/>
      <c r="R142" s="111"/>
      <c r="S142" s="111"/>
      <c r="T142" s="111"/>
      <c r="U142" s="108"/>
      <c r="V142" s="108"/>
      <c r="W142" s="108"/>
      <c r="X142" s="108"/>
      <c r="Y142" s="108"/>
      <c r="Z142" s="108"/>
      <c r="AA142" s="108" t="s">
        <v>253</v>
      </c>
      <c r="AB142" s="112">
        <v>45971</v>
      </c>
      <c r="AC142" s="108" t="s">
        <v>131</v>
      </c>
      <c r="AD142" s="108" t="s">
        <v>116</v>
      </c>
      <c r="AE142" s="107"/>
      <c r="AF142" s="113"/>
      <c r="AG142" s="115">
        <v>45967.841238425928</v>
      </c>
      <c r="AH142" s="108" t="s">
        <v>94</v>
      </c>
      <c r="AI142" s="108" t="s">
        <v>110</v>
      </c>
      <c r="AJ142" s="114">
        <v>45975.5625</v>
      </c>
      <c r="AK142" s="108" t="s">
        <v>96</v>
      </c>
      <c r="AL142" s="115">
        <v>45957.926747685182</v>
      </c>
      <c r="AM142" s="116"/>
      <c r="AN142" s="116"/>
      <c r="AO142" s="116" t="e">
        <v>#N/A</v>
      </c>
      <c r="AP142" s="108"/>
      <c r="AQ142" s="107"/>
      <c r="AR142" s="107"/>
      <c r="AS142" s="116"/>
      <c r="AT142" s="114"/>
      <c r="AU142" s="114"/>
      <c r="AV142" s="108"/>
      <c r="AW142" s="108"/>
      <c r="AX142" s="108" t="s">
        <v>97</v>
      </c>
      <c r="AY142" s="108" t="s">
        <v>98</v>
      </c>
      <c r="AZ142" s="108"/>
      <c r="BA142" s="108"/>
      <c r="BB142" s="108"/>
      <c r="BC142" s="108"/>
      <c r="BD142" s="111"/>
      <c r="BE142" s="111"/>
      <c r="BF142" s="111"/>
      <c r="BG142" s="111"/>
      <c r="BH142" s="111"/>
      <c r="BI142" s="111"/>
      <c r="BJ142" s="111"/>
      <c r="BK142" s="111"/>
      <c r="BL142" s="111"/>
      <c r="BM142" s="117" t="e">
        <v>#N/A</v>
      </c>
      <c r="BN142" s="111"/>
      <c r="BO142" s="117"/>
      <c r="BP142" s="117"/>
      <c r="BQ142" s="117"/>
      <c r="BR142" s="111"/>
      <c r="BS142" s="118"/>
      <c r="BT142" s="111"/>
      <c r="BU142" s="118"/>
      <c r="BV142" s="111"/>
      <c r="BW142" s="111"/>
      <c r="BX142" s="111"/>
      <c r="BY142" s="111"/>
      <c r="BZ142" s="111"/>
      <c r="CA142" s="111"/>
      <c r="CB142" s="119"/>
      <c r="CC142" s="117"/>
      <c r="CD142" s="120" t="e">
        <v>#N/A</v>
      </c>
      <c r="CE142" s="120" t="e">
        <v>#N/A</v>
      </c>
      <c r="CF142" s="120" t="e">
        <v>#N/A</v>
      </c>
      <c r="CG142" s="111"/>
      <c r="CH142" s="120" t="e">
        <v>#N/A</v>
      </c>
      <c r="CI142" s="120" t="e">
        <v>#N/A</v>
      </c>
      <c r="CJ142" s="111"/>
    </row>
    <row r="143" spans="1:88" ht="409.5" hidden="1">
      <c r="A143" s="106" t="s">
        <v>171</v>
      </c>
      <c r="B143" s="107">
        <f>4+4+5.5+7.5+6.5+7+3+5+5.5</f>
        <v>48</v>
      </c>
      <c r="C143" s="49">
        <f>51</f>
        <v>51</v>
      </c>
      <c r="D143" s="107">
        <f>Tracker6[[#This Row],[Estimated Hrs]]-Tracker6[[#This Row],[Actual Efforts (Hrs)]]</f>
        <v>3</v>
      </c>
      <c r="E143" s="108"/>
      <c r="F143" s="108" t="s">
        <v>127</v>
      </c>
      <c r="G143" s="121"/>
      <c r="H143" s="151">
        <v>18035598</v>
      </c>
      <c r="I143" s="127">
        <f>Tracker6[[#This Row],[DCR ID - PTC]]</f>
        <v>18035598</v>
      </c>
      <c r="J143" s="107" t="s">
        <v>416</v>
      </c>
      <c r="K143" s="108" t="s">
        <v>101</v>
      </c>
      <c r="L143" s="108" t="s">
        <v>131</v>
      </c>
      <c r="M143" s="108"/>
      <c r="N143" s="296" t="s">
        <v>417</v>
      </c>
      <c r="O143" s="111" t="s">
        <v>115</v>
      </c>
      <c r="P143" s="111"/>
      <c r="Q143" s="111"/>
      <c r="R143" s="111"/>
      <c r="S143" s="111"/>
      <c r="T143" s="111"/>
      <c r="U143" s="108"/>
      <c r="V143" s="108"/>
      <c r="W143" s="108"/>
      <c r="X143" s="108"/>
      <c r="Y143" s="108"/>
      <c r="Z143" s="108"/>
      <c r="AA143" s="108" t="s">
        <v>130</v>
      </c>
      <c r="AB143" s="112"/>
      <c r="AC143" s="108" t="s">
        <v>131</v>
      </c>
      <c r="AD143" s="108" t="s">
        <v>93</v>
      </c>
      <c r="AE143" s="107"/>
      <c r="AF143" s="113"/>
      <c r="AG143" s="115">
        <v>45996.717291666668</v>
      </c>
      <c r="AH143" s="108" t="s">
        <v>94</v>
      </c>
      <c r="AI143" s="108" t="s">
        <v>95</v>
      </c>
      <c r="AJ143" s="114">
        <v>45996.395833333336</v>
      </c>
      <c r="AK143" s="108" t="s">
        <v>96</v>
      </c>
      <c r="AL143" s="115">
        <v>45982.436180555553</v>
      </c>
      <c r="AM143" s="116"/>
      <c r="AN143" s="116"/>
      <c r="AO143" s="116" t="e">
        <v>#N/A</v>
      </c>
      <c r="AP143" s="108"/>
      <c r="AQ143" s="107"/>
      <c r="AR143" s="107"/>
      <c r="AS143" s="116"/>
      <c r="AT143" s="114"/>
      <c r="AU143" s="114"/>
      <c r="AV143" s="108"/>
      <c r="AW143" s="108"/>
      <c r="AX143" s="108" t="s">
        <v>97</v>
      </c>
      <c r="AY143" s="108" t="s">
        <v>98</v>
      </c>
      <c r="AZ143" s="108"/>
      <c r="BA143" s="108"/>
      <c r="BB143" s="108"/>
      <c r="BC143" s="108"/>
      <c r="BD143" s="111"/>
      <c r="BE143" s="111"/>
      <c r="BF143" s="111"/>
      <c r="BG143" s="111"/>
      <c r="BH143" s="111"/>
      <c r="BI143" s="111"/>
      <c r="BJ143" s="111"/>
      <c r="BK143" s="111"/>
      <c r="BL143" s="111"/>
      <c r="BM143" s="117" t="e">
        <v>#N/A</v>
      </c>
      <c r="BN143" s="111"/>
      <c r="BO143" s="117"/>
      <c r="BP143" s="117"/>
      <c r="BQ143" s="117"/>
      <c r="BR143" s="111"/>
      <c r="BS143" s="118"/>
      <c r="BT143" s="111"/>
      <c r="BU143" s="118"/>
      <c r="BV143" s="111"/>
      <c r="BW143" s="111"/>
      <c r="BX143" s="111"/>
      <c r="BY143" s="111"/>
      <c r="BZ143" s="111"/>
      <c r="CA143" s="111"/>
      <c r="CB143" s="119"/>
      <c r="CC143" s="117"/>
      <c r="CD143" s="120" t="e">
        <v>#N/A</v>
      </c>
      <c r="CE143" s="120" t="e">
        <v>#N/A</v>
      </c>
      <c r="CF143" s="120" t="e">
        <v>#N/A</v>
      </c>
      <c r="CG143" s="111"/>
      <c r="CH143" s="120" t="e">
        <v>#N/A</v>
      </c>
      <c r="CI143" s="120" t="e">
        <v>#N/A</v>
      </c>
      <c r="CJ143" s="111"/>
    </row>
    <row r="144" spans="1:88" ht="72.599999999999994" hidden="1">
      <c r="A144" s="106" t="s">
        <v>260</v>
      </c>
      <c r="B144" s="107">
        <v>0</v>
      </c>
      <c r="C144" s="49" t="e">
        <v>#N/A</v>
      </c>
      <c r="D144" s="107"/>
      <c r="E144" s="108"/>
      <c r="F144" s="108" t="s">
        <v>136</v>
      </c>
      <c r="G144" s="121"/>
      <c r="H144" s="151">
        <v>18509923</v>
      </c>
      <c r="I144" s="127">
        <f>Tracker6[[#This Row],[DCR ID - PTC]]</f>
        <v>18509923</v>
      </c>
      <c r="J144" s="107" t="s">
        <v>418</v>
      </c>
      <c r="K144" s="108" t="s">
        <v>179</v>
      </c>
      <c r="L144" s="108"/>
      <c r="M144" s="108"/>
      <c r="N144" s="146"/>
      <c r="O144" s="111"/>
      <c r="P144" s="111"/>
      <c r="Q144" s="111"/>
      <c r="R144" s="111"/>
      <c r="S144" s="111"/>
      <c r="T144" s="111"/>
      <c r="U144" s="108"/>
      <c r="V144" s="108"/>
      <c r="W144" s="108"/>
      <c r="X144" s="108"/>
      <c r="Y144" s="108"/>
      <c r="Z144" s="108"/>
      <c r="AA144" s="108" t="s">
        <v>107</v>
      </c>
      <c r="AB144" s="112">
        <v>46142</v>
      </c>
      <c r="AC144" s="108"/>
      <c r="AD144" s="108" t="s">
        <v>93</v>
      </c>
      <c r="AE144" s="107"/>
      <c r="AF144" s="113"/>
      <c r="AG144" s="115">
        <v>46058.98710648148</v>
      </c>
      <c r="AH144" s="108" t="s">
        <v>319</v>
      </c>
      <c r="AI144" s="108" t="s">
        <v>95</v>
      </c>
      <c r="AJ144" s="114">
        <v>46066</v>
      </c>
      <c r="AK144" s="108" t="s">
        <v>96</v>
      </c>
      <c r="AL144" s="115">
        <v>46044.478518518517</v>
      </c>
      <c r="AM144" s="116"/>
      <c r="AN144" s="116"/>
      <c r="AO144" s="116" t="e">
        <v>#N/A</v>
      </c>
      <c r="AP144" s="108"/>
      <c r="AQ144" s="107"/>
      <c r="AR144" s="107"/>
      <c r="AS144" s="116"/>
      <c r="AT144" s="114"/>
      <c r="AU144" s="114"/>
      <c r="AV144" s="108"/>
      <c r="AW144" s="108"/>
      <c r="AX144" s="108" t="s">
        <v>97</v>
      </c>
      <c r="AY144" s="108" t="s">
        <v>98</v>
      </c>
      <c r="AZ144" s="108"/>
      <c r="BA144" s="108"/>
      <c r="BB144" s="108"/>
      <c r="BC144" s="108"/>
      <c r="BD144" s="111"/>
      <c r="BE144" s="111"/>
      <c r="BF144" s="111"/>
      <c r="BG144" s="111"/>
      <c r="BH144" s="111"/>
      <c r="BI144" s="111"/>
      <c r="BJ144" s="111"/>
      <c r="BK144" s="111"/>
      <c r="BL144" s="111"/>
      <c r="BM144" s="117" t="e">
        <v>#N/A</v>
      </c>
      <c r="BN144" s="111"/>
      <c r="BO144" s="117"/>
      <c r="BP144" s="117"/>
      <c r="BQ144" s="117"/>
      <c r="BR144" s="111"/>
      <c r="BS144" s="118"/>
      <c r="BT144" s="111"/>
      <c r="BU144" s="118"/>
      <c r="BV144" s="111"/>
      <c r="BW144" s="111"/>
      <c r="BX144" s="111"/>
      <c r="BY144" s="111"/>
      <c r="BZ144" s="111"/>
      <c r="CA144" s="111"/>
      <c r="CB144" s="119"/>
      <c r="CC144" s="117"/>
      <c r="CD144" s="120" t="e">
        <v>#N/A</v>
      </c>
      <c r="CE144" s="120" t="e">
        <v>#N/A</v>
      </c>
      <c r="CF144" s="120" t="e">
        <v>#N/A</v>
      </c>
      <c r="CG144" s="111"/>
      <c r="CH144" s="120" t="e">
        <v>#N/A</v>
      </c>
      <c r="CI144" s="120" t="e">
        <v>#N/A</v>
      </c>
      <c r="CJ144" s="111"/>
    </row>
    <row r="145" spans="1:88" ht="72.599999999999994" hidden="1">
      <c r="A145" s="106" t="s">
        <v>260</v>
      </c>
      <c r="B145" s="107">
        <v>0</v>
      </c>
      <c r="C145" s="49" t="e">
        <v>#N/A</v>
      </c>
      <c r="D145" s="107"/>
      <c r="E145" s="108"/>
      <c r="F145" s="108" t="s">
        <v>136</v>
      </c>
      <c r="G145" s="121"/>
      <c r="H145" s="151">
        <v>18509938</v>
      </c>
      <c r="I145" s="127">
        <f>Tracker6[[#This Row],[DCR ID - PTC]]</f>
        <v>18509938</v>
      </c>
      <c r="J145" s="107" t="s">
        <v>419</v>
      </c>
      <c r="K145" s="108" t="s">
        <v>179</v>
      </c>
      <c r="L145" s="108"/>
      <c r="M145" s="108"/>
      <c r="N145" s="146"/>
      <c r="O145" s="111"/>
      <c r="P145" s="111"/>
      <c r="Q145" s="111"/>
      <c r="R145" s="111"/>
      <c r="S145" s="111"/>
      <c r="T145" s="111"/>
      <c r="U145" s="108"/>
      <c r="V145" s="108"/>
      <c r="W145" s="108"/>
      <c r="X145" s="108"/>
      <c r="Y145" s="108"/>
      <c r="Z145" s="108"/>
      <c r="AA145" s="108" t="s">
        <v>107</v>
      </c>
      <c r="AB145" s="112">
        <v>46142</v>
      </c>
      <c r="AC145" s="108"/>
      <c r="AD145" s="108" t="s">
        <v>93</v>
      </c>
      <c r="AE145" s="107"/>
      <c r="AF145" s="113"/>
      <c r="AG145" s="115">
        <v>46058.987824074073</v>
      </c>
      <c r="AH145" s="108" t="s">
        <v>319</v>
      </c>
      <c r="AI145" s="108" t="s">
        <v>95</v>
      </c>
      <c r="AJ145" s="114">
        <v>46066</v>
      </c>
      <c r="AK145" s="108" t="s">
        <v>96</v>
      </c>
      <c r="AL145" s="115">
        <v>46044.480567129627</v>
      </c>
      <c r="AM145" s="116"/>
      <c r="AN145" s="116"/>
      <c r="AO145" s="116" t="e">
        <v>#N/A</v>
      </c>
      <c r="AP145" s="108"/>
      <c r="AQ145" s="107"/>
      <c r="AR145" s="107"/>
      <c r="AS145" s="116"/>
      <c r="AT145" s="114"/>
      <c r="AU145" s="114"/>
      <c r="AV145" s="108"/>
      <c r="AW145" s="108"/>
      <c r="AX145" s="108" t="s">
        <v>97</v>
      </c>
      <c r="AY145" s="108" t="s">
        <v>98</v>
      </c>
      <c r="AZ145" s="108"/>
      <c r="BA145" s="108"/>
      <c r="BB145" s="108"/>
      <c r="BC145" s="108"/>
      <c r="BD145" s="111"/>
      <c r="BE145" s="111"/>
      <c r="BF145" s="111"/>
      <c r="BG145" s="111"/>
      <c r="BH145" s="111"/>
      <c r="BI145" s="111"/>
      <c r="BJ145" s="111"/>
      <c r="BK145" s="111"/>
      <c r="BL145" s="111"/>
      <c r="BM145" s="117" t="e">
        <v>#N/A</v>
      </c>
      <c r="BN145" s="111"/>
      <c r="BO145" s="117"/>
      <c r="BP145" s="117"/>
      <c r="BQ145" s="117"/>
      <c r="BR145" s="111"/>
      <c r="BS145" s="118"/>
      <c r="BT145" s="111"/>
      <c r="BU145" s="118"/>
      <c r="BV145" s="111"/>
      <c r="BW145" s="111"/>
      <c r="BX145" s="111"/>
      <c r="BY145" s="111"/>
      <c r="BZ145" s="111"/>
      <c r="CA145" s="111"/>
      <c r="CB145" s="119"/>
      <c r="CC145" s="117"/>
      <c r="CD145" s="120" t="e">
        <v>#N/A</v>
      </c>
      <c r="CE145" s="120" t="e">
        <v>#N/A</v>
      </c>
      <c r="CF145" s="120" t="e">
        <v>#N/A</v>
      </c>
      <c r="CG145" s="111"/>
      <c r="CH145" s="120" t="e">
        <v>#N/A</v>
      </c>
      <c r="CI145" s="120" t="e">
        <v>#N/A</v>
      </c>
      <c r="CJ145" s="111"/>
    </row>
    <row r="146" spans="1:88" ht="72.599999999999994" hidden="1">
      <c r="A146" s="106" t="s">
        <v>260</v>
      </c>
      <c r="B146" s="107">
        <v>0</v>
      </c>
      <c r="C146" s="49" t="e">
        <v>#N/A</v>
      </c>
      <c r="D146" s="107"/>
      <c r="E146" s="108"/>
      <c r="F146" s="108" t="s">
        <v>136</v>
      </c>
      <c r="G146" s="121"/>
      <c r="H146" s="151">
        <v>18509977</v>
      </c>
      <c r="I146" s="127">
        <f>Tracker6[[#This Row],[DCR ID - PTC]]</f>
        <v>18509977</v>
      </c>
      <c r="J146" s="107" t="s">
        <v>420</v>
      </c>
      <c r="K146" s="108" t="s">
        <v>179</v>
      </c>
      <c r="L146" s="108"/>
      <c r="M146" s="108"/>
      <c r="N146" s="146"/>
      <c r="O146" s="111"/>
      <c r="P146" s="111"/>
      <c r="Q146" s="111"/>
      <c r="R146" s="111"/>
      <c r="S146" s="111"/>
      <c r="T146" s="111"/>
      <c r="U146" s="108"/>
      <c r="V146" s="108"/>
      <c r="W146" s="108"/>
      <c r="X146" s="108"/>
      <c r="Y146" s="108"/>
      <c r="Z146" s="108"/>
      <c r="AA146" s="108" t="s">
        <v>107</v>
      </c>
      <c r="AB146" s="112">
        <v>46142</v>
      </c>
      <c r="AC146" s="108"/>
      <c r="AD146" s="108" t="s">
        <v>93</v>
      </c>
      <c r="AE146" s="107"/>
      <c r="AF146" s="113"/>
      <c r="AG146" s="115">
        <v>46058.991805555554</v>
      </c>
      <c r="AH146" s="108" t="s">
        <v>319</v>
      </c>
      <c r="AI146" s="108" t="s">
        <v>95</v>
      </c>
      <c r="AJ146" s="114">
        <v>46066</v>
      </c>
      <c r="AK146" s="108" t="s">
        <v>96</v>
      </c>
      <c r="AL146" s="115">
        <v>46044.495000000003</v>
      </c>
      <c r="AM146" s="116"/>
      <c r="AN146" s="116"/>
      <c r="AO146" s="116" t="e">
        <v>#N/A</v>
      </c>
      <c r="AP146" s="108"/>
      <c r="AQ146" s="107"/>
      <c r="AR146" s="107"/>
      <c r="AS146" s="116"/>
      <c r="AT146" s="114"/>
      <c r="AU146" s="114"/>
      <c r="AV146" s="108"/>
      <c r="AW146" s="108"/>
      <c r="AX146" s="108" t="s">
        <v>97</v>
      </c>
      <c r="AY146" s="108" t="s">
        <v>98</v>
      </c>
      <c r="AZ146" s="108"/>
      <c r="BA146" s="108"/>
      <c r="BB146" s="108"/>
      <c r="BC146" s="108"/>
      <c r="BD146" s="111"/>
      <c r="BE146" s="111"/>
      <c r="BF146" s="111"/>
      <c r="BG146" s="111"/>
      <c r="BH146" s="111"/>
      <c r="BI146" s="111"/>
      <c r="BJ146" s="111"/>
      <c r="BK146" s="111"/>
      <c r="BL146" s="111"/>
      <c r="BM146" s="117" t="e">
        <v>#N/A</v>
      </c>
      <c r="BN146" s="111"/>
      <c r="BO146" s="117"/>
      <c r="BP146" s="117"/>
      <c r="BQ146" s="117"/>
      <c r="BR146" s="111"/>
      <c r="BS146" s="118"/>
      <c r="BT146" s="111"/>
      <c r="BU146" s="118"/>
      <c r="BV146" s="111"/>
      <c r="BW146" s="111"/>
      <c r="BX146" s="111"/>
      <c r="BY146" s="111"/>
      <c r="BZ146" s="111"/>
      <c r="CA146" s="111"/>
      <c r="CB146" s="119"/>
      <c r="CC146" s="117"/>
      <c r="CD146" s="120" t="e">
        <v>#N/A</v>
      </c>
      <c r="CE146" s="120" t="e">
        <v>#N/A</v>
      </c>
      <c r="CF146" s="120" t="e">
        <v>#N/A</v>
      </c>
      <c r="CG146" s="111"/>
      <c r="CH146" s="120" t="e">
        <v>#N/A</v>
      </c>
      <c r="CI146" s="120" t="e">
        <v>#N/A</v>
      </c>
      <c r="CJ146" s="111"/>
    </row>
    <row r="147" spans="1:88" ht="246.6" hidden="1">
      <c r="A147" s="106" t="s">
        <v>260</v>
      </c>
      <c r="B147" s="107">
        <v>0</v>
      </c>
      <c r="C147" s="49" t="e">
        <v>#N/A</v>
      </c>
      <c r="D147" s="107"/>
      <c r="E147" s="108"/>
      <c r="F147" s="108" t="s">
        <v>136</v>
      </c>
      <c r="G147" s="121"/>
      <c r="H147" s="151">
        <v>18510119</v>
      </c>
      <c r="I147" s="127">
        <f>Tracker6[[#This Row],[DCR ID - PTC]]</f>
        <v>18510119</v>
      </c>
      <c r="J147" s="107" t="s">
        <v>421</v>
      </c>
      <c r="K147" s="108" t="s">
        <v>179</v>
      </c>
      <c r="L147" s="108" t="s">
        <v>422</v>
      </c>
      <c r="M147" s="108"/>
      <c r="N147" s="108"/>
      <c r="O147" s="111"/>
      <c r="P147" s="111"/>
      <c r="Q147" s="111"/>
      <c r="R147" s="111"/>
      <c r="S147" s="111"/>
      <c r="T147" s="111"/>
      <c r="U147" s="108"/>
      <c r="V147" s="108"/>
      <c r="W147" s="108"/>
      <c r="X147" s="108"/>
      <c r="Y147" s="108"/>
      <c r="Z147" s="108"/>
      <c r="AA147" s="108" t="s">
        <v>107</v>
      </c>
      <c r="AB147" s="112">
        <v>46142</v>
      </c>
      <c r="AC147" s="108" t="s">
        <v>422</v>
      </c>
      <c r="AD147" s="108" t="s">
        <v>93</v>
      </c>
      <c r="AE147" s="107"/>
      <c r="AF147" s="113"/>
      <c r="AG147" s="115">
        <v>46058.991805555554</v>
      </c>
      <c r="AH147" s="108" t="s">
        <v>319</v>
      </c>
      <c r="AI147" s="108" t="s">
        <v>95</v>
      </c>
      <c r="AJ147" s="114">
        <v>46066</v>
      </c>
      <c r="AK147" s="108" t="s">
        <v>96</v>
      </c>
      <c r="AL147" s="115">
        <v>46044.508935185186</v>
      </c>
      <c r="AM147" s="116"/>
      <c r="AN147" s="116"/>
      <c r="AO147" s="116" t="e">
        <v>#N/A</v>
      </c>
      <c r="AP147" s="108"/>
      <c r="AQ147" s="107"/>
      <c r="AR147" s="107"/>
      <c r="AS147" s="116"/>
      <c r="AT147" s="114"/>
      <c r="AU147" s="114"/>
      <c r="AV147" s="108"/>
      <c r="AW147" s="108"/>
      <c r="AX147" s="108" t="s">
        <v>97</v>
      </c>
      <c r="AY147" s="108" t="s">
        <v>98</v>
      </c>
      <c r="AZ147" s="108"/>
      <c r="BA147" s="108"/>
      <c r="BB147" s="108"/>
      <c r="BC147" s="108"/>
      <c r="BD147" s="111"/>
      <c r="BE147" s="111"/>
      <c r="BF147" s="111"/>
      <c r="BG147" s="111"/>
      <c r="BH147" s="111"/>
      <c r="BI147" s="111"/>
      <c r="BJ147" s="111"/>
      <c r="BK147" s="111"/>
      <c r="BL147" s="111"/>
      <c r="BM147" s="117" t="e">
        <v>#N/A</v>
      </c>
      <c r="BN147" s="111"/>
      <c r="BO147" s="117"/>
      <c r="BP147" s="117"/>
      <c r="BQ147" s="117"/>
      <c r="BR147" s="111"/>
      <c r="BS147" s="118"/>
      <c r="BT147" s="111"/>
      <c r="BU147" s="118"/>
      <c r="BV147" s="111"/>
      <c r="BW147" s="111"/>
      <c r="BX147" s="111"/>
      <c r="BY147" s="111"/>
      <c r="BZ147" s="111"/>
      <c r="CA147" s="111"/>
      <c r="CB147" s="119"/>
      <c r="CC147" s="117"/>
      <c r="CD147" s="120" t="e">
        <v>#N/A</v>
      </c>
      <c r="CE147" s="120" t="e">
        <v>#N/A</v>
      </c>
      <c r="CF147" s="120" t="e">
        <v>#N/A</v>
      </c>
      <c r="CG147" s="111"/>
      <c r="CH147" s="120" t="e">
        <v>#N/A</v>
      </c>
      <c r="CI147" s="120" t="e">
        <v>#N/A</v>
      </c>
      <c r="CJ147" s="111"/>
    </row>
    <row r="148" spans="1:88" ht="72.599999999999994" hidden="1">
      <c r="A148" s="106" t="s">
        <v>260</v>
      </c>
      <c r="B148" s="107">
        <v>0</v>
      </c>
      <c r="C148" s="49" t="e">
        <v>#N/A</v>
      </c>
      <c r="D148" s="107"/>
      <c r="E148" s="108"/>
      <c r="F148" s="108" t="s">
        <v>136</v>
      </c>
      <c r="G148" s="121"/>
      <c r="H148" s="151">
        <v>18510123</v>
      </c>
      <c r="I148" s="127">
        <f>Tracker6[[#This Row],[DCR ID - PTC]]</f>
        <v>18510123</v>
      </c>
      <c r="J148" s="107" t="s">
        <v>423</v>
      </c>
      <c r="K148" s="108" t="s">
        <v>179</v>
      </c>
      <c r="L148" s="108"/>
      <c r="M148" s="108"/>
      <c r="N148" s="108"/>
      <c r="O148" s="111"/>
      <c r="P148" s="111"/>
      <c r="Q148" s="111"/>
      <c r="R148" s="111"/>
      <c r="S148" s="111"/>
      <c r="T148" s="111"/>
      <c r="U148" s="108"/>
      <c r="V148" s="108"/>
      <c r="W148" s="108"/>
      <c r="X148" s="108"/>
      <c r="Y148" s="108"/>
      <c r="Z148" s="108"/>
      <c r="AA148" s="108" t="s">
        <v>107</v>
      </c>
      <c r="AB148" s="112">
        <v>46142</v>
      </c>
      <c r="AC148" s="108"/>
      <c r="AD148" s="108" t="s">
        <v>93</v>
      </c>
      <c r="AE148" s="107"/>
      <c r="AF148" s="113"/>
      <c r="AG148" s="115">
        <v>46058.991805555554</v>
      </c>
      <c r="AH148" s="108" t="s">
        <v>319</v>
      </c>
      <c r="AI148" s="108" t="s">
        <v>95</v>
      </c>
      <c r="AJ148" s="114">
        <v>46066</v>
      </c>
      <c r="AK148" s="108" t="s">
        <v>96</v>
      </c>
      <c r="AL148" s="115">
        <v>46044.511076388888</v>
      </c>
      <c r="AM148" s="116"/>
      <c r="AN148" s="116"/>
      <c r="AO148" s="116" t="e">
        <v>#N/A</v>
      </c>
      <c r="AP148" s="108"/>
      <c r="AQ148" s="107"/>
      <c r="AR148" s="107"/>
      <c r="AS148" s="116"/>
      <c r="AT148" s="114"/>
      <c r="AU148" s="114"/>
      <c r="AV148" s="108"/>
      <c r="AW148" s="108"/>
      <c r="AX148" s="108" t="s">
        <v>97</v>
      </c>
      <c r="AY148" s="108" t="s">
        <v>98</v>
      </c>
      <c r="AZ148" s="108"/>
      <c r="BA148" s="108"/>
      <c r="BB148" s="108"/>
      <c r="BC148" s="108"/>
      <c r="BD148" s="111"/>
      <c r="BE148" s="111"/>
      <c r="BF148" s="111"/>
      <c r="BG148" s="111"/>
      <c r="BH148" s="111"/>
      <c r="BI148" s="111"/>
      <c r="BJ148" s="111"/>
      <c r="BK148" s="111"/>
      <c r="BL148" s="111"/>
      <c r="BM148" s="117" t="e">
        <v>#N/A</v>
      </c>
      <c r="BN148" s="111"/>
      <c r="BO148" s="117"/>
      <c r="BP148" s="117"/>
      <c r="BQ148" s="117"/>
      <c r="BR148" s="111"/>
      <c r="BS148" s="118"/>
      <c r="BT148" s="111"/>
      <c r="BU148" s="118"/>
      <c r="BV148" s="111"/>
      <c r="BW148" s="111"/>
      <c r="BX148" s="111"/>
      <c r="BY148" s="111"/>
      <c r="BZ148" s="111"/>
      <c r="CA148" s="111"/>
      <c r="CB148" s="119"/>
      <c r="CC148" s="117"/>
      <c r="CD148" s="120" t="e">
        <v>#N/A</v>
      </c>
      <c r="CE148" s="120" t="e">
        <v>#N/A</v>
      </c>
      <c r="CF148" s="120" t="e">
        <v>#N/A</v>
      </c>
      <c r="CG148" s="111"/>
      <c r="CH148" s="120" t="e">
        <v>#N/A</v>
      </c>
      <c r="CI148" s="120" t="e">
        <v>#N/A</v>
      </c>
      <c r="CJ148" s="111"/>
    </row>
    <row r="149" spans="1:88" ht="72.599999999999994" hidden="1">
      <c r="A149" s="106" t="s">
        <v>260</v>
      </c>
      <c r="B149" s="107">
        <v>0</v>
      </c>
      <c r="C149" s="49" t="e">
        <v>#N/A</v>
      </c>
      <c r="D149" s="107"/>
      <c r="E149" s="108"/>
      <c r="F149" s="108" t="s">
        <v>136</v>
      </c>
      <c r="G149" s="121"/>
      <c r="H149" s="151">
        <v>18510125</v>
      </c>
      <c r="I149" s="127">
        <f>Tracker6[[#This Row],[DCR ID - PTC]]</f>
        <v>18510125</v>
      </c>
      <c r="J149" s="107" t="s">
        <v>424</v>
      </c>
      <c r="K149" s="108" t="s">
        <v>179</v>
      </c>
      <c r="L149" s="108"/>
      <c r="M149" s="108"/>
      <c r="N149" s="108"/>
      <c r="O149" s="111"/>
      <c r="P149" s="111"/>
      <c r="Q149" s="111"/>
      <c r="R149" s="111"/>
      <c r="S149" s="111"/>
      <c r="T149" s="111"/>
      <c r="U149" s="108"/>
      <c r="V149" s="108"/>
      <c r="W149" s="108"/>
      <c r="X149" s="108"/>
      <c r="Y149" s="108"/>
      <c r="Z149" s="108"/>
      <c r="AA149" s="108" t="s">
        <v>107</v>
      </c>
      <c r="AB149" s="112">
        <v>46142</v>
      </c>
      <c r="AC149" s="108"/>
      <c r="AD149" s="108" t="s">
        <v>93</v>
      </c>
      <c r="AE149" s="107"/>
      <c r="AF149" s="113"/>
      <c r="AG149" s="115">
        <v>46058.991805555554</v>
      </c>
      <c r="AH149" s="108" t="s">
        <v>319</v>
      </c>
      <c r="AI149" s="108" t="s">
        <v>95</v>
      </c>
      <c r="AJ149" s="114">
        <v>46066</v>
      </c>
      <c r="AK149" s="108" t="s">
        <v>96</v>
      </c>
      <c r="AL149" s="115">
        <v>46044.512361111112</v>
      </c>
      <c r="AM149" s="116"/>
      <c r="AN149" s="116"/>
      <c r="AO149" s="116" t="e">
        <v>#N/A</v>
      </c>
      <c r="AP149" s="108"/>
      <c r="AQ149" s="107"/>
      <c r="AR149" s="107"/>
      <c r="AS149" s="116"/>
      <c r="AT149" s="114"/>
      <c r="AU149" s="114"/>
      <c r="AV149" s="108"/>
      <c r="AW149" s="108"/>
      <c r="AX149" s="108" t="s">
        <v>97</v>
      </c>
      <c r="AY149" s="108" t="s">
        <v>98</v>
      </c>
      <c r="AZ149" s="108"/>
      <c r="BA149" s="108"/>
      <c r="BB149" s="108"/>
      <c r="BC149" s="108"/>
      <c r="BD149" s="111"/>
      <c r="BE149" s="111"/>
      <c r="BF149" s="111"/>
      <c r="BG149" s="111"/>
      <c r="BH149" s="111"/>
      <c r="BI149" s="111"/>
      <c r="BJ149" s="111"/>
      <c r="BK149" s="111"/>
      <c r="BL149" s="111"/>
      <c r="BM149" s="117" t="e">
        <v>#N/A</v>
      </c>
      <c r="BN149" s="111"/>
      <c r="BO149" s="117"/>
      <c r="BP149" s="117"/>
      <c r="BQ149" s="117"/>
      <c r="BR149" s="111"/>
      <c r="BS149" s="118"/>
      <c r="BT149" s="111"/>
      <c r="BU149" s="118"/>
      <c r="BV149" s="111"/>
      <c r="BW149" s="111"/>
      <c r="BX149" s="111"/>
      <c r="BY149" s="111"/>
      <c r="BZ149" s="111"/>
      <c r="CA149" s="111"/>
      <c r="CB149" s="119"/>
      <c r="CC149" s="117"/>
      <c r="CD149" s="120" t="e">
        <v>#N/A</v>
      </c>
      <c r="CE149" s="120" t="e">
        <v>#N/A</v>
      </c>
      <c r="CF149" s="120" t="e">
        <v>#N/A</v>
      </c>
      <c r="CG149" s="111"/>
      <c r="CH149" s="120" t="e">
        <v>#N/A</v>
      </c>
      <c r="CI149" s="120" t="e">
        <v>#N/A</v>
      </c>
      <c r="CJ149" s="111"/>
    </row>
    <row r="150" spans="1:88" ht="72.599999999999994" hidden="1">
      <c r="A150" s="106" t="s">
        <v>260</v>
      </c>
      <c r="B150" s="107">
        <v>0</v>
      </c>
      <c r="C150" s="49" t="e">
        <v>#N/A</v>
      </c>
      <c r="D150" s="107"/>
      <c r="E150" s="108"/>
      <c r="F150" s="108" t="s">
        <v>136</v>
      </c>
      <c r="G150" s="121"/>
      <c r="H150" s="151">
        <v>18510179</v>
      </c>
      <c r="I150" s="127">
        <f>Tracker6[[#This Row],[DCR ID - PTC]]</f>
        <v>18510179</v>
      </c>
      <c r="J150" s="107" t="s">
        <v>425</v>
      </c>
      <c r="K150" s="108" t="s">
        <v>179</v>
      </c>
      <c r="L150" s="108"/>
      <c r="M150" s="108"/>
      <c r="N150" s="108"/>
      <c r="O150" s="111"/>
      <c r="P150" s="111"/>
      <c r="Q150" s="111"/>
      <c r="R150" s="111"/>
      <c r="S150" s="111"/>
      <c r="T150" s="111"/>
      <c r="U150" s="108"/>
      <c r="V150" s="108"/>
      <c r="W150" s="108"/>
      <c r="X150" s="108"/>
      <c r="Y150" s="108"/>
      <c r="Z150" s="108"/>
      <c r="AA150" s="108" t="s">
        <v>107</v>
      </c>
      <c r="AB150" s="112">
        <v>46142</v>
      </c>
      <c r="AC150" s="108"/>
      <c r="AD150" s="108" t="s">
        <v>93</v>
      </c>
      <c r="AE150" s="107"/>
      <c r="AF150" s="113"/>
      <c r="AG150" s="115">
        <v>46058.991805555554</v>
      </c>
      <c r="AH150" s="108" t="s">
        <v>319</v>
      </c>
      <c r="AI150" s="108" t="s">
        <v>95</v>
      </c>
      <c r="AJ150" s="114">
        <v>46066</v>
      </c>
      <c r="AK150" s="108" t="s">
        <v>96</v>
      </c>
      <c r="AL150" s="115">
        <v>46044.513194444444</v>
      </c>
      <c r="AM150" s="116"/>
      <c r="AN150" s="116"/>
      <c r="AO150" s="116" t="e">
        <v>#N/A</v>
      </c>
      <c r="AP150" s="108"/>
      <c r="AQ150" s="107"/>
      <c r="AR150" s="107"/>
      <c r="AS150" s="116"/>
      <c r="AT150" s="114"/>
      <c r="AU150" s="114"/>
      <c r="AV150" s="108"/>
      <c r="AW150" s="108"/>
      <c r="AX150" s="108" t="s">
        <v>97</v>
      </c>
      <c r="AY150" s="108" t="s">
        <v>98</v>
      </c>
      <c r="AZ150" s="108"/>
      <c r="BA150" s="108"/>
      <c r="BB150" s="108"/>
      <c r="BC150" s="108"/>
      <c r="BD150" s="111"/>
      <c r="BE150" s="111"/>
      <c r="BF150" s="111"/>
      <c r="BG150" s="111"/>
      <c r="BH150" s="111"/>
      <c r="BI150" s="111"/>
      <c r="BJ150" s="111"/>
      <c r="BK150" s="111"/>
      <c r="BL150" s="111"/>
      <c r="BM150" s="117" t="e">
        <v>#N/A</v>
      </c>
      <c r="BN150" s="111"/>
      <c r="BO150" s="117"/>
      <c r="BP150" s="117"/>
      <c r="BQ150" s="117"/>
      <c r="BR150" s="111"/>
      <c r="BS150" s="118"/>
      <c r="BT150" s="111"/>
      <c r="BU150" s="118"/>
      <c r="BV150" s="111"/>
      <c r="BW150" s="111"/>
      <c r="BX150" s="111"/>
      <c r="BY150" s="111"/>
      <c r="BZ150" s="111"/>
      <c r="CA150" s="111"/>
      <c r="CB150" s="119"/>
      <c r="CC150" s="117"/>
      <c r="CD150" s="120" t="e">
        <v>#N/A</v>
      </c>
      <c r="CE150" s="120" t="e">
        <v>#N/A</v>
      </c>
      <c r="CF150" s="120" t="e">
        <v>#N/A</v>
      </c>
      <c r="CG150" s="111"/>
      <c r="CH150" s="120" t="e">
        <v>#N/A</v>
      </c>
      <c r="CI150" s="120" t="e">
        <v>#N/A</v>
      </c>
      <c r="CJ150" s="111"/>
    </row>
    <row r="151" spans="1:88" ht="72.599999999999994" hidden="1">
      <c r="A151" s="106" t="s">
        <v>260</v>
      </c>
      <c r="B151" s="107">
        <v>0</v>
      </c>
      <c r="C151" s="49" t="e">
        <v>#N/A</v>
      </c>
      <c r="D151" s="107"/>
      <c r="E151" s="108"/>
      <c r="F151" s="108" t="s">
        <v>136</v>
      </c>
      <c r="G151" s="121"/>
      <c r="H151" s="151">
        <v>18510181</v>
      </c>
      <c r="I151" s="127">
        <f>Tracker6[[#This Row],[DCR ID - PTC]]</f>
        <v>18510181</v>
      </c>
      <c r="J151" s="107" t="s">
        <v>426</v>
      </c>
      <c r="K151" s="108" t="s">
        <v>179</v>
      </c>
      <c r="L151" s="108"/>
      <c r="M151" s="108"/>
      <c r="N151" s="108"/>
      <c r="O151" s="111"/>
      <c r="P151" s="111"/>
      <c r="Q151" s="111"/>
      <c r="R151" s="111"/>
      <c r="S151" s="111"/>
      <c r="T151" s="111"/>
      <c r="U151" s="108"/>
      <c r="V151" s="108"/>
      <c r="W151" s="108"/>
      <c r="X151" s="108"/>
      <c r="Y151" s="108"/>
      <c r="Z151" s="108"/>
      <c r="AA151" s="108" t="s">
        <v>107</v>
      </c>
      <c r="AB151" s="112">
        <v>46142</v>
      </c>
      <c r="AC151" s="108"/>
      <c r="AD151" s="108" t="s">
        <v>93</v>
      </c>
      <c r="AE151" s="107"/>
      <c r="AF151" s="113"/>
      <c r="AG151" s="115">
        <v>46058.991805555554</v>
      </c>
      <c r="AH151" s="108" t="s">
        <v>319</v>
      </c>
      <c r="AI151" s="108" t="s">
        <v>95</v>
      </c>
      <c r="AJ151" s="114">
        <v>46066</v>
      </c>
      <c r="AK151" s="108" t="s">
        <v>96</v>
      </c>
      <c r="AL151" s="115">
        <v>46044.514178240737</v>
      </c>
      <c r="AM151" s="116"/>
      <c r="AN151" s="116"/>
      <c r="AO151" s="116" t="e">
        <v>#N/A</v>
      </c>
      <c r="AP151" s="108"/>
      <c r="AQ151" s="107"/>
      <c r="AR151" s="107"/>
      <c r="AS151" s="116"/>
      <c r="AT151" s="114"/>
      <c r="AU151" s="114"/>
      <c r="AV151" s="108"/>
      <c r="AW151" s="108"/>
      <c r="AX151" s="108" t="s">
        <v>97</v>
      </c>
      <c r="AY151" s="108" t="s">
        <v>98</v>
      </c>
      <c r="AZ151" s="108"/>
      <c r="BA151" s="108"/>
      <c r="BB151" s="108"/>
      <c r="BC151" s="108"/>
      <c r="BD151" s="111"/>
      <c r="BE151" s="111"/>
      <c r="BF151" s="111"/>
      <c r="BG151" s="111"/>
      <c r="BH151" s="111"/>
      <c r="BI151" s="111"/>
      <c r="BJ151" s="111"/>
      <c r="BK151" s="111"/>
      <c r="BL151" s="111"/>
      <c r="BM151" s="117" t="e">
        <v>#N/A</v>
      </c>
      <c r="BN151" s="111"/>
      <c r="BO151" s="117"/>
      <c r="BP151" s="117"/>
      <c r="BQ151" s="117"/>
      <c r="BR151" s="111"/>
      <c r="BS151" s="118"/>
      <c r="BT151" s="111"/>
      <c r="BU151" s="118"/>
      <c r="BV151" s="111"/>
      <c r="BW151" s="111"/>
      <c r="BX151" s="111"/>
      <c r="BY151" s="111"/>
      <c r="BZ151" s="111"/>
      <c r="CA151" s="111"/>
      <c r="CB151" s="119"/>
      <c r="CC151" s="117"/>
      <c r="CD151" s="120" t="e">
        <v>#N/A</v>
      </c>
      <c r="CE151" s="120" t="e">
        <v>#N/A</v>
      </c>
      <c r="CF151" s="120" t="e">
        <v>#N/A</v>
      </c>
      <c r="CG151" s="111"/>
      <c r="CH151" s="120" t="e">
        <v>#N/A</v>
      </c>
      <c r="CI151" s="120" t="e">
        <v>#N/A</v>
      </c>
      <c r="CJ151" s="111"/>
    </row>
    <row r="152" spans="1:88" ht="246.6" hidden="1">
      <c r="A152" s="106" t="s">
        <v>260</v>
      </c>
      <c r="B152" s="107">
        <v>0</v>
      </c>
      <c r="C152" s="49" t="e">
        <v>#N/A</v>
      </c>
      <c r="D152" s="107"/>
      <c r="E152" s="108"/>
      <c r="F152" s="108" t="s">
        <v>136</v>
      </c>
      <c r="G152" s="121"/>
      <c r="H152" s="151">
        <v>18510523</v>
      </c>
      <c r="I152" s="127">
        <f>Tracker6[[#This Row],[DCR ID - PTC]]</f>
        <v>18510523</v>
      </c>
      <c r="J152" s="107" t="s">
        <v>427</v>
      </c>
      <c r="K152" s="108" t="s">
        <v>179</v>
      </c>
      <c r="L152" s="108" t="s">
        <v>422</v>
      </c>
      <c r="M152" s="108"/>
      <c r="N152" s="108"/>
      <c r="O152" s="111"/>
      <c r="P152" s="111"/>
      <c r="Q152" s="111"/>
      <c r="R152" s="111"/>
      <c r="S152" s="111"/>
      <c r="T152" s="111"/>
      <c r="U152" s="108"/>
      <c r="V152" s="108"/>
      <c r="W152" s="108"/>
      <c r="X152" s="108"/>
      <c r="Y152" s="108"/>
      <c r="Z152" s="108"/>
      <c r="AA152" s="108" t="s">
        <v>107</v>
      </c>
      <c r="AB152" s="112">
        <v>46142</v>
      </c>
      <c r="AC152" s="108" t="s">
        <v>422</v>
      </c>
      <c r="AD152" s="108" t="s">
        <v>93</v>
      </c>
      <c r="AE152" s="107"/>
      <c r="AF152" s="113"/>
      <c r="AG152" s="115">
        <v>46058.991805555554</v>
      </c>
      <c r="AH152" s="108" t="s">
        <v>319</v>
      </c>
      <c r="AI152" s="108" t="s">
        <v>95</v>
      </c>
      <c r="AJ152" s="114">
        <v>46066</v>
      </c>
      <c r="AK152" s="108" t="s">
        <v>96</v>
      </c>
      <c r="AL152" s="115">
        <v>46044.646828703706</v>
      </c>
      <c r="AM152" s="116"/>
      <c r="AN152" s="116"/>
      <c r="AO152" s="116" t="e">
        <v>#N/A</v>
      </c>
      <c r="AP152" s="108"/>
      <c r="AQ152" s="107"/>
      <c r="AR152" s="107"/>
      <c r="AS152" s="116"/>
      <c r="AT152" s="114"/>
      <c r="AU152" s="114"/>
      <c r="AV152" s="108"/>
      <c r="AW152" s="108"/>
      <c r="AX152" s="108" t="s">
        <v>97</v>
      </c>
      <c r="AY152" s="108" t="s">
        <v>98</v>
      </c>
      <c r="AZ152" s="108"/>
      <c r="BA152" s="108"/>
      <c r="BB152" s="108"/>
      <c r="BC152" s="108"/>
      <c r="BD152" s="111"/>
      <c r="BE152" s="111"/>
      <c r="BF152" s="111"/>
      <c r="BG152" s="111"/>
      <c r="BH152" s="111"/>
      <c r="BI152" s="111"/>
      <c r="BJ152" s="111"/>
      <c r="BK152" s="111"/>
      <c r="BL152" s="111"/>
      <c r="BM152" s="117" t="e">
        <v>#N/A</v>
      </c>
      <c r="BN152" s="111"/>
      <c r="BO152" s="117"/>
      <c r="BP152" s="117"/>
      <c r="BQ152" s="117"/>
      <c r="BR152" s="111"/>
      <c r="BS152" s="118"/>
      <c r="BT152" s="111"/>
      <c r="BU152" s="118"/>
      <c r="BV152" s="111"/>
      <c r="BW152" s="111"/>
      <c r="BX152" s="111"/>
      <c r="BY152" s="111"/>
      <c r="BZ152" s="111"/>
      <c r="CA152" s="111"/>
      <c r="CB152" s="119"/>
      <c r="CC152" s="117"/>
      <c r="CD152" s="120" t="e">
        <v>#N/A</v>
      </c>
      <c r="CE152" s="120" t="e">
        <v>#N/A</v>
      </c>
      <c r="CF152" s="120" t="e">
        <v>#N/A</v>
      </c>
      <c r="CG152" s="111"/>
      <c r="CH152" s="120" t="e">
        <v>#N/A</v>
      </c>
      <c r="CI152" s="120" t="e">
        <v>#N/A</v>
      </c>
      <c r="CJ152" s="111"/>
    </row>
    <row r="153" spans="1:88" ht="72.599999999999994" hidden="1">
      <c r="A153" s="106" t="s">
        <v>260</v>
      </c>
      <c r="B153" s="107">
        <v>0</v>
      </c>
      <c r="C153" s="107" t="e">
        <v>#N/A</v>
      </c>
      <c r="D153" s="107"/>
      <c r="E153" s="108"/>
      <c r="F153" s="108" t="s">
        <v>136</v>
      </c>
      <c r="G153" s="121"/>
      <c r="H153" s="151">
        <v>18510541</v>
      </c>
      <c r="I153" s="127">
        <f>Tracker6[[#This Row],[DCR ID - PTC]]</f>
        <v>18510541</v>
      </c>
      <c r="J153" s="107" t="s">
        <v>428</v>
      </c>
      <c r="K153" s="108" t="s">
        <v>179</v>
      </c>
      <c r="L153" s="108"/>
      <c r="M153" s="108"/>
      <c r="N153" s="108"/>
      <c r="O153" s="111"/>
      <c r="P153" s="111"/>
      <c r="Q153" s="111"/>
      <c r="R153" s="111"/>
      <c r="S153" s="111"/>
      <c r="T153" s="111"/>
      <c r="U153" s="108"/>
      <c r="V153" s="108"/>
      <c r="W153" s="108"/>
      <c r="X153" s="108"/>
      <c r="Y153" s="108"/>
      <c r="Z153" s="108"/>
      <c r="AA153" s="108" t="s">
        <v>107</v>
      </c>
      <c r="AB153" s="112">
        <v>46142</v>
      </c>
      <c r="AC153" s="108"/>
      <c r="AD153" s="108" t="s">
        <v>93</v>
      </c>
      <c r="AE153" s="107"/>
      <c r="AF153" s="113"/>
      <c r="AG153" s="115">
        <v>46058.991805555554</v>
      </c>
      <c r="AH153" s="108" t="s">
        <v>319</v>
      </c>
      <c r="AI153" s="108" t="s">
        <v>95</v>
      </c>
      <c r="AJ153" s="114">
        <v>46066</v>
      </c>
      <c r="AK153" s="108" t="s">
        <v>96</v>
      </c>
      <c r="AL153" s="115">
        <v>46044.663101851853</v>
      </c>
      <c r="AM153" s="116"/>
      <c r="AN153" s="116"/>
      <c r="AO153" s="116" t="e">
        <v>#N/A</v>
      </c>
      <c r="AP153" s="108"/>
      <c r="AQ153" s="107"/>
      <c r="AR153" s="107"/>
      <c r="AS153" s="116"/>
      <c r="AT153" s="114"/>
      <c r="AU153" s="114"/>
      <c r="AV153" s="108"/>
      <c r="AW153" s="108"/>
      <c r="AX153" s="108" t="s">
        <v>97</v>
      </c>
      <c r="AY153" s="108" t="s">
        <v>98</v>
      </c>
      <c r="AZ153" s="108"/>
      <c r="BA153" s="108"/>
      <c r="BB153" s="108"/>
      <c r="BC153" s="108"/>
      <c r="BD153" s="111"/>
      <c r="BE153" s="111"/>
      <c r="BF153" s="111"/>
      <c r="BG153" s="111"/>
      <c r="BH153" s="111"/>
      <c r="BI153" s="111"/>
      <c r="BJ153" s="111"/>
      <c r="BK153" s="111"/>
      <c r="BL153" s="111"/>
      <c r="BM153" s="117" t="e">
        <v>#N/A</v>
      </c>
      <c r="BN153" s="111"/>
      <c r="BO153" s="117"/>
      <c r="BP153" s="117"/>
      <c r="BQ153" s="117"/>
      <c r="BR153" s="111"/>
      <c r="BS153" s="118"/>
      <c r="BT153" s="111"/>
      <c r="BU153" s="118"/>
      <c r="BV153" s="111"/>
      <c r="BW153" s="111"/>
      <c r="BX153" s="111"/>
      <c r="BY153" s="111"/>
      <c r="BZ153" s="111"/>
      <c r="CA153" s="111"/>
      <c r="CB153" s="119"/>
      <c r="CC153" s="117"/>
      <c r="CD153" s="123" t="e">
        <v>#N/A</v>
      </c>
      <c r="CE153" s="123" t="e">
        <v>#N/A</v>
      </c>
      <c r="CF153" s="123" t="e">
        <v>#N/A</v>
      </c>
      <c r="CG153" s="111"/>
      <c r="CH153" s="120" t="e">
        <v>#N/A</v>
      </c>
      <c r="CI153" s="123" t="e">
        <v>#N/A</v>
      </c>
      <c r="CJ153" s="111"/>
    </row>
    <row r="154" spans="1:88" ht="72.599999999999994" hidden="1">
      <c r="A154" s="106" t="s">
        <v>260</v>
      </c>
      <c r="B154" s="107">
        <v>0</v>
      </c>
      <c r="C154" s="107" t="e">
        <v>#N/A</v>
      </c>
      <c r="D154" s="107"/>
      <c r="E154" s="108"/>
      <c r="F154" s="108" t="s">
        <v>136</v>
      </c>
      <c r="G154" s="121"/>
      <c r="H154" s="151">
        <v>18510549</v>
      </c>
      <c r="I154" s="127">
        <f>Tracker6[[#This Row],[DCR ID - PTC]]</f>
        <v>18510549</v>
      </c>
      <c r="J154" s="107" t="s">
        <v>429</v>
      </c>
      <c r="K154" s="108" t="s">
        <v>179</v>
      </c>
      <c r="L154" s="108"/>
      <c r="M154" s="108"/>
      <c r="N154" s="108"/>
      <c r="O154" s="111"/>
      <c r="P154" s="111"/>
      <c r="Q154" s="111"/>
      <c r="R154" s="111"/>
      <c r="S154" s="111"/>
      <c r="T154" s="111"/>
      <c r="U154" s="108"/>
      <c r="V154" s="108"/>
      <c r="W154" s="108"/>
      <c r="X154" s="108"/>
      <c r="Y154" s="108"/>
      <c r="Z154" s="108"/>
      <c r="AA154" s="108" t="s">
        <v>107</v>
      </c>
      <c r="AB154" s="112">
        <v>46142</v>
      </c>
      <c r="AC154" s="108"/>
      <c r="AD154" s="108" t="s">
        <v>93</v>
      </c>
      <c r="AE154" s="107"/>
      <c r="AF154" s="113"/>
      <c r="AG154" s="115">
        <v>46058.991805555554</v>
      </c>
      <c r="AH154" s="108" t="s">
        <v>319</v>
      </c>
      <c r="AI154" s="108" t="s">
        <v>95</v>
      </c>
      <c r="AJ154" s="114">
        <v>46066</v>
      </c>
      <c r="AK154" s="108" t="s">
        <v>96</v>
      </c>
      <c r="AL154" s="115">
        <v>46044.66511574074</v>
      </c>
      <c r="AM154" s="116"/>
      <c r="AN154" s="116"/>
      <c r="AO154" s="116" t="e">
        <v>#N/A</v>
      </c>
      <c r="AP154" s="108"/>
      <c r="AQ154" s="107"/>
      <c r="AR154" s="107"/>
      <c r="AS154" s="116"/>
      <c r="AT154" s="114"/>
      <c r="AU154" s="114"/>
      <c r="AV154" s="108"/>
      <c r="AW154" s="108"/>
      <c r="AX154" s="108" t="s">
        <v>97</v>
      </c>
      <c r="AY154" s="108" t="s">
        <v>98</v>
      </c>
      <c r="AZ154" s="108"/>
      <c r="BA154" s="108"/>
      <c r="BB154" s="108"/>
      <c r="BC154" s="108"/>
      <c r="BD154" s="111"/>
      <c r="BE154" s="111"/>
      <c r="BF154" s="111"/>
      <c r="BG154" s="111"/>
      <c r="BH154" s="111"/>
      <c r="BI154" s="111"/>
      <c r="BJ154" s="111"/>
      <c r="BK154" s="111"/>
      <c r="BL154" s="111"/>
      <c r="BM154" s="117" t="e">
        <v>#N/A</v>
      </c>
      <c r="BN154" s="111"/>
      <c r="BO154" s="117"/>
      <c r="BP154" s="117"/>
      <c r="BQ154" s="117"/>
      <c r="BR154" s="111"/>
      <c r="BS154" s="118"/>
      <c r="BT154" s="111"/>
      <c r="BU154" s="118"/>
      <c r="BV154" s="111"/>
      <c r="BW154" s="111"/>
      <c r="BX154" s="111"/>
      <c r="BY154" s="111"/>
      <c r="BZ154" s="111"/>
      <c r="CA154" s="111"/>
      <c r="CB154" s="119"/>
      <c r="CC154" s="117"/>
      <c r="CD154" s="123" t="e">
        <v>#N/A</v>
      </c>
      <c r="CE154" s="123" t="e">
        <v>#N/A</v>
      </c>
      <c r="CF154" s="123" t="e">
        <v>#N/A</v>
      </c>
      <c r="CG154" s="111"/>
      <c r="CH154" s="120" t="e">
        <v>#N/A</v>
      </c>
      <c r="CI154" s="123" t="e">
        <v>#N/A</v>
      </c>
      <c r="CJ154" s="111"/>
    </row>
    <row r="155" spans="1:88" ht="72.599999999999994" hidden="1">
      <c r="A155" s="106" t="s">
        <v>260</v>
      </c>
      <c r="B155" s="107">
        <v>0</v>
      </c>
      <c r="C155" s="107" t="e">
        <v>#N/A</v>
      </c>
      <c r="D155" s="107"/>
      <c r="E155" s="108"/>
      <c r="F155" s="108" t="s">
        <v>136</v>
      </c>
      <c r="G155" s="121"/>
      <c r="H155" s="151">
        <v>18510555</v>
      </c>
      <c r="I155" s="127">
        <f>Tracker6[[#This Row],[DCR ID - PTC]]</f>
        <v>18510555</v>
      </c>
      <c r="J155" s="107" t="s">
        <v>430</v>
      </c>
      <c r="K155" s="108" t="s">
        <v>179</v>
      </c>
      <c r="L155" s="108"/>
      <c r="M155" s="108"/>
      <c r="N155" s="134"/>
      <c r="O155" s="111"/>
      <c r="P155" s="111"/>
      <c r="Q155" s="111"/>
      <c r="R155" s="111"/>
      <c r="S155" s="111"/>
      <c r="T155" s="111"/>
      <c r="U155" s="108"/>
      <c r="V155" s="108"/>
      <c r="W155" s="108"/>
      <c r="X155" s="108"/>
      <c r="Y155" s="108"/>
      <c r="Z155" s="108"/>
      <c r="AA155" s="108" t="s">
        <v>107</v>
      </c>
      <c r="AB155" s="112">
        <v>46142</v>
      </c>
      <c r="AC155" s="108"/>
      <c r="AD155" s="108" t="s">
        <v>93</v>
      </c>
      <c r="AE155" s="107"/>
      <c r="AF155" s="113"/>
      <c r="AG155" s="115">
        <v>46058.991805555554</v>
      </c>
      <c r="AH155" s="108" t="s">
        <v>319</v>
      </c>
      <c r="AI155" s="108" t="s">
        <v>95</v>
      </c>
      <c r="AJ155" s="114">
        <v>46066</v>
      </c>
      <c r="AK155" s="108" t="s">
        <v>96</v>
      </c>
      <c r="AL155" s="115">
        <v>46044.667569444442</v>
      </c>
      <c r="AM155" s="116"/>
      <c r="AN155" s="116"/>
      <c r="AO155" s="116" t="e">
        <v>#N/A</v>
      </c>
      <c r="AP155" s="108"/>
      <c r="AQ155" s="107"/>
      <c r="AR155" s="107"/>
      <c r="AS155" s="116"/>
      <c r="AT155" s="114"/>
      <c r="AU155" s="114"/>
      <c r="AV155" s="108"/>
      <c r="AW155" s="108"/>
      <c r="AX155" s="108" t="s">
        <v>97</v>
      </c>
      <c r="AY155" s="108" t="s">
        <v>98</v>
      </c>
      <c r="AZ155" s="108"/>
      <c r="BA155" s="108"/>
      <c r="BB155" s="108"/>
      <c r="BC155" s="108"/>
      <c r="BD155" s="111"/>
      <c r="BE155" s="111"/>
      <c r="BF155" s="111"/>
      <c r="BG155" s="111"/>
      <c r="BH155" s="111"/>
      <c r="BI155" s="111"/>
      <c r="BJ155" s="111"/>
      <c r="BK155" s="111"/>
      <c r="BL155" s="111"/>
      <c r="BM155" s="117" t="e">
        <v>#N/A</v>
      </c>
      <c r="BN155" s="111"/>
      <c r="BO155" s="117"/>
      <c r="BP155" s="117"/>
      <c r="BQ155" s="117"/>
      <c r="BR155" s="111"/>
      <c r="BS155" s="118"/>
      <c r="BT155" s="111"/>
      <c r="BU155" s="118"/>
      <c r="BV155" s="111"/>
      <c r="BW155" s="111"/>
      <c r="BX155" s="111"/>
      <c r="BY155" s="111"/>
      <c r="BZ155" s="111"/>
      <c r="CA155" s="111"/>
      <c r="CB155" s="119"/>
      <c r="CC155" s="117"/>
      <c r="CD155" s="123" t="e">
        <v>#N/A</v>
      </c>
      <c r="CE155" s="123" t="e">
        <v>#N/A</v>
      </c>
      <c r="CF155" s="123" t="e">
        <v>#N/A</v>
      </c>
      <c r="CG155" s="111"/>
      <c r="CH155" s="120" t="e">
        <v>#N/A</v>
      </c>
      <c r="CI155" s="123" t="e">
        <v>#N/A</v>
      </c>
      <c r="CJ155" s="111"/>
    </row>
    <row r="156" spans="1:88" ht="72.599999999999994" hidden="1">
      <c r="A156" s="106" t="s">
        <v>260</v>
      </c>
      <c r="B156" s="107">
        <v>0</v>
      </c>
      <c r="C156" s="49" t="e">
        <v>#N/A</v>
      </c>
      <c r="D156" s="107"/>
      <c r="E156" s="108"/>
      <c r="F156" s="108" t="s">
        <v>136</v>
      </c>
      <c r="G156" s="121"/>
      <c r="H156" s="151">
        <v>18510560</v>
      </c>
      <c r="I156" s="127">
        <f>Tracker6[[#This Row],[DCR ID - PTC]]</f>
        <v>18510560</v>
      </c>
      <c r="J156" s="107" t="s">
        <v>431</v>
      </c>
      <c r="K156" s="108" t="s">
        <v>179</v>
      </c>
      <c r="L156" s="108"/>
      <c r="M156" s="108"/>
      <c r="N156" s="108"/>
      <c r="O156" s="111"/>
      <c r="P156" s="111"/>
      <c r="Q156" s="111"/>
      <c r="R156" s="111"/>
      <c r="S156" s="111"/>
      <c r="T156" s="111"/>
      <c r="U156" s="108"/>
      <c r="V156" s="108"/>
      <c r="W156" s="108"/>
      <c r="X156" s="108"/>
      <c r="Y156" s="108"/>
      <c r="Z156" s="108"/>
      <c r="AA156" s="108" t="s">
        <v>107</v>
      </c>
      <c r="AB156" s="112">
        <v>46142</v>
      </c>
      <c r="AC156" s="108"/>
      <c r="AD156" s="108" t="s">
        <v>93</v>
      </c>
      <c r="AE156" s="107"/>
      <c r="AF156" s="113"/>
      <c r="AG156" s="115">
        <v>46058.991805555554</v>
      </c>
      <c r="AH156" s="108" t="s">
        <v>319</v>
      </c>
      <c r="AI156" s="108" t="s">
        <v>95</v>
      </c>
      <c r="AJ156" s="114">
        <v>46066</v>
      </c>
      <c r="AK156" s="108" t="s">
        <v>96</v>
      </c>
      <c r="AL156" s="115">
        <v>46044.670312499999</v>
      </c>
      <c r="AM156" s="116"/>
      <c r="AN156" s="116"/>
      <c r="AO156" s="116" t="e">
        <v>#N/A</v>
      </c>
      <c r="AP156" s="108"/>
      <c r="AQ156" s="107"/>
      <c r="AR156" s="107"/>
      <c r="AS156" s="116"/>
      <c r="AT156" s="114"/>
      <c r="AU156" s="114"/>
      <c r="AV156" s="108"/>
      <c r="AW156" s="108"/>
      <c r="AX156" s="108" t="s">
        <v>97</v>
      </c>
      <c r="AY156" s="108" t="s">
        <v>98</v>
      </c>
      <c r="AZ156" s="108"/>
      <c r="BA156" s="108"/>
      <c r="BB156" s="108"/>
      <c r="BC156" s="108"/>
      <c r="BD156" s="111"/>
      <c r="BE156" s="111"/>
      <c r="BF156" s="111"/>
      <c r="BG156" s="111"/>
      <c r="BH156" s="111"/>
      <c r="BI156" s="111"/>
      <c r="BJ156" s="111"/>
      <c r="BK156" s="111"/>
      <c r="BL156" s="111"/>
      <c r="BM156" s="117" t="e">
        <v>#N/A</v>
      </c>
      <c r="BN156" s="111"/>
      <c r="BO156" s="117"/>
      <c r="BP156" s="117"/>
      <c r="BQ156" s="117"/>
      <c r="BR156" s="111"/>
      <c r="BS156" s="118"/>
      <c r="BT156" s="111"/>
      <c r="BU156" s="118"/>
      <c r="BV156" s="111"/>
      <c r="BW156" s="111"/>
      <c r="BX156" s="111"/>
      <c r="BY156" s="111"/>
      <c r="BZ156" s="111"/>
      <c r="CA156" s="111"/>
      <c r="CB156" s="119"/>
      <c r="CC156" s="117"/>
      <c r="CD156" s="120" t="e">
        <v>#N/A</v>
      </c>
      <c r="CE156" s="120" t="e">
        <v>#N/A</v>
      </c>
      <c r="CF156" s="120" t="e">
        <v>#N/A</v>
      </c>
      <c r="CG156" s="111"/>
      <c r="CH156" s="120" t="e">
        <v>#N/A</v>
      </c>
      <c r="CI156" s="120" t="e">
        <v>#N/A</v>
      </c>
      <c r="CJ156" s="111"/>
    </row>
    <row r="157" spans="1:88" ht="72.599999999999994" hidden="1">
      <c r="A157" s="106" t="s">
        <v>260</v>
      </c>
      <c r="B157" s="107">
        <v>0</v>
      </c>
      <c r="C157" s="49" t="e">
        <v>#N/A</v>
      </c>
      <c r="D157" s="107"/>
      <c r="E157" s="108"/>
      <c r="F157" s="108" t="s">
        <v>136</v>
      </c>
      <c r="G157" s="121"/>
      <c r="H157" s="151">
        <v>18510562</v>
      </c>
      <c r="I157" s="127">
        <f>Tracker6[[#This Row],[DCR ID - PTC]]</f>
        <v>18510562</v>
      </c>
      <c r="J157" s="107" t="s">
        <v>432</v>
      </c>
      <c r="K157" s="108" t="s">
        <v>179</v>
      </c>
      <c r="L157" s="108"/>
      <c r="M157" s="108"/>
      <c r="N157" s="108"/>
      <c r="O157" s="111"/>
      <c r="P157" s="111"/>
      <c r="Q157" s="111"/>
      <c r="R157" s="111"/>
      <c r="S157" s="111"/>
      <c r="T157" s="111"/>
      <c r="U157" s="108"/>
      <c r="V157" s="108"/>
      <c r="W157" s="108"/>
      <c r="X157" s="108"/>
      <c r="Y157" s="108"/>
      <c r="Z157" s="108"/>
      <c r="AA157" s="108" t="s">
        <v>107</v>
      </c>
      <c r="AB157" s="112">
        <v>46142</v>
      </c>
      <c r="AC157" s="108"/>
      <c r="AD157" s="108" t="s">
        <v>93</v>
      </c>
      <c r="AE157" s="107"/>
      <c r="AF157" s="113"/>
      <c r="AG157" s="115">
        <v>46058.991805555554</v>
      </c>
      <c r="AH157" s="108" t="s">
        <v>319</v>
      </c>
      <c r="AI157" s="108" t="s">
        <v>95</v>
      </c>
      <c r="AJ157" s="114">
        <v>46066</v>
      </c>
      <c r="AK157" s="108" t="s">
        <v>96</v>
      </c>
      <c r="AL157" s="115">
        <v>46044.67255787037</v>
      </c>
      <c r="AM157" s="116"/>
      <c r="AN157" s="116"/>
      <c r="AO157" s="116" t="e">
        <v>#N/A</v>
      </c>
      <c r="AP157" s="108"/>
      <c r="AQ157" s="107"/>
      <c r="AR157" s="107"/>
      <c r="AS157" s="116"/>
      <c r="AT157" s="114"/>
      <c r="AU157" s="114"/>
      <c r="AV157" s="108"/>
      <c r="AW157" s="108"/>
      <c r="AX157" s="108" t="s">
        <v>97</v>
      </c>
      <c r="AY157" s="108" t="s">
        <v>98</v>
      </c>
      <c r="AZ157" s="108"/>
      <c r="BA157" s="108"/>
      <c r="BB157" s="108"/>
      <c r="BC157" s="108"/>
      <c r="BD157" s="111"/>
      <c r="BE157" s="111"/>
      <c r="BF157" s="111"/>
      <c r="BG157" s="111"/>
      <c r="BH157" s="111"/>
      <c r="BI157" s="111"/>
      <c r="BJ157" s="111"/>
      <c r="BK157" s="111"/>
      <c r="BL157" s="111"/>
      <c r="BM157" s="117" t="e">
        <v>#N/A</v>
      </c>
      <c r="BN157" s="111"/>
      <c r="BO157" s="117"/>
      <c r="BP157" s="117"/>
      <c r="BQ157" s="117"/>
      <c r="BR157" s="111"/>
      <c r="BS157" s="118"/>
      <c r="BT157" s="111"/>
      <c r="BU157" s="118"/>
      <c r="BV157" s="111"/>
      <c r="BW157" s="111"/>
      <c r="BX157" s="111"/>
      <c r="BY157" s="111"/>
      <c r="BZ157" s="111"/>
      <c r="CA157" s="111"/>
      <c r="CB157" s="119"/>
      <c r="CC157" s="117"/>
      <c r="CD157" s="120" t="e">
        <v>#N/A</v>
      </c>
      <c r="CE157" s="120" t="e">
        <v>#N/A</v>
      </c>
      <c r="CF157" s="120" t="e">
        <v>#N/A</v>
      </c>
      <c r="CG157" s="111"/>
      <c r="CH157" s="120" t="e">
        <v>#N/A</v>
      </c>
      <c r="CI157" s="120" t="e">
        <v>#N/A</v>
      </c>
      <c r="CJ157" s="111"/>
    </row>
    <row r="158" spans="1:88" ht="72.599999999999994" hidden="1">
      <c r="A158" s="106" t="s">
        <v>260</v>
      </c>
      <c r="B158" s="107">
        <v>0</v>
      </c>
      <c r="C158" s="49" t="e">
        <v>#N/A</v>
      </c>
      <c r="D158" s="107"/>
      <c r="E158" s="108"/>
      <c r="F158" s="108" t="s">
        <v>136</v>
      </c>
      <c r="G158" s="121"/>
      <c r="H158" s="151">
        <v>18510565</v>
      </c>
      <c r="I158" s="127">
        <f>Tracker6[[#This Row],[DCR ID - PTC]]</f>
        <v>18510565</v>
      </c>
      <c r="J158" s="107" t="s">
        <v>433</v>
      </c>
      <c r="K158" s="108" t="s">
        <v>179</v>
      </c>
      <c r="L158" s="108"/>
      <c r="M158" s="108"/>
      <c r="N158" s="108"/>
      <c r="O158" s="111"/>
      <c r="P158" s="111"/>
      <c r="Q158" s="111"/>
      <c r="R158" s="111"/>
      <c r="S158" s="111"/>
      <c r="T158" s="111"/>
      <c r="U158" s="108"/>
      <c r="V158" s="108"/>
      <c r="W158" s="108"/>
      <c r="X158" s="108"/>
      <c r="Y158" s="108"/>
      <c r="Z158" s="108"/>
      <c r="AA158" s="108" t="s">
        <v>107</v>
      </c>
      <c r="AB158" s="112">
        <v>46142</v>
      </c>
      <c r="AC158" s="108"/>
      <c r="AD158" s="108" t="s">
        <v>93</v>
      </c>
      <c r="AE158" s="107"/>
      <c r="AF158" s="113"/>
      <c r="AG158" s="115">
        <v>46058.991805555554</v>
      </c>
      <c r="AH158" s="108" t="s">
        <v>319</v>
      </c>
      <c r="AI158" s="108" t="s">
        <v>95</v>
      </c>
      <c r="AJ158" s="114">
        <v>46066</v>
      </c>
      <c r="AK158" s="108" t="s">
        <v>96</v>
      </c>
      <c r="AL158" s="115">
        <v>46044.674837962964</v>
      </c>
      <c r="AM158" s="116"/>
      <c r="AN158" s="116"/>
      <c r="AO158" s="116" t="e">
        <v>#N/A</v>
      </c>
      <c r="AP158" s="108"/>
      <c r="AQ158" s="107"/>
      <c r="AR158" s="107"/>
      <c r="AS158" s="116"/>
      <c r="AT158" s="114"/>
      <c r="AU158" s="114"/>
      <c r="AV158" s="108"/>
      <c r="AW158" s="108"/>
      <c r="AX158" s="108" t="s">
        <v>97</v>
      </c>
      <c r="AY158" s="108" t="s">
        <v>98</v>
      </c>
      <c r="AZ158" s="108"/>
      <c r="BA158" s="108"/>
      <c r="BB158" s="108"/>
      <c r="BC158" s="108"/>
      <c r="BD158" s="111"/>
      <c r="BE158" s="111"/>
      <c r="BF158" s="111"/>
      <c r="BG158" s="111"/>
      <c r="BH158" s="111"/>
      <c r="BI158" s="111"/>
      <c r="BJ158" s="111"/>
      <c r="BK158" s="111"/>
      <c r="BL158" s="111"/>
      <c r="BM158" s="117" t="e">
        <v>#N/A</v>
      </c>
      <c r="BN158" s="111"/>
      <c r="BO158" s="117"/>
      <c r="BP158" s="117"/>
      <c r="BQ158" s="117"/>
      <c r="BR158" s="111"/>
      <c r="BS158" s="118"/>
      <c r="BT158" s="111"/>
      <c r="BU158" s="118"/>
      <c r="BV158" s="111"/>
      <c r="BW158" s="111"/>
      <c r="BX158" s="111"/>
      <c r="BY158" s="111"/>
      <c r="BZ158" s="111"/>
      <c r="CA158" s="111"/>
      <c r="CB158" s="119"/>
      <c r="CC158" s="117"/>
      <c r="CD158" s="120" t="e">
        <v>#N/A</v>
      </c>
      <c r="CE158" s="120" t="e">
        <v>#N/A</v>
      </c>
      <c r="CF158" s="120" t="e">
        <v>#N/A</v>
      </c>
      <c r="CG158" s="111"/>
      <c r="CH158" s="120" t="e">
        <v>#N/A</v>
      </c>
      <c r="CI158" s="120" t="e">
        <v>#N/A</v>
      </c>
      <c r="CJ158" s="111"/>
    </row>
    <row r="159" spans="1:88" ht="57.95" hidden="1">
      <c r="A159" s="106" t="s">
        <v>260</v>
      </c>
      <c r="B159" s="107">
        <v>0</v>
      </c>
      <c r="C159" s="49" t="e">
        <v>#N/A</v>
      </c>
      <c r="D159" s="107"/>
      <c r="E159" s="108"/>
      <c r="F159" s="108" t="s">
        <v>136</v>
      </c>
      <c r="G159" s="121"/>
      <c r="H159" s="151">
        <v>18510569</v>
      </c>
      <c r="I159" s="127">
        <f>Tracker6[[#This Row],[DCR ID - PTC]]</f>
        <v>18510569</v>
      </c>
      <c r="J159" s="107" t="s">
        <v>434</v>
      </c>
      <c r="K159" s="108" t="s">
        <v>179</v>
      </c>
      <c r="L159" s="108"/>
      <c r="M159" s="108"/>
      <c r="N159" s="108"/>
      <c r="O159" s="111"/>
      <c r="P159" s="111"/>
      <c r="Q159" s="111"/>
      <c r="R159" s="111"/>
      <c r="S159" s="111"/>
      <c r="T159" s="111"/>
      <c r="U159" s="108"/>
      <c r="V159" s="108"/>
      <c r="W159" s="108"/>
      <c r="X159" s="108"/>
      <c r="Y159" s="108"/>
      <c r="Z159" s="108"/>
      <c r="AA159" s="108" t="s">
        <v>107</v>
      </c>
      <c r="AB159" s="112">
        <v>46142</v>
      </c>
      <c r="AC159" s="108"/>
      <c r="AD159" s="108" t="s">
        <v>93</v>
      </c>
      <c r="AE159" s="107"/>
      <c r="AF159" s="113"/>
      <c r="AG159" s="115">
        <v>46058.991805555554</v>
      </c>
      <c r="AH159" s="108" t="s">
        <v>319</v>
      </c>
      <c r="AI159" s="108" t="s">
        <v>95</v>
      </c>
      <c r="AJ159" s="114">
        <v>46066</v>
      </c>
      <c r="AK159" s="108" t="s">
        <v>96</v>
      </c>
      <c r="AL159" s="115">
        <v>46044.67628472222</v>
      </c>
      <c r="AM159" s="116"/>
      <c r="AN159" s="116"/>
      <c r="AO159" s="116" t="e">
        <v>#N/A</v>
      </c>
      <c r="AP159" s="108"/>
      <c r="AQ159" s="107"/>
      <c r="AR159" s="107"/>
      <c r="AS159" s="116"/>
      <c r="AT159" s="114"/>
      <c r="AU159" s="114"/>
      <c r="AV159" s="108"/>
      <c r="AW159" s="108"/>
      <c r="AX159" s="108" t="s">
        <v>97</v>
      </c>
      <c r="AY159" s="108" t="s">
        <v>98</v>
      </c>
      <c r="AZ159" s="108"/>
      <c r="BA159" s="108"/>
      <c r="BB159" s="108"/>
      <c r="BC159" s="108"/>
      <c r="BD159" s="111"/>
      <c r="BE159" s="111"/>
      <c r="BF159" s="111"/>
      <c r="BG159" s="111"/>
      <c r="BH159" s="111"/>
      <c r="BI159" s="111"/>
      <c r="BJ159" s="111"/>
      <c r="BK159" s="111"/>
      <c r="BL159" s="111"/>
      <c r="BM159" s="117" t="e">
        <v>#N/A</v>
      </c>
      <c r="BN159" s="111"/>
      <c r="BO159" s="117"/>
      <c r="BP159" s="117"/>
      <c r="BQ159" s="117"/>
      <c r="BR159" s="111"/>
      <c r="BS159" s="118"/>
      <c r="BT159" s="111"/>
      <c r="BU159" s="118"/>
      <c r="BV159" s="111"/>
      <c r="BW159" s="111"/>
      <c r="BX159" s="111"/>
      <c r="BY159" s="111"/>
      <c r="BZ159" s="111"/>
      <c r="CA159" s="111"/>
      <c r="CB159" s="119"/>
      <c r="CC159" s="117"/>
      <c r="CD159" s="120" t="e">
        <v>#N/A</v>
      </c>
      <c r="CE159" s="120" t="e">
        <v>#N/A</v>
      </c>
      <c r="CF159" s="120" t="e">
        <v>#N/A</v>
      </c>
      <c r="CG159" s="111"/>
      <c r="CH159" s="120" t="e">
        <v>#N/A</v>
      </c>
      <c r="CI159" s="120" t="e">
        <v>#N/A</v>
      </c>
      <c r="CJ159" s="111"/>
    </row>
    <row r="160" spans="1:88" ht="57.95" hidden="1">
      <c r="A160" s="106" t="s">
        <v>260</v>
      </c>
      <c r="B160" s="107">
        <v>0</v>
      </c>
      <c r="C160" s="49" t="e">
        <v>#N/A</v>
      </c>
      <c r="D160" s="107"/>
      <c r="E160" s="108"/>
      <c r="F160" s="108" t="s">
        <v>136</v>
      </c>
      <c r="G160" s="121"/>
      <c r="H160" s="151">
        <v>18510575</v>
      </c>
      <c r="I160" s="127">
        <f>Tracker6[[#This Row],[DCR ID - PTC]]</f>
        <v>18510575</v>
      </c>
      <c r="J160" s="107" t="s">
        <v>435</v>
      </c>
      <c r="K160" s="108" t="s">
        <v>179</v>
      </c>
      <c r="L160" s="108"/>
      <c r="M160" s="108"/>
      <c r="N160" s="108"/>
      <c r="O160" s="111"/>
      <c r="P160" s="111"/>
      <c r="Q160" s="111"/>
      <c r="R160" s="111"/>
      <c r="S160" s="111"/>
      <c r="T160" s="111"/>
      <c r="U160" s="108"/>
      <c r="V160" s="108"/>
      <c r="W160" s="108"/>
      <c r="X160" s="108"/>
      <c r="Y160" s="108"/>
      <c r="Z160" s="108"/>
      <c r="AA160" s="108" t="s">
        <v>107</v>
      </c>
      <c r="AB160" s="112">
        <v>46142</v>
      </c>
      <c r="AC160" s="108"/>
      <c r="AD160" s="108" t="s">
        <v>93</v>
      </c>
      <c r="AE160" s="107"/>
      <c r="AF160" s="113"/>
      <c r="AG160" s="115">
        <v>46058.991805555554</v>
      </c>
      <c r="AH160" s="108" t="s">
        <v>319</v>
      </c>
      <c r="AI160" s="108" t="s">
        <v>95</v>
      </c>
      <c r="AJ160" s="114">
        <v>46066</v>
      </c>
      <c r="AK160" s="108" t="s">
        <v>96</v>
      </c>
      <c r="AL160" s="115">
        <v>46044.677870370368</v>
      </c>
      <c r="AM160" s="116"/>
      <c r="AN160" s="116"/>
      <c r="AO160" s="116" t="e">
        <v>#N/A</v>
      </c>
      <c r="AP160" s="108"/>
      <c r="AQ160" s="107"/>
      <c r="AR160" s="107"/>
      <c r="AS160" s="116"/>
      <c r="AT160" s="114"/>
      <c r="AU160" s="114"/>
      <c r="AV160" s="108"/>
      <c r="AW160" s="108"/>
      <c r="AX160" s="108" t="s">
        <v>97</v>
      </c>
      <c r="AY160" s="108" t="s">
        <v>98</v>
      </c>
      <c r="AZ160" s="108"/>
      <c r="BA160" s="108"/>
      <c r="BB160" s="108"/>
      <c r="BC160" s="108"/>
      <c r="BD160" s="111"/>
      <c r="BE160" s="111"/>
      <c r="BF160" s="111"/>
      <c r="BG160" s="111"/>
      <c r="BH160" s="111"/>
      <c r="BI160" s="111"/>
      <c r="BJ160" s="111"/>
      <c r="BK160" s="111"/>
      <c r="BL160" s="111"/>
      <c r="BM160" s="117" t="e">
        <v>#N/A</v>
      </c>
      <c r="BN160" s="111"/>
      <c r="BO160" s="117"/>
      <c r="BP160" s="117"/>
      <c r="BQ160" s="117"/>
      <c r="BR160" s="111"/>
      <c r="BS160" s="118"/>
      <c r="BT160" s="111"/>
      <c r="BU160" s="118"/>
      <c r="BV160" s="111"/>
      <c r="BW160" s="111"/>
      <c r="BX160" s="111"/>
      <c r="BY160" s="111"/>
      <c r="BZ160" s="111"/>
      <c r="CA160" s="111"/>
      <c r="CB160" s="119"/>
      <c r="CC160" s="117"/>
      <c r="CD160" s="120" t="e">
        <v>#N/A</v>
      </c>
      <c r="CE160" s="120" t="e">
        <v>#N/A</v>
      </c>
      <c r="CF160" s="120" t="e">
        <v>#N/A</v>
      </c>
      <c r="CG160" s="111"/>
      <c r="CH160" s="120" t="e">
        <v>#N/A</v>
      </c>
      <c r="CI160" s="120" t="e">
        <v>#N/A</v>
      </c>
      <c r="CJ160" s="111"/>
    </row>
    <row r="161" spans="1:88" ht="57.95" hidden="1">
      <c r="A161" s="106" t="s">
        <v>260</v>
      </c>
      <c r="B161" s="107">
        <v>0</v>
      </c>
      <c r="C161" s="49" t="e">
        <v>#N/A</v>
      </c>
      <c r="D161" s="107"/>
      <c r="E161" s="108"/>
      <c r="F161" s="108" t="s">
        <v>136</v>
      </c>
      <c r="G161" s="121"/>
      <c r="H161" s="151">
        <v>18510580</v>
      </c>
      <c r="I161" s="109">
        <f>Tracker6[[#This Row],[DCR ID - PTC]]</f>
        <v>18510580</v>
      </c>
      <c r="J161" s="107" t="s">
        <v>436</v>
      </c>
      <c r="K161" s="108" t="s">
        <v>179</v>
      </c>
      <c r="L161" s="108"/>
      <c r="M161" s="108"/>
      <c r="N161" s="108"/>
      <c r="O161" s="111"/>
      <c r="P161" s="111"/>
      <c r="Q161" s="111"/>
      <c r="R161" s="111"/>
      <c r="S161" s="111"/>
      <c r="T161" s="111"/>
      <c r="U161" s="108"/>
      <c r="V161" s="108"/>
      <c r="W161" s="108"/>
      <c r="X161" s="108"/>
      <c r="Y161" s="108"/>
      <c r="Z161" s="108"/>
      <c r="AA161" s="108" t="s">
        <v>107</v>
      </c>
      <c r="AB161" s="112">
        <v>46142</v>
      </c>
      <c r="AC161" s="108"/>
      <c r="AD161" s="108" t="s">
        <v>93</v>
      </c>
      <c r="AE161" s="107"/>
      <c r="AF161" s="113"/>
      <c r="AG161" s="115">
        <v>46058.991805555554</v>
      </c>
      <c r="AH161" s="108" t="s">
        <v>319</v>
      </c>
      <c r="AI161" s="108" t="s">
        <v>95</v>
      </c>
      <c r="AJ161" s="114">
        <v>46066</v>
      </c>
      <c r="AK161" s="108" t="s">
        <v>96</v>
      </c>
      <c r="AL161" s="115">
        <v>46044.679780092592</v>
      </c>
      <c r="AM161" s="116"/>
      <c r="AN161" s="116"/>
      <c r="AO161" s="116" t="e">
        <v>#N/A</v>
      </c>
      <c r="AP161" s="108"/>
      <c r="AQ161" s="107"/>
      <c r="AR161" s="107"/>
      <c r="AS161" s="116"/>
      <c r="AT161" s="114"/>
      <c r="AU161" s="114"/>
      <c r="AV161" s="108"/>
      <c r="AW161" s="108"/>
      <c r="AX161" s="108" t="s">
        <v>97</v>
      </c>
      <c r="AY161" s="108" t="s">
        <v>98</v>
      </c>
      <c r="AZ161" s="108"/>
      <c r="BA161" s="108"/>
      <c r="BB161" s="108"/>
      <c r="BC161" s="108"/>
      <c r="BD161" s="111"/>
      <c r="BE161" s="111"/>
      <c r="BF161" s="111"/>
      <c r="BG161" s="111"/>
      <c r="BH161" s="111"/>
      <c r="BI161" s="111"/>
      <c r="BJ161" s="111"/>
      <c r="BK161" s="111"/>
      <c r="BL161" s="111"/>
      <c r="BM161" s="117" t="e">
        <v>#N/A</v>
      </c>
      <c r="BN161" s="111"/>
      <c r="BO161" s="117"/>
      <c r="BP161" s="117"/>
      <c r="BQ161" s="117"/>
      <c r="BR161" s="111"/>
      <c r="BS161" s="118"/>
      <c r="BT161" s="111"/>
      <c r="BU161" s="118"/>
      <c r="BV161" s="111"/>
      <c r="BW161" s="111"/>
      <c r="BX161" s="111"/>
      <c r="BY161" s="111"/>
      <c r="BZ161" s="111"/>
      <c r="CA161" s="111"/>
      <c r="CB161" s="119"/>
      <c r="CC161" s="117"/>
      <c r="CD161" s="120" t="e">
        <v>#N/A</v>
      </c>
      <c r="CE161" s="120" t="e">
        <v>#N/A</v>
      </c>
      <c r="CF161" s="120" t="e">
        <v>#N/A</v>
      </c>
      <c r="CG161" s="111"/>
      <c r="CH161" s="120" t="e">
        <v>#N/A</v>
      </c>
      <c r="CI161" s="120" t="e">
        <v>#N/A</v>
      </c>
      <c r="CJ161" s="111"/>
    </row>
    <row r="162" spans="1:88" ht="72.599999999999994" hidden="1">
      <c r="A162" s="106" t="s">
        <v>260</v>
      </c>
      <c r="B162" s="107">
        <v>0</v>
      </c>
      <c r="C162" s="49" t="e">
        <v>#N/A</v>
      </c>
      <c r="D162" s="107"/>
      <c r="E162" s="108"/>
      <c r="F162" s="108" t="s">
        <v>136</v>
      </c>
      <c r="G162" s="121"/>
      <c r="H162" s="151">
        <v>18510583</v>
      </c>
      <c r="I162" s="109">
        <f>Tracker6[[#This Row],[DCR ID - PTC]]</f>
        <v>18510583</v>
      </c>
      <c r="J162" s="108" t="s">
        <v>437</v>
      </c>
      <c r="K162" s="108" t="s">
        <v>179</v>
      </c>
      <c r="L162" s="108"/>
      <c r="M162" s="108"/>
      <c r="N162" s="108"/>
      <c r="O162" s="111"/>
      <c r="P162" s="111"/>
      <c r="Q162" s="111"/>
      <c r="R162" s="111"/>
      <c r="S162" s="111"/>
      <c r="T162" s="111"/>
      <c r="U162" s="108"/>
      <c r="V162" s="108"/>
      <c r="W162" s="108"/>
      <c r="X162" s="108"/>
      <c r="Y162" s="108"/>
      <c r="Z162" s="108"/>
      <c r="AA162" s="108" t="s">
        <v>107</v>
      </c>
      <c r="AB162" s="112">
        <v>46142</v>
      </c>
      <c r="AC162" s="108"/>
      <c r="AD162" s="108" t="s">
        <v>93</v>
      </c>
      <c r="AE162" s="107"/>
      <c r="AF162" s="113"/>
      <c r="AG162" s="115">
        <v>46058.991805555554</v>
      </c>
      <c r="AH162" s="108" t="s">
        <v>319</v>
      </c>
      <c r="AI162" s="108" t="s">
        <v>95</v>
      </c>
      <c r="AJ162" s="114">
        <v>46066</v>
      </c>
      <c r="AK162" s="108" t="s">
        <v>96</v>
      </c>
      <c r="AL162" s="115">
        <v>46044.681041666663</v>
      </c>
      <c r="AM162" s="116"/>
      <c r="AN162" s="116"/>
      <c r="AO162" s="116" t="e">
        <v>#N/A</v>
      </c>
      <c r="AP162" s="108"/>
      <c r="AQ162" s="107"/>
      <c r="AR162" s="107"/>
      <c r="AS162" s="116"/>
      <c r="AT162" s="114"/>
      <c r="AU162" s="114"/>
      <c r="AV162" s="108"/>
      <c r="AW162" s="108"/>
      <c r="AX162" s="108" t="s">
        <v>97</v>
      </c>
      <c r="AY162" s="108" t="s">
        <v>98</v>
      </c>
      <c r="AZ162" s="108"/>
      <c r="BA162" s="108"/>
      <c r="BB162" s="108"/>
      <c r="BC162" s="108"/>
      <c r="BD162" s="111"/>
      <c r="BE162" s="111"/>
      <c r="BF162" s="111"/>
      <c r="BG162" s="111"/>
      <c r="BH162" s="111"/>
      <c r="BI162" s="111"/>
      <c r="BJ162" s="111"/>
      <c r="BK162" s="111"/>
      <c r="BL162" s="111"/>
      <c r="BM162" s="117" t="e">
        <v>#N/A</v>
      </c>
      <c r="BN162" s="111"/>
      <c r="BO162" s="117"/>
      <c r="BP162" s="117"/>
      <c r="BQ162" s="117"/>
      <c r="BR162" s="111"/>
      <c r="BS162" s="118"/>
      <c r="BT162" s="111"/>
      <c r="BU162" s="118"/>
      <c r="BV162" s="111"/>
      <c r="BW162" s="111"/>
      <c r="BX162" s="111"/>
      <c r="BY162" s="111"/>
      <c r="BZ162" s="111"/>
      <c r="CA162" s="111"/>
      <c r="CB162" s="119"/>
      <c r="CC162" s="117"/>
      <c r="CD162" s="120" t="e">
        <v>#N/A</v>
      </c>
      <c r="CE162" s="120" t="e">
        <v>#N/A</v>
      </c>
      <c r="CF162" s="120" t="e">
        <v>#N/A</v>
      </c>
      <c r="CG162" s="111"/>
      <c r="CH162" s="120" t="e">
        <v>#N/A</v>
      </c>
      <c r="CI162" s="120" t="e">
        <v>#N/A</v>
      </c>
      <c r="CJ162" s="111"/>
    </row>
    <row r="163" spans="1:88" ht="57.95" hidden="1">
      <c r="A163" s="106" t="s">
        <v>260</v>
      </c>
      <c r="B163" s="107">
        <v>0</v>
      </c>
      <c r="C163" s="107" t="e">
        <v>#N/A</v>
      </c>
      <c r="D163" s="107"/>
      <c r="E163" s="108"/>
      <c r="F163" s="108" t="s">
        <v>136</v>
      </c>
      <c r="G163" s="121"/>
      <c r="H163" s="151">
        <v>18510615</v>
      </c>
      <c r="I163" s="109">
        <f>Tracker6[[#This Row],[DCR ID - PTC]]</f>
        <v>18510615</v>
      </c>
      <c r="J163" s="108" t="s">
        <v>438</v>
      </c>
      <c r="K163" s="108" t="s">
        <v>179</v>
      </c>
      <c r="L163" s="108"/>
      <c r="M163" s="108"/>
      <c r="N163" s="108"/>
      <c r="O163" s="111"/>
      <c r="P163" s="111"/>
      <c r="Q163" s="111"/>
      <c r="R163" s="111"/>
      <c r="S163" s="111"/>
      <c r="T163" s="111"/>
      <c r="U163" s="108"/>
      <c r="V163" s="108"/>
      <c r="W163" s="108"/>
      <c r="X163" s="108"/>
      <c r="Y163" s="108"/>
      <c r="Z163" s="108"/>
      <c r="AA163" s="108" t="s">
        <v>107</v>
      </c>
      <c r="AB163" s="112">
        <v>46142</v>
      </c>
      <c r="AC163" s="108"/>
      <c r="AD163" s="108" t="s">
        <v>93</v>
      </c>
      <c r="AE163" s="107"/>
      <c r="AF163" s="113"/>
      <c r="AG163" s="115">
        <v>46058.991805555554</v>
      </c>
      <c r="AH163" s="108" t="s">
        <v>319</v>
      </c>
      <c r="AI163" s="108" t="s">
        <v>95</v>
      </c>
      <c r="AJ163" s="114">
        <v>46066</v>
      </c>
      <c r="AK163" s="108" t="s">
        <v>96</v>
      </c>
      <c r="AL163" s="115">
        <v>46044.685636574075</v>
      </c>
      <c r="AM163" s="116"/>
      <c r="AN163" s="116"/>
      <c r="AO163" s="116" t="e">
        <v>#N/A</v>
      </c>
      <c r="AP163" s="108"/>
      <c r="AQ163" s="107"/>
      <c r="AR163" s="107"/>
      <c r="AS163" s="116"/>
      <c r="AT163" s="114"/>
      <c r="AU163" s="114"/>
      <c r="AV163" s="108"/>
      <c r="AW163" s="108"/>
      <c r="AX163" s="108" t="s">
        <v>97</v>
      </c>
      <c r="AY163" s="108" t="s">
        <v>98</v>
      </c>
      <c r="AZ163" s="108"/>
      <c r="BA163" s="108"/>
      <c r="BB163" s="108"/>
      <c r="BC163" s="108"/>
      <c r="BD163" s="111"/>
      <c r="BE163" s="111"/>
      <c r="BF163" s="111"/>
      <c r="BG163" s="111"/>
      <c r="BH163" s="111"/>
      <c r="BI163" s="111"/>
      <c r="BJ163" s="111"/>
      <c r="BK163" s="111"/>
      <c r="BL163" s="111"/>
      <c r="BM163" s="117" t="e">
        <v>#N/A</v>
      </c>
      <c r="BN163" s="111"/>
      <c r="BO163" s="117"/>
      <c r="BP163" s="117"/>
      <c r="BQ163" s="117"/>
      <c r="BR163" s="111"/>
      <c r="BS163" s="118"/>
      <c r="BT163" s="111"/>
      <c r="BU163" s="118"/>
      <c r="BV163" s="111"/>
      <c r="BW163" s="111"/>
      <c r="BX163" s="111"/>
      <c r="BY163" s="111"/>
      <c r="BZ163" s="111"/>
      <c r="CA163" s="111"/>
      <c r="CB163" s="119"/>
      <c r="CC163" s="117"/>
      <c r="CD163" s="123" t="e">
        <v>#N/A</v>
      </c>
      <c r="CE163" s="123" t="e">
        <v>#N/A</v>
      </c>
      <c r="CF163" s="123" t="e">
        <v>#N/A</v>
      </c>
      <c r="CG163" s="111"/>
      <c r="CH163" s="120" t="e">
        <v>#N/A</v>
      </c>
      <c r="CI163" s="123" t="e">
        <v>#N/A</v>
      </c>
      <c r="CJ163" s="111"/>
    </row>
    <row r="164" spans="1:88" ht="72.599999999999994" hidden="1">
      <c r="A164" s="106" t="s">
        <v>260</v>
      </c>
      <c r="B164" s="107">
        <v>0</v>
      </c>
      <c r="C164" s="49" t="e">
        <v>#N/A</v>
      </c>
      <c r="D164" s="107"/>
      <c r="E164" s="108"/>
      <c r="F164" s="108" t="s">
        <v>136</v>
      </c>
      <c r="G164" s="121"/>
      <c r="H164" s="151">
        <v>18510632</v>
      </c>
      <c r="I164" s="127">
        <f>Tracker6[[#This Row],[DCR ID - PTC]]</f>
        <v>18510632</v>
      </c>
      <c r="J164" s="108" t="s">
        <v>439</v>
      </c>
      <c r="K164" s="108" t="s">
        <v>179</v>
      </c>
      <c r="L164" s="108"/>
      <c r="M164" s="108"/>
      <c r="N164" s="108"/>
      <c r="O164" s="111"/>
      <c r="P164" s="111"/>
      <c r="Q164" s="111"/>
      <c r="R164" s="111"/>
      <c r="S164" s="111"/>
      <c r="T164" s="111"/>
      <c r="U164" s="108"/>
      <c r="V164" s="108"/>
      <c r="W164" s="108"/>
      <c r="X164" s="108"/>
      <c r="Y164" s="108"/>
      <c r="Z164" s="108"/>
      <c r="AA164" s="108" t="s">
        <v>107</v>
      </c>
      <c r="AB164" s="112">
        <v>46142</v>
      </c>
      <c r="AC164" s="108"/>
      <c r="AD164" s="108" t="s">
        <v>93</v>
      </c>
      <c r="AE164" s="107"/>
      <c r="AF164" s="113"/>
      <c r="AG164" s="115">
        <v>46058.991805555554</v>
      </c>
      <c r="AH164" s="108" t="s">
        <v>100</v>
      </c>
      <c r="AI164" s="108" t="s">
        <v>95</v>
      </c>
      <c r="AJ164" s="114">
        <v>46066</v>
      </c>
      <c r="AK164" s="108" t="s">
        <v>96</v>
      </c>
      <c r="AL164" s="115">
        <v>46044.687754629631</v>
      </c>
      <c r="AM164" s="116"/>
      <c r="AN164" s="116"/>
      <c r="AO164" s="116" t="e">
        <v>#N/A</v>
      </c>
      <c r="AP164" s="108"/>
      <c r="AQ164" s="107"/>
      <c r="AR164" s="107"/>
      <c r="AS164" s="116"/>
      <c r="AT164" s="114"/>
      <c r="AU164" s="114"/>
      <c r="AV164" s="108"/>
      <c r="AW164" s="108"/>
      <c r="AX164" s="108" t="s">
        <v>97</v>
      </c>
      <c r="AY164" s="108" t="s">
        <v>98</v>
      </c>
      <c r="AZ164" s="108"/>
      <c r="BA164" s="108"/>
      <c r="BB164" s="108"/>
      <c r="BC164" s="108"/>
      <c r="BD164" s="111"/>
      <c r="BE164" s="111"/>
      <c r="BF164" s="111"/>
      <c r="BG164" s="111"/>
      <c r="BH164" s="111"/>
      <c r="BI164" s="111"/>
      <c r="BJ164" s="111"/>
      <c r="BK164" s="111"/>
      <c r="BL164" s="111"/>
      <c r="BM164" s="117" t="e">
        <v>#N/A</v>
      </c>
      <c r="BN164" s="111"/>
      <c r="BO164" s="117"/>
      <c r="BP164" s="117"/>
      <c r="BQ164" s="117"/>
      <c r="BR164" s="111"/>
      <c r="BS164" s="118"/>
      <c r="BT164" s="111"/>
      <c r="BU164" s="118"/>
      <c r="BV164" s="111"/>
      <c r="BW164" s="111"/>
      <c r="BX164" s="111"/>
      <c r="BY164" s="111"/>
      <c r="BZ164" s="111"/>
      <c r="CA164" s="111"/>
      <c r="CB164" s="119"/>
      <c r="CC164" s="117"/>
      <c r="CD164" s="120" t="e">
        <v>#N/A</v>
      </c>
      <c r="CE164" s="120" t="e">
        <v>#N/A</v>
      </c>
      <c r="CF164" s="120" t="e">
        <v>#N/A</v>
      </c>
      <c r="CG164" s="111"/>
      <c r="CH164" s="120" t="e">
        <v>#N/A</v>
      </c>
      <c r="CI164" s="120" t="e">
        <v>#N/A</v>
      </c>
      <c r="CJ164" s="111"/>
    </row>
    <row r="165" spans="1:88" ht="304.5">
      <c r="A165" s="106" t="s">
        <v>260</v>
      </c>
      <c r="B165" s="107">
        <f>4+4+7+2+6+7+7+6+7+7+3+3+0.5+2</f>
        <v>65.5</v>
      </c>
      <c r="C165" s="49">
        <v>35</v>
      </c>
      <c r="D165" s="107">
        <f>C165-B165</f>
        <v>-30.5</v>
      </c>
      <c r="E165" s="108"/>
      <c r="F165" s="108"/>
      <c r="G165" s="121"/>
      <c r="H165" s="151">
        <v>18517105</v>
      </c>
      <c r="I165" s="127">
        <f>Tracker6[[#This Row],[DCR ID - PTC]]</f>
        <v>18517105</v>
      </c>
      <c r="J165" s="108" t="s">
        <v>440</v>
      </c>
      <c r="K165" s="108" t="s">
        <v>118</v>
      </c>
      <c r="L165" s="108"/>
      <c r="M165" s="108"/>
      <c r="N165" s="108" t="s">
        <v>441</v>
      </c>
      <c r="O165" s="111" t="s">
        <v>115</v>
      </c>
      <c r="P165" s="111"/>
      <c r="Q165" s="111"/>
      <c r="R165" s="111"/>
      <c r="S165" s="111"/>
      <c r="T165" s="111"/>
      <c r="U165" s="108"/>
      <c r="V165" s="108"/>
      <c r="W165" s="108"/>
      <c r="X165" s="108"/>
      <c r="Y165" s="108"/>
      <c r="Z165" s="108"/>
      <c r="AA165" s="108"/>
      <c r="AB165" s="112"/>
      <c r="AC165" s="108"/>
      <c r="AD165" s="108" t="s">
        <v>93</v>
      </c>
      <c r="AE165" s="107"/>
      <c r="AF165" s="113"/>
      <c r="AG165" s="115"/>
      <c r="AH165" s="108" t="s">
        <v>109</v>
      </c>
      <c r="AI165" s="108" t="s">
        <v>95</v>
      </c>
      <c r="AJ165" s="114">
        <v>46142</v>
      </c>
      <c r="AK165" s="108" t="s">
        <v>96</v>
      </c>
      <c r="AL165" s="115">
        <v>46045.427870370368</v>
      </c>
      <c r="AM165" s="116"/>
      <c r="AN165" s="116"/>
      <c r="AO165" s="116">
        <v>46108</v>
      </c>
      <c r="AP165" s="108"/>
      <c r="AQ165" s="107"/>
      <c r="AR165" s="107"/>
      <c r="AS165" s="116"/>
      <c r="AT165" s="114"/>
      <c r="AU165" s="114"/>
      <c r="AV165" s="108"/>
      <c r="AW165" s="108"/>
      <c r="AX165" s="108" t="s">
        <v>97</v>
      </c>
      <c r="AY165" s="108" t="s">
        <v>98</v>
      </c>
      <c r="AZ165" s="108"/>
      <c r="BA165" s="108"/>
      <c r="BB165" s="108"/>
      <c r="BC165" s="108"/>
      <c r="BD165" s="111"/>
      <c r="BE165" s="111"/>
      <c r="BF165" s="111"/>
      <c r="BG165" s="111"/>
      <c r="BH165" s="111"/>
      <c r="BI165" s="111"/>
      <c r="BJ165" s="111"/>
      <c r="BK165" s="111"/>
      <c r="BL165" s="111"/>
      <c r="BM165" s="117" t="s">
        <v>406</v>
      </c>
      <c r="BN165" s="111"/>
      <c r="BO165" s="117"/>
      <c r="BP165" s="117"/>
      <c r="BQ165" s="117"/>
      <c r="BR165" s="111"/>
      <c r="BS165" s="118"/>
      <c r="BT165" s="111"/>
      <c r="BU165" s="118"/>
      <c r="BV165" s="111"/>
      <c r="BW165" s="111"/>
      <c r="BX165" s="111"/>
      <c r="BY165" s="111"/>
      <c r="BZ165" s="111"/>
      <c r="CA165" s="111"/>
      <c r="CB165" s="119">
        <v>0.96499999999999997</v>
      </c>
      <c r="CC165" s="117"/>
      <c r="CD165" s="120">
        <v>46094</v>
      </c>
      <c r="CE165" s="120">
        <v>46098</v>
      </c>
      <c r="CF165" s="120">
        <v>46099</v>
      </c>
      <c r="CG165" s="111"/>
      <c r="CH165" s="120" t="s">
        <v>182</v>
      </c>
      <c r="CI165" s="120" t="s">
        <v>125</v>
      </c>
      <c r="CJ165" s="111"/>
    </row>
    <row r="166" spans="1:88" ht="174" hidden="1">
      <c r="A166" s="106" t="s">
        <v>260</v>
      </c>
      <c r="B166" s="107">
        <f>8+2+4+7+5+10+8+3</f>
        <v>47</v>
      </c>
      <c r="C166" s="49">
        <v>40</v>
      </c>
      <c r="D166" s="107">
        <f>Tracker6[[#This Row],[Estimated Hrs]]-Tracker6[[#This Row],[Actual Efforts (Hrs)]]</f>
        <v>-7</v>
      </c>
      <c r="E166" s="108"/>
      <c r="F166" s="108" t="s">
        <v>148</v>
      </c>
      <c r="G166" s="121" t="s">
        <v>148</v>
      </c>
      <c r="H166" s="109">
        <v>18612813</v>
      </c>
      <c r="I166" s="109">
        <v>18612813</v>
      </c>
      <c r="J166" s="108" t="s">
        <v>196</v>
      </c>
      <c r="K166" s="108" t="s">
        <v>118</v>
      </c>
      <c r="L166" s="108"/>
      <c r="M166" s="108"/>
      <c r="N166" s="108" t="s">
        <v>442</v>
      </c>
      <c r="O166" s="111" t="s">
        <v>106</v>
      </c>
      <c r="P166" s="111"/>
      <c r="Q166" s="111"/>
      <c r="R166" s="111"/>
      <c r="S166" s="111"/>
      <c r="T166" s="111"/>
      <c r="U166" s="108"/>
      <c r="V166" s="108"/>
      <c r="W166" s="108"/>
      <c r="X166" s="108"/>
      <c r="Y166" s="108"/>
      <c r="Z166" s="108"/>
      <c r="AA166" s="108"/>
      <c r="AB166" s="112"/>
      <c r="AC166" s="108"/>
      <c r="AD166" s="108"/>
      <c r="AE166" s="107"/>
      <c r="AF166" s="113"/>
      <c r="AG166" s="115">
        <v>46069</v>
      </c>
      <c r="AH166" s="108"/>
      <c r="AI166" s="108"/>
      <c r="AJ166" s="114"/>
      <c r="AK166" s="108"/>
      <c r="AL166" s="115"/>
      <c r="AM166" s="116"/>
      <c r="AN166" s="116"/>
      <c r="AO166" s="116">
        <v>46071</v>
      </c>
      <c r="AP166" s="108"/>
      <c r="AQ166" s="107"/>
      <c r="AR166" s="107"/>
      <c r="AS166" s="116">
        <v>46072</v>
      </c>
      <c r="AT166" s="114">
        <v>46071</v>
      </c>
      <c r="AU166" s="114">
        <v>46071</v>
      </c>
      <c r="AV166" s="108"/>
      <c r="AW166" s="108"/>
      <c r="AX166" s="108" t="s">
        <v>97</v>
      </c>
      <c r="AY166" s="108" t="s">
        <v>98</v>
      </c>
      <c r="AZ166" s="108"/>
      <c r="BA166" s="108"/>
      <c r="BB166" s="108"/>
      <c r="BC166" s="108"/>
      <c r="BD166" s="111"/>
      <c r="BE166" s="111"/>
      <c r="BF166" s="111"/>
      <c r="BG166" s="111"/>
      <c r="BH166" s="111"/>
      <c r="BI166" s="111"/>
      <c r="BJ166" s="111"/>
      <c r="BK166" s="111"/>
      <c r="BL166" s="111"/>
      <c r="BM166" s="117" t="s">
        <v>198</v>
      </c>
      <c r="BN166" s="111"/>
      <c r="BO166" s="117"/>
      <c r="BP166" s="117"/>
      <c r="BQ166" s="117"/>
      <c r="BR166" s="111"/>
      <c r="BS166" s="118"/>
      <c r="BT166" s="111"/>
      <c r="BU166" s="118"/>
      <c r="BV166" s="111"/>
      <c r="BW166" s="111"/>
      <c r="BX166" s="111"/>
      <c r="BY166" s="111"/>
      <c r="BZ166" s="111"/>
      <c r="CA166" s="111"/>
      <c r="CB166" s="119">
        <v>1</v>
      </c>
      <c r="CC166" s="117"/>
      <c r="CD166" s="120">
        <v>46066</v>
      </c>
      <c r="CE166" s="120">
        <v>46069</v>
      </c>
      <c r="CF166" s="120">
        <v>46070</v>
      </c>
      <c r="CG166" s="111"/>
      <c r="CH166" s="120" t="s">
        <v>112</v>
      </c>
      <c r="CI166" s="120" t="s">
        <v>125</v>
      </c>
      <c r="CJ166" s="111"/>
    </row>
    <row r="167" spans="1:88" ht="174" hidden="1">
      <c r="A167" s="106" t="s">
        <v>260</v>
      </c>
      <c r="B167" s="107">
        <f>6+6+5+3+3+5+4</f>
        <v>32</v>
      </c>
      <c r="C167" s="49">
        <v>24</v>
      </c>
      <c r="D167" s="107">
        <f>Tracker6[[#This Row],[Estimated Hrs]]-Tracker6[[#This Row],[Actual Efforts (Hrs)]]</f>
        <v>-8</v>
      </c>
      <c r="E167" s="108"/>
      <c r="F167" s="108" t="s">
        <v>148</v>
      </c>
      <c r="G167" s="121" t="s">
        <v>148</v>
      </c>
      <c r="H167" s="109">
        <v>18207289</v>
      </c>
      <c r="I167" s="127">
        <v>18207289</v>
      </c>
      <c r="J167" s="108" t="s">
        <v>443</v>
      </c>
      <c r="K167" s="108" t="s">
        <v>118</v>
      </c>
      <c r="L167" s="108"/>
      <c r="M167" s="108"/>
      <c r="N167" s="108" t="s">
        <v>444</v>
      </c>
      <c r="O167" s="111" t="s">
        <v>106</v>
      </c>
      <c r="P167" s="111"/>
      <c r="Q167" s="111"/>
      <c r="R167" s="111"/>
      <c r="S167" s="111"/>
      <c r="T167" s="111"/>
      <c r="U167" s="108"/>
      <c r="V167" s="108"/>
      <c r="W167" s="108"/>
      <c r="X167" s="108"/>
      <c r="Y167" s="108"/>
      <c r="Z167" s="108"/>
      <c r="AA167" s="108"/>
      <c r="AB167" s="112"/>
      <c r="AC167" s="108"/>
      <c r="AD167" s="108"/>
      <c r="AE167" s="107"/>
      <c r="AF167" s="113"/>
      <c r="AG167" s="115">
        <v>46059</v>
      </c>
      <c r="AH167" s="108"/>
      <c r="AI167" s="108"/>
      <c r="AJ167" s="114"/>
      <c r="AK167" s="108"/>
      <c r="AL167" s="115"/>
      <c r="AM167" s="116"/>
      <c r="AN167" s="116"/>
      <c r="AO167" s="116">
        <v>46080</v>
      </c>
      <c r="AP167" s="108"/>
      <c r="AQ167" s="107"/>
      <c r="AR167" s="107"/>
      <c r="AS167" s="116">
        <v>46086</v>
      </c>
      <c r="AT167" s="114">
        <v>46082</v>
      </c>
      <c r="AU167" s="114">
        <v>46085</v>
      </c>
      <c r="AV167" s="108"/>
      <c r="AW167" s="108"/>
      <c r="AX167" s="108" t="s">
        <v>97</v>
      </c>
      <c r="AY167" s="108" t="s">
        <v>98</v>
      </c>
      <c r="AZ167" s="108"/>
      <c r="BA167" s="108"/>
      <c r="BB167" s="108"/>
      <c r="BC167" s="108"/>
      <c r="BD167" s="111"/>
      <c r="BE167" s="111"/>
      <c r="BF167" s="111"/>
      <c r="BG167" s="111"/>
      <c r="BH167" s="111"/>
      <c r="BI167" s="111"/>
      <c r="BJ167" s="111"/>
      <c r="BK167" s="111"/>
      <c r="BL167" s="111"/>
      <c r="BM167" s="117" t="s">
        <v>445</v>
      </c>
      <c r="BN167" s="111"/>
      <c r="BO167" s="117"/>
      <c r="BP167" s="117"/>
      <c r="BQ167" s="117"/>
      <c r="BR167" s="111"/>
      <c r="BS167" s="118"/>
      <c r="BT167" s="111"/>
      <c r="BU167" s="118"/>
      <c r="BV167" s="111"/>
      <c r="BW167" s="111"/>
      <c r="BX167" s="111"/>
      <c r="BY167" s="111"/>
      <c r="BZ167" s="111"/>
      <c r="CA167" s="111"/>
      <c r="CB167" s="119">
        <v>1</v>
      </c>
      <c r="CC167" s="117"/>
      <c r="CD167" s="120">
        <v>46076</v>
      </c>
      <c r="CE167" s="120">
        <v>46077</v>
      </c>
      <c r="CF167" s="120">
        <v>46078</v>
      </c>
      <c r="CG167" s="111"/>
      <c r="CH167" s="120" t="s">
        <v>112</v>
      </c>
      <c r="CI167" s="120" t="s">
        <v>125</v>
      </c>
      <c r="CJ167" s="111"/>
    </row>
    <row r="168" spans="1:88" ht="57.95">
      <c r="A168" s="106" t="s">
        <v>260</v>
      </c>
      <c r="B168" s="107"/>
      <c r="C168" s="49">
        <v>10</v>
      </c>
      <c r="D168" s="107">
        <f>C168-B168</f>
        <v>10</v>
      </c>
      <c r="E168" s="108"/>
      <c r="F168" s="108"/>
      <c r="G168" s="121"/>
      <c r="H168" s="109">
        <v>19106183</v>
      </c>
      <c r="I168" s="127" t="s">
        <v>446</v>
      </c>
      <c r="J168" s="108" t="s">
        <v>447</v>
      </c>
      <c r="K168" s="108" t="s">
        <v>118</v>
      </c>
      <c r="L168" s="108"/>
      <c r="M168" s="108"/>
      <c r="N168" s="108" t="s">
        <v>448</v>
      </c>
      <c r="O168" s="111" t="s">
        <v>115</v>
      </c>
      <c r="P168" s="111"/>
      <c r="Q168" s="111"/>
      <c r="R168" s="111"/>
      <c r="S168" s="111"/>
      <c r="T168" s="111"/>
      <c r="U168" s="108"/>
      <c r="V168" s="108"/>
      <c r="W168" s="108"/>
      <c r="X168" s="108"/>
      <c r="Y168" s="108"/>
      <c r="Z168" s="108"/>
      <c r="AA168" s="108"/>
      <c r="AB168" s="112"/>
      <c r="AC168" s="108"/>
      <c r="AD168" s="108"/>
      <c r="AE168" s="107"/>
      <c r="AF168" s="113"/>
      <c r="AG168" s="115"/>
      <c r="AH168" s="108"/>
      <c r="AI168" s="108"/>
      <c r="AJ168" s="114"/>
      <c r="AK168" s="108"/>
      <c r="AL168" s="115"/>
      <c r="AM168" s="116"/>
      <c r="AN168" s="116"/>
      <c r="AO168" s="116">
        <v>46115</v>
      </c>
      <c r="AP168" s="108"/>
      <c r="AQ168" s="107"/>
      <c r="AR168" s="107"/>
      <c r="AS168" s="116"/>
      <c r="AT168" s="114"/>
      <c r="AU168" s="114"/>
      <c r="AV168" s="108"/>
      <c r="AW168" s="108"/>
      <c r="AX168" s="108" t="s">
        <v>97</v>
      </c>
      <c r="AY168" s="108" t="s">
        <v>98</v>
      </c>
      <c r="AZ168" s="108"/>
      <c r="BA168" s="108"/>
      <c r="BB168" s="108"/>
      <c r="BC168" s="108"/>
      <c r="BD168" s="111"/>
      <c r="BE168" s="111"/>
      <c r="BF168" s="111"/>
      <c r="BG168" s="111"/>
      <c r="BH168" s="111"/>
      <c r="BI168" s="111"/>
      <c r="BJ168" s="111"/>
      <c r="BK168" s="111"/>
      <c r="BL168" s="111"/>
      <c r="BM168" s="117" t="s">
        <v>406</v>
      </c>
      <c r="BN168" s="111"/>
      <c r="BO168" s="117"/>
      <c r="BP168" s="117"/>
      <c r="BQ168" s="117"/>
      <c r="BR168" s="111"/>
      <c r="BS168" s="118"/>
      <c r="BT168" s="111"/>
      <c r="BU168" s="118"/>
      <c r="BV168" s="111"/>
      <c r="BW168" s="111"/>
      <c r="BX168" s="111"/>
      <c r="BY168" s="111"/>
      <c r="BZ168" s="111"/>
      <c r="CA168" s="111"/>
      <c r="CB168" s="119">
        <v>0.96499999999999997</v>
      </c>
      <c r="CC168" s="117"/>
      <c r="CD168" s="120">
        <v>46094</v>
      </c>
      <c r="CE168" s="120">
        <v>46098</v>
      </c>
      <c r="CF168" s="120">
        <v>46099</v>
      </c>
      <c r="CG168" s="111"/>
      <c r="CH168" s="120" t="s">
        <v>182</v>
      </c>
      <c r="CI168" s="120" t="s">
        <v>125</v>
      </c>
      <c r="CJ168" s="111"/>
    </row>
    <row r="169" spans="1:88" ht="57.95" hidden="1">
      <c r="A169" s="106" t="s">
        <v>449</v>
      </c>
      <c r="B169" s="107">
        <v>120</v>
      </c>
      <c r="C169" s="49" t="e">
        <v>#N/A</v>
      </c>
      <c r="D169" s="107">
        <v>0</v>
      </c>
      <c r="E169" s="108"/>
      <c r="F169" s="108" t="s">
        <v>89</v>
      </c>
      <c r="G169" s="121"/>
      <c r="H169" s="151">
        <v>15929265</v>
      </c>
      <c r="I169" s="127">
        <f>Tracker6[[#This Row],[DCR ID - PTC]]</f>
        <v>15929265</v>
      </c>
      <c r="J169" s="107" t="s">
        <v>450</v>
      </c>
      <c r="K169" s="109" t="s">
        <v>101</v>
      </c>
      <c r="L169" s="109" t="s">
        <v>131</v>
      </c>
      <c r="M169" s="109"/>
      <c r="N169" s="279"/>
      <c r="O169" s="111"/>
      <c r="P169" s="111"/>
      <c r="Q169" s="111"/>
      <c r="R169" s="111"/>
      <c r="S169" s="111"/>
      <c r="T169" s="111"/>
      <c r="U169" s="108"/>
      <c r="V169" s="108"/>
      <c r="W169" s="108"/>
      <c r="X169" s="108"/>
      <c r="Y169" s="108"/>
      <c r="Z169" s="108"/>
      <c r="AA169" s="108" t="s">
        <v>92</v>
      </c>
      <c r="AB169" s="112"/>
      <c r="AC169" s="108" t="s">
        <v>131</v>
      </c>
      <c r="AD169" s="108" t="s">
        <v>93</v>
      </c>
      <c r="AE169" s="107"/>
      <c r="AF169" s="113"/>
      <c r="AG169" s="115">
        <v>45908.730451388888</v>
      </c>
      <c r="AH169" s="108" t="s">
        <v>94</v>
      </c>
      <c r="AI169" s="108" t="s">
        <v>95</v>
      </c>
      <c r="AJ169" s="114">
        <v>45869.395833333336</v>
      </c>
      <c r="AK169" s="108" t="s">
        <v>96</v>
      </c>
      <c r="AL169" s="115">
        <v>45723.888182870367</v>
      </c>
      <c r="AM169" s="116"/>
      <c r="AN169" s="116"/>
      <c r="AO169" s="116" t="e">
        <v>#N/A</v>
      </c>
      <c r="AP169" s="108"/>
      <c r="AQ169" s="107"/>
      <c r="AR169" s="107"/>
      <c r="AS169" s="116"/>
      <c r="AT169" s="114"/>
      <c r="AU169" s="114"/>
      <c r="AV169" s="108"/>
      <c r="AW169" s="108"/>
      <c r="AX169" s="108" t="s">
        <v>97</v>
      </c>
      <c r="AY169" s="108" t="s">
        <v>98</v>
      </c>
      <c r="AZ169" s="108"/>
      <c r="BA169" s="108"/>
      <c r="BB169" s="108"/>
      <c r="BC169" s="108"/>
      <c r="BD169" s="111"/>
      <c r="BE169" s="111"/>
      <c r="BF169" s="111"/>
      <c r="BG169" s="111"/>
      <c r="BH169" s="111"/>
      <c r="BI169" s="111"/>
      <c r="BJ169" s="111"/>
      <c r="BK169" s="111"/>
      <c r="BL169" s="111"/>
      <c r="BM169" s="117" t="e">
        <v>#N/A</v>
      </c>
      <c r="BN169" s="111"/>
      <c r="BO169" s="117"/>
      <c r="BP169" s="117"/>
      <c r="BQ169" s="117"/>
      <c r="BR169" s="111"/>
      <c r="BS169" s="118"/>
      <c r="BT169" s="111"/>
      <c r="BU169" s="118"/>
      <c r="BV169" s="111"/>
      <c r="BW169" s="111"/>
      <c r="BX169" s="111"/>
      <c r="BY169" s="111"/>
      <c r="BZ169" s="111"/>
      <c r="CA169" s="111"/>
      <c r="CB169" s="119"/>
      <c r="CC169" s="117"/>
      <c r="CD169" s="120" t="e">
        <v>#N/A</v>
      </c>
      <c r="CE169" s="120" t="e">
        <v>#N/A</v>
      </c>
      <c r="CF169" s="120" t="e">
        <v>#N/A</v>
      </c>
      <c r="CG169" s="111"/>
      <c r="CH169" s="120" t="e">
        <v>#N/A</v>
      </c>
      <c r="CI169" s="120" t="e">
        <v>#N/A</v>
      </c>
      <c r="CJ169" s="111"/>
    </row>
    <row r="170" spans="1:88" ht="57.95" hidden="1">
      <c r="A170" s="106" t="s">
        <v>449</v>
      </c>
      <c r="B170" s="107">
        <v>62</v>
      </c>
      <c r="C170" s="49" t="e">
        <v>#N/A</v>
      </c>
      <c r="D170" s="107">
        <v>0</v>
      </c>
      <c r="E170" s="108"/>
      <c r="F170" s="108" t="s">
        <v>451</v>
      </c>
      <c r="G170" s="121"/>
      <c r="H170" s="151">
        <v>15955970</v>
      </c>
      <c r="I170" s="127">
        <f>Tracker6[[#This Row],[DCR ID - PTC]]</f>
        <v>15955970</v>
      </c>
      <c r="J170" s="108" t="s">
        <v>452</v>
      </c>
      <c r="K170" s="108" t="s">
        <v>101</v>
      </c>
      <c r="L170" s="108" t="s">
        <v>165</v>
      </c>
      <c r="M170" s="108"/>
      <c r="N170" s="108"/>
      <c r="O170" s="111"/>
      <c r="P170" s="111"/>
      <c r="Q170" s="111"/>
      <c r="R170" s="111"/>
      <c r="S170" s="111"/>
      <c r="T170" s="111"/>
      <c r="U170" s="108"/>
      <c r="V170" s="108"/>
      <c r="W170" s="108"/>
      <c r="X170" s="108"/>
      <c r="Y170" s="108"/>
      <c r="Z170" s="108"/>
      <c r="AA170" s="108" t="s">
        <v>453</v>
      </c>
      <c r="AB170" s="112"/>
      <c r="AC170" s="108" t="s">
        <v>165</v>
      </c>
      <c r="AD170" s="108" t="s">
        <v>93</v>
      </c>
      <c r="AE170" s="107"/>
      <c r="AF170" s="113"/>
      <c r="AG170" s="115">
        <v>45821.001620370371</v>
      </c>
      <c r="AH170" s="108" t="s">
        <v>94</v>
      </c>
      <c r="AI170" s="108" t="s">
        <v>95</v>
      </c>
      <c r="AJ170" s="114">
        <v>45869</v>
      </c>
      <c r="AK170" s="108" t="s">
        <v>96</v>
      </c>
      <c r="AL170" s="115">
        <v>45728.579375000001</v>
      </c>
      <c r="AM170" s="116"/>
      <c r="AN170" s="116"/>
      <c r="AO170" s="116" t="e">
        <v>#N/A</v>
      </c>
      <c r="AP170" s="108"/>
      <c r="AQ170" s="107"/>
      <c r="AR170" s="107"/>
      <c r="AS170" s="116"/>
      <c r="AT170" s="114"/>
      <c r="AU170" s="114"/>
      <c r="AV170" s="108"/>
      <c r="AW170" s="108"/>
      <c r="AX170" s="108" t="s">
        <v>97</v>
      </c>
      <c r="AY170" s="108" t="s">
        <v>98</v>
      </c>
      <c r="AZ170" s="108"/>
      <c r="BA170" s="108"/>
      <c r="BB170" s="108"/>
      <c r="BC170" s="108"/>
      <c r="BD170" s="111"/>
      <c r="BE170" s="111"/>
      <c r="BF170" s="111"/>
      <c r="BG170" s="111"/>
      <c r="BH170" s="111"/>
      <c r="BI170" s="111"/>
      <c r="BJ170" s="111"/>
      <c r="BK170" s="111"/>
      <c r="BL170" s="111"/>
      <c r="BM170" s="117" t="e">
        <v>#N/A</v>
      </c>
      <c r="BN170" s="111"/>
      <c r="BO170" s="117"/>
      <c r="BP170" s="117"/>
      <c r="BQ170" s="117"/>
      <c r="BR170" s="111"/>
      <c r="BS170" s="118"/>
      <c r="BT170" s="111"/>
      <c r="BU170" s="118"/>
      <c r="BV170" s="111"/>
      <c r="BW170" s="111"/>
      <c r="BX170" s="111"/>
      <c r="BY170" s="111"/>
      <c r="BZ170" s="111"/>
      <c r="CA170" s="111"/>
      <c r="CB170" s="119"/>
      <c r="CC170" s="117"/>
      <c r="CD170" s="120" t="e">
        <v>#N/A</v>
      </c>
      <c r="CE170" s="120" t="e">
        <v>#N/A</v>
      </c>
      <c r="CF170" s="120" t="e">
        <v>#N/A</v>
      </c>
      <c r="CG170" s="111"/>
      <c r="CH170" s="120" t="e">
        <v>#N/A</v>
      </c>
      <c r="CI170" s="120" t="e">
        <v>#N/A</v>
      </c>
      <c r="CJ170" s="111"/>
    </row>
    <row r="171" spans="1:88" ht="159.6" hidden="1">
      <c r="A171" s="106" t="s">
        <v>449</v>
      </c>
      <c r="B171" s="107">
        <v>0</v>
      </c>
      <c r="C171" s="49" t="e">
        <v>#N/A</v>
      </c>
      <c r="D171" s="107"/>
      <c r="E171" s="108"/>
      <c r="F171" s="108"/>
      <c r="G171" s="121"/>
      <c r="H171" s="151">
        <v>18208822</v>
      </c>
      <c r="I171" s="127">
        <f>Tracker6[[#This Row],[DCR ID - PTC]]</f>
        <v>18208822</v>
      </c>
      <c r="J171" s="107" t="s">
        <v>454</v>
      </c>
      <c r="K171" s="108"/>
      <c r="L171" s="108"/>
      <c r="M171" s="108"/>
      <c r="N171" s="108"/>
      <c r="O171" s="111"/>
      <c r="P171" s="111"/>
      <c r="Q171" s="111"/>
      <c r="R171" s="111"/>
      <c r="S171" s="111"/>
      <c r="T171" s="111"/>
      <c r="U171" s="108"/>
      <c r="V171" s="108"/>
      <c r="W171" s="108"/>
      <c r="X171" s="108"/>
      <c r="Y171" s="108"/>
      <c r="Z171" s="108"/>
      <c r="AA171" s="108" t="s">
        <v>130</v>
      </c>
      <c r="AB171" s="112"/>
      <c r="AC171" s="108"/>
      <c r="AD171" s="108" t="s">
        <v>93</v>
      </c>
      <c r="AE171" s="107"/>
      <c r="AF171" s="113"/>
      <c r="AG171" s="115"/>
      <c r="AH171" s="108" t="s">
        <v>350</v>
      </c>
      <c r="AI171" s="108" t="s">
        <v>101</v>
      </c>
      <c r="AJ171" s="114">
        <v>46142.395833333336</v>
      </c>
      <c r="AK171" s="108" t="s">
        <v>218</v>
      </c>
      <c r="AL171" s="115">
        <v>46007.168842592589</v>
      </c>
      <c r="AM171" s="116"/>
      <c r="AN171" s="116"/>
      <c r="AO171" s="116" t="e">
        <v>#N/A</v>
      </c>
      <c r="AP171" s="108"/>
      <c r="AQ171" s="107"/>
      <c r="AR171" s="107"/>
      <c r="AS171" s="116"/>
      <c r="AT171" s="114"/>
      <c r="AU171" s="114"/>
      <c r="AV171" s="108"/>
      <c r="AW171" s="108"/>
      <c r="AX171" s="108" t="s">
        <v>97</v>
      </c>
      <c r="AY171" s="108" t="s">
        <v>98</v>
      </c>
      <c r="AZ171" s="108"/>
      <c r="BA171" s="108"/>
      <c r="BB171" s="108"/>
      <c r="BC171" s="108"/>
      <c r="BD171" s="111"/>
      <c r="BE171" s="111"/>
      <c r="BF171" s="111"/>
      <c r="BG171" s="111"/>
      <c r="BH171" s="111"/>
      <c r="BI171" s="111"/>
      <c r="BJ171" s="111"/>
      <c r="BK171" s="111"/>
      <c r="BL171" s="111"/>
      <c r="BM171" s="117" t="e">
        <v>#N/A</v>
      </c>
      <c r="BN171" s="111"/>
      <c r="BO171" s="117"/>
      <c r="BP171" s="117"/>
      <c r="BQ171" s="117"/>
      <c r="BR171" s="111"/>
      <c r="BS171" s="118"/>
      <c r="BT171" s="111"/>
      <c r="BU171" s="118"/>
      <c r="BV171" s="111"/>
      <c r="BW171" s="111"/>
      <c r="BX171" s="111"/>
      <c r="BY171" s="111"/>
      <c r="BZ171" s="111"/>
      <c r="CA171" s="111"/>
      <c r="CB171" s="119"/>
      <c r="CC171" s="117"/>
      <c r="CD171" s="120" t="e">
        <v>#N/A</v>
      </c>
      <c r="CE171" s="120" t="e">
        <v>#N/A</v>
      </c>
      <c r="CF171" s="120" t="e">
        <v>#N/A</v>
      </c>
      <c r="CG171" s="111"/>
      <c r="CH171" s="120" t="e">
        <v>#N/A</v>
      </c>
      <c r="CI171" s="120" t="e">
        <v>#N/A</v>
      </c>
      <c r="CJ171" s="111"/>
    </row>
    <row r="172" spans="1:88" ht="144.94999999999999" hidden="1">
      <c r="A172" s="106" t="s">
        <v>449</v>
      </c>
      <c r="B172" s="107">
        <v>0</v>
      </c>
      <c r="C172" s="49" t="e">
        <v>#N/A</v>
      </c>
      <c r="D172" s="107"/>
      <c r="E172" s="108"/>
      <c r="F172" s="108"/>
      <c r="G172" s="121"/>
      <c r="H172" s="151">
        <v>18208823</v>
      </c>
      <c r="I172" s="127">
        <f>Tracker6[[#This Row],[DCR ID - PTC]]</f>
        <v>18208823</v>
      </c>
      <c r="J172" s="107" t="s">
        <v>455</v>
      </c>
      <c r="K172" s="108"/>
      <c r="L172" s="108"/>
      <c r="M172" s="108"/>
      <c r="N172" s="108"/>
      <c r="O172" s="111"/>
      <c r="P172" s="111"/>
      <c r="Q172" s="111"/>
      <c r="R172" s="111"/>
      <c r="S172" s="111"/>
      <c r="T172" s="111"/>
      <c r="U172" s="108"/>
      <c r="V172" s="108"/>
      <c r="W172" s="108"/>
      <c r="X172" s="108"/>
      <c r="Y172" s="108"/>
      <c r="Z172" s="108"/>
      <c r="AA172" s="108" t="s">
        <v>130</v>
      </c>
      <c r="AB172" s="112"/>
      <c r="AC172" s="108"/>
      <c r="AD172" s="108" t="s">
        <v>93</v>
      </c>
      <c r="AE172" s="107"/>
      <c r="AF172" s="113"/>
      <c r="AG172" s="115"/>
      <c r="AH172" s="108" t="s">
        <v>350</v>
      </c>
      <c r="AI172" s="108" t="s">
        <v>101</v>
      </c>
      <c r="AJ172" s="114">
        <v>46142.395833333336</v>
      </c>
      <c r="AK172" s="108" t="s">
        <v>218</v>
      </c>
      <c r="AL172" s="115">
        <v>46007.168842592589</v>
      </c>
      <c r="AM172" s="116"/>
      <c r="AN172" s="116"/>
      <c r="AO172" s="116" t="e">
        <v>#N/A</v>
      </c>
      <c r="AP172" s="108"/>
      <c r="AQ172" s="107"/>
      <c r="AR172" s="107"/>
      <c r="AS172" s="116"/>
      <c r="AT172" s="114"/>
      <c r="AU172" s="114"/>
      <c r="AV172" s="108"/>
      <c r="AW172" s="108"/>
      <c r="AX172" s="108" t="s">
        <v>97</v>
      </c>
      <c r="AY172" s="108" t="s">
        <v>98</v>
      </c>
      <c r="AZ172" s="108"/>
      <c r="BA172" s="108"/>
      <c r="BB172" s="108"/>
      <c r="BC172" s="108"/>
      <c r="BD172" s="111"/>
      <c r="BE172" s="111"/>
      <c r="BF172" s="111"/>
      <c r="BG172" s="111"/>
      <c r="BH172" s="111"/>
      <c r="BI172" s="111"/>
      <c r="BJ172" s="111"/>
      <c r="BK172" s="111"/>
      <c r="BL172" s="111"/>
      <c r="BM172" s="117" t="e">
        <v>#N/A</v>
      </c>
      <c r="BN172" s="111"/>
      <c r="BO172" s="117"/>
      <c r="BP172" s="117"/>
      <c r="BQ172" s="117"/>
      <c r="BR172" s="111"/>
      <c r="BS172" s="118"/>
      <c r="BT172" s="111"/>
      <c r="BU172" s="118"/>
      <c r="BV172" s="111"/>
      <c r="BW172" s="111"/>
      <c r="BX172" s="111"/>
      <c r="BY172" s="111"/>
      <c r="BZ172" s="111"/>
      <c r="CA172" s="111"/>
      <c r="CB172" s="119"/>
      <c r="CC172" s="117"/>
      <c r="CD172" s="120" t="e">
        <v>#N/A</v>
      </c>
      <c r="CE172" s="120" t="e">
        <v>#N/A</v>
      </c>
      <c r="CF172" s="120" t="e">
        <v>#N/A</v>
      </c>
      <c r="CG172" s="111"/>
      <c r="CH172" s="120" t="e">
        <v>#N/A</v>
      </c>
      <c r="CI172" s="120" t="e">
        <v>#N/A</v>
      </c>
      <c r="CJ172" s="111"/>
    </row>
    <row r="173" spans="1:88" ht="130.5" hidden="1">
      <c r="A173" s="106" t="s">
        <v>449</v>
      </c>
      <c r="B173" s="107">
        <v>0</v>
      </c>
      <c r="C173" s="49" t="e">
        <v>#N/A</v>
      </c>
      <c r="D173" s="107"/>
      <c r="E173" s="108"/>
      <c r="F173" s="108"/>
      <c r="G173" s="121"/>
      <c r="H173" s="151">
        <v>18208824</v>
      </c>
      <c r="I173" s="127">
        <f>Tracker6[[#This Row],[DCR ID - PTC]]</f>
        <v>18208824</v>
      </c>
      <c r="J173" s="107" t="s">
        <v>456</v>
      </c>
      <c r="K173" s="108"/>
      <c r="L173" s="108"/>
      <c r="M173" s="108"/>
      <c r="N173" s="108"/>
      <c r="O173" s="111"/>
      <c r="P173" s="111"/>
      <c r="Q173" s="111"/>
      <c r="R173" s="111"/>
      <c r="S173" s="111"/>
      <c r="T173" s="111"/>
      <c r="U173" s="108"/>
      <c r="V173" s="108"/>
      <c r="W173" s="108"/>
      <c r="X173" s="108"/>
      <c r="Y173" s="108"/>
      <c r="Z173" s="108"/>
      <c r="AA173" s="108" t="s">
        <v>130</v>
      </c>
      <c r="AB173" s="112"/>
      <c r="AC173" s="108"/>
      <c r="AD173" s="108" t="s">
        <v>93</v>
      </c>
      <c r="AE173" s="107"/>
      <c r="AF173" s="113"/>
      <c r="AG173" s="115"/>
      <c r="AH173" s="108" t="s">
        <v>350</v>
      </c>
      <c r="AI173" s="108" t="s">
        <v>101</v>
      </c>
      <c r="AJ173" s="114">
        <v>46142.395833333336</v>
      </c>
      <c r="AK173" s="108" t="s">
        <v>218</v>
      </c>
      <c r="AL173" s="115">
        <v>46007.168842592589</v>
      </c>
      <c r="AM173" s="116"/>
      <c r="AN173" s="116"/>
      <c r="AO173" s="116" t="e">
        <v>#N/A</v>
      </c>
      <c r="AP173" s="108"/>
      <c r="AQ173" s="107"/>
      <c r="AR173" s="107"/>
      <c r="AS173" s="116"/>
      <c r="AT173" s="114"/>
      <c r="AU173" s="114"/>
      <c r="AV173" s="108"/>
      <c r="AW173" s="108"/>
      <c r="AX173" s="108" t="s">
        <v>97</v>
      </c>
      <c r="AY173" s="108" t="s">
        <v>98</v>
      </c>
      <c r="AZ173" s="108"/>
      <c r="BA173" s="108"/>
      <c r="BB173" s="108"/>
      <c r="BC173" s="108"/>
      <c r="BD173" s="111"/>
      <c r="BE173" s="111"/>
      <c r="BF173" s="111"/>
      <c r="BG173" s="111"/>
      <c r="BH173" s="111"/>
      <c r="BI173" s="111"/>
      <c r="BJ173" s="111"/>
      <c r="BK173" s="111"/>
      <c r="BL173" s="111"/>
      <c r="BM173" s="117" t="e">
        <v>#N/A</v>
      </c>
      <c r="BN173" s="111"/>
      <c r="BO173" s="117"/>
      <c r="BP173" s="117"/>
      <c r="BQ173" s="117"/>
      <c r="BR173" s="111"/>
      <c r="BS173" s="118"/>
      <c r="BT173" s="111"/>
      <c r="BU173" s="118"/>
      <c r="BV173" s="111"/>
      <c r="BW173" s="111"/>
      <c r="BX173" s="111"/>
      <c r="BY173" s="111"/>
      <c r="BZ173" s="111"/>
      <c r="CA173" s="111"/>
      <c r="CB173" s="119"/>
      <c r="CC173" s="117"/>
      <c r="CD173" s="120" t="e">
        <v>#N/A</v>
      </c>
      <c r="CE173" s="120" t="e">
        <v>#N/A</v>
      </c>
      <c r="CF173" s="120" t="e">
        <v>#N/A</v>
      </c>
      <c r="CG173" s="111"/>
      <c r="CH173" s="120" t="e">
        <v>#N/A</v>
      </c>
      <c r="CI173" s="120" t="e">
        <v>#N/A</v>
      </c>
      <c r="CJ173" s="111"/>
    </row>
    <row r="174" spans="1:88" ht="72.599999999999994" hidden="1">
      <c r="A174" s="106" t="s">
        <v>457</v>
      </c>
      <c r="B174" s="107">
        <v>0</v>
      </c>
      <c r="C174" s="49">
        <v>12</v>
      </c>
      <c r="D174" s="107">
        <v>0</v>
      </c>
      <c r="E174" s="108"/>
      <c r="F174" s="108" t="s">
        <v>136</v>
      </c>
      <c r="G174" s="121"/>
      <c r="H174" s="151">
        <v>18430901</v>
      </c>
      <c r="I174" s="127">
        <f>Tracker6[[#This Row],[DCR ID - PTC]]</f>
        <v>18430901</v>
      </c>
      <c r="J174" s="108" t="s">
        <v>458</v>
      </c>
      <c r="K174" s="108" t="s">
        <v>118</v>
      </c>
      <c r="L174" s="108"/>
      <c r="M174" s="108"/>
      <c r="N174" s="277" t="s">
        <v>459</v>
      </c>
      <c r="O174" s="111" t="s">
        <v>106</v>
      </c>
      <c r="P174" s="111"/>
      <c r="Q174" s="111"/>
      <c r="R174" s="111"/>
      <c r="S174" s="111"/>
      <c r="T174" s="111"/>
      <c r="U174" s="108"/>
      <c r="V174" s="108"/>
      <c r="W174" s="108"/>
      <c r="X174" s="108"/>
      <c r="Y174" s="108"/>
      <c r="Z174" s="108"/>
      <c r="AA174" s="108" t="s">
        <v>107</v>
      </c>
      <c r="AB174" s="112"/>
      <c r="AC174" s="108"/>
      <c r="AD174" s="108" t="s">
        <v>93</v>
      </c>
      <c r="AE174" s="107"/>
      <c r="AF174" s="113"/>
      <c r="AG174" s="115"/>
      <c r="AH174" s="108" t="s">
        <v>109</v>
      </c>
      <c r="AI174" s="108" t="s">
        <v>110</v>
      </c>
      <c r="AJ174" s="114">
        <v>46112.395833333336</v>
      </c>
      <c r="AK174" s="108" t="s">
        <v>96</v>
      </c>
      <c r="AL174" s="115">
        <v>46036.89949074074</v>
      </c>
      <c r="AM174" s="116"/>
      <c r="AN174" s="116"/>
      <c r="AO174" s="116">
        <v>46115</v>
      </c>
      <c r="AP174" s="108"/>
      <c r="AQ174" s="107"/>
      <c r="AR174" s="107"/>
      <c r="AS174" s="116">
        <v>46108</v>
      </c>
      <c r="AT174" s="114"/>
      <c r="AU174" s="114"/>
      <c r="AV174" s="108"/>
      <c r="AW174" s="108"/>
      <c r="AX174" s="108" t="s">
        <v>97</v>
      </c>
      <c r="AY174" s="108" t="s">
        <v>98</v>
      </c>
      <c r="AZ174" s="108"/>
      <c r="BA174" s="108"/>
      <c r="BB174" s="108"/>
      <c r="BC174" s="108"/>
      <c r="BD174" s="111"/>
      <c r="BE174" s="111"/>
      <c r="BF174" s="111"/>
      <c r="BG174" s="111"/>
      <c r="BH174" s="111"/>
      <c r="BI174" s="111"/>
      <c r="BJ174" s="111"/>
      <c r="BK174" s="111"/>
      <c r="BL174" s="111"/>
      <c r="BM174" s="117" t="s">
        <v>460</v>
      </c>
      <c r="BN174" s="111"/>
      <c r="BO174" s="117"/>
      <c r="BP174" s="117"/>
      <c r="BQ174" s="117"/>
      <c r="BR174" s="111"/>
      <c r="BS174" s="118"/>
      <c r="BT174" s="111"/>
      <c r="BU174" s="118"/>
      <c r="BV174" s="111"/>
      <c r="BW174" s="111"/>
      <c r="BX174" s="111"/>
      <c r="BY174" s="111"/>
      <c r="BZ174" s="111"/>
      <c r="CA174" s="111"/>
      <c r="CB174" s="119">
        <v>0.96499999999999997</v>
      </c>
      <c r="CC174" s="117"/>
      <c r="CD174" s="120">
        <v>46072</v>
      </c>
      <c r="CE174" s="120">
        <v>46076</v>
      </c>
      <c r="CF174" s="120">
        <v>46078</v>
      </c>
      <c r="CG174" s="111"/>
      <c r="CH174" s="120" t="s">
        <v>270</v>
      </c>
      <c r="CI174" s="120" t="s">
        <v>125</v>
      </c>
      <c r="CJ174" s="111"/>
    </row>
    <row r="175" spans="1:88" ht="57.95" hidden="1" customHeight="1">
      <c r="A175" s="106" t="s">
        <v>457</v>
      </c>
      <c r="B175" s="107">
        <v>0</v>
      </c>
      <c r="C175" s="49">
        <v>12</v>
      </c>
      <c r="D175" s="107">
        <v>0</v>
      </c>
      <c r="E175" s="108"/>
      <c r="F175" s="108" t="s">
        <v>136</v>
      </c>
      <c r="G175" s="121"/>
      <c r="H175" s="154">
        <v>18430902</v>
      </c>
      <c r="I175" s="127">
        <f>Tracker6[[#This Row],[DCR ID - PTC]]</f>
        <v>18430902</v>
      </c>
      <c r="J175" s="339" t="s">
        <v>461</v>
      </c>
      <c r="K175" s="108" t="s">
        <v>118</v>
      </c>
      <c r="L175" s="108"/>
      <c r="M175" s="108"/>
      <c r="N175" s="277" t="s">
        <v>459</v>
      </c>
      <c r="O175" s="111" t="s">
        <v>106</v>
      </c>
      <c r="P175" s="111"/>
      <c r="Q175" s="111"/>
      <c r="R175" s="111"/>
      <c r="S175" s="111"/>
      <c r="T175" s="111"/>
      <c r="U175" s="108"/>
      <c r="V175" s="108"/>
      <c r="W175" s="108"/>
      <c r="X175" s="108"/>
      <c r="Y175" s="108"/>
      <c r="Z175" s="108"/>
      <c r="AA175" s="108" t="s">
        <v>107</v>
      </c>
      <c r="AB175" s="112"/>
      <c r="AC175" s="108"/>
      <c r="AD175" s="108" t="s">
        <v>93</v>
      </c>
      <c r="AE175" s="107"/>
      <c r="AF175" s="113"/>
      <c r="AG175" s="115"/>
      <c r="AH175" s="108" t="s">
        <v>109</v>
      </c>
      <c r="AI175" s="108" t="s">
        <v>110</v>
      </c>
      <c r="AJ175" s="114">
        <v>46112.395833333336</v>
      </c>
      <c r="AK175" s="108" t="s">
        <v>96</v>
      </c>
      <c r="AL175" s="115">
        <v>46036.899733796294</v>
      </c>
      <c r="AM175" s="116"/>
      <c r="AN175" s="116"/>
      <c r="AO175" s="116">
        <v>46115</v>
      </c>
      <c r="AP175" s="108"/>
      <c r="AQ175" s="107"/>
      <c r="AR175" s="107"/>
      <c r="AS175" s="116">
        <v>46108</v>
      </c>
      <c r="AT175" s="114"/>
      <c r="AU175" s="114"/>
      <c r="AV175" s="108"/>
      <c r="AW175" s="108"/>
      <c r="AX175" s="108" t="s">
        <v>97</v>
      </c>
      <c r="AY175" s="108" t="s">
        <v>98</v>
      </c>
      <c r="AZ175" s="108"/>
      <c r="BA175" s="108"/>
      <c r="BB175" s="108"/>
      <c r="BC175" s="108"/>
      <c r="BD175" s="111"/>
      <c r="BE175" s="111"/>
      <c r="BF175" s="111"/>
      <c r="BG175" s="111"/>
      <c r="BH175" s="111"/>
      <c r="BI175" s="111"/>
      <c r="BJ175" s="111"/>
      <c r="BK175" s="111"/>
      <c r="BL175" s="111"/>
      <c r="BM175" s="117" t="s">
        <v>462</v>
      </c>
      <c r="BN175" s="111"/>
      <c r="BO175" s="117"/>
      <c r="BP175" s="117"/>
      <c r="BQ175" s="117"/>
      <c r="BR175" s="111"/>
      <c r="BS175" s="118"/>
      <c r="BT175" s="111"/>
      <c r="BU175" s="118"/>
      <c r="BV175" s="111"/>
      <c r="BW175" s="111"/>
      <c r="BX175" s="111"/>
      <c r="BY175" s="111"/>
      <c r="BZ175" s="111"/>
      <c r="CA175" s="111"/>
      <c r="CB175" s="119">
        <v>0.3</v>
      </c>
      <c r="CC175" s="117"/>
      <c r="CD175" s="120">
        <v>46087</v>
      </c>
      <c r="CE175" s="120">
        <v>46091</v>
      </c>
      <c r="CF175" s="120">
        <v>46093</v>
      </c>
      <c r="CG175" s="111"/>
      <c r="CH175" s="120" t="s">
        <v>270</v>
      </c>
      <c r="CI175" s="120" t="s">
        <v>125</v>
      </c>
      <c r="CJ175" s="111"/>
    </row>
    <row r="176" spans="1:88" ht="57.95" hidden="1" customHeight="1">
      <c r="A176" s="106" t="s">
        <v>457</v>
      </c>
      <c r="B176" s="49">
        <v>0</v>
      </c>
      <c r="C176" s="49">
        <v>12</v>
      </c>
      <c r="D176" s="49">
        <v>0</v>
      </c>
      <c r="E176" s="134"/>
      <c r="F176" s="134" t="s">
        <v>136</v>
      </c>
      <c r="G176" s="150"/>
      <c r="H176" s="154">
        <v>18430903</v>
      </c>
      <c r="I176" s="127">
        <f>Tracker6[[#This Row],[DCR ID - PTC]]</f>
        <v>18430903</v>
      </c>
      <c r="J176" s="107" t="s">
        <v>463</v>
      </c>
      <c r="K176" s="134" t="s">
        <v>118</v>
      </c>
      <c r="L176" s="134"/>
      <c r="M176" s="134"/>
      <c r="N176" s="277" t="s">
        <v>459</v>
      </c>
      <c r="O176" s="123" t="s">
        <v>106</v>
      </c>
      <c r="P176" s="123"/>
      <c r="Q176" s="123"/>
      <c r="R176" s="123"/>
      <c r="S176" s="123"/>
      <c r="T176" s="123"/>
      <c r="U176" s="134"/>
      <c r="V176" s="134"/>
      <c r="W176" s="134"/>
      <c r="X176" s="134"/>
      <c r="Y176" s="134"/>
      <c r="Z176" s="134"/>
      <c r="AA176" s="134" t="s">
        <v>107</v>
      </c>
      <c r="AC176" s="134"/>
      <c r="AD176" s="134" t="s">
        <v>93</v>
      </c>
      <c r="AE176" s="49"/>
      <c r="AF176" s="136"/>
      <c r="AG176" s="137"/>
      <c r="AH176" s="134" t="s">
        <v>109</v>
      </c>
      <c r="AI176" s="134" t="s">
        <v>110</v>
      </c>
      <c r="AJ176" s="138">
        <v>46112.395833333336</v>
      </c>
      <c r="AK176" s="134" t="s">
        <v>96</v>
      </c>
      <c r="AL176" s="137">
        <v>46036.900023148148</v>
      </c>
      <c r="AM176" s="139"/>
      <c r="AN176" s="139"/>
      <c r="AO176" s="116">
        <v>46115</v>
      </c>
      <c r="AP176" s="134"/>
      <c r="AQ176" s="49"/>
      <c r="AR176" s="49"/>
      <c r="AS176" s="139">
        <v>46108</v>
      </c>
      <c r="AT176" s="138"/>
      <c r="AU176" s="138"/>
      <c r="AV176" s="134"/>
      <c r="AW176" s="134"/>
      <c r="AX176" s="108" t="s">
        <v>97</v>
      </c>
      <c r="AY176" s="108" t="s">
        <v>98</v>
      </c>
      <c r="AZ176" s="134"/>
      <c r="BA176" s="134"/>
      <c r="BB176" s="134"/>
      <c r="BC176" s="134"/>
      <c r="BD176" s="123"/>
      <c r="BE176" s="123"/>
      <c r="BF176" s="123"/>
      <c r="BG176" s="123"/>
      <c r="BH176" s="123"/>
      <c r="BI176" s="123"/>
      <c r="BJ176" s="123"/>
      <c r="BK176" s="123"/>
      <c r="BL176" s="123"/>
      <c r="BM176" s="117" t="s">
        <v>464</v>
      </c>
      <c r="BN176" s="123"/>
      <c r="BO176" s="140"/>
      <c r="BP176" s="140"/>
      <c r="BQ176" s="140"/>
      <c r="BR176" s="123"/>
      <c r="BS176" s="141"/>
      <c r="BT176" s="123"/>
      <c r="BU176" s="141"/>
      <c r="BV176" s="123"/>
      <c r="BW176" s="123"/>
      <c r="BX176" s="123"/>
      <c r="BY176" s="123"/>
      <c r="BZ176" s="123"/>
      <c r="CA176" s="123"/>
      <c r="CB176" s="119">
        <v>0.96499999999999997</v>
      </c>
      <c r="CC176" s="140"/>
      <c r="CD176" s="120">
        <v>46072</v>
      </c>
      <c r="CE176" s="120">
        <v>46076</v>
      </c>
      <c r="CF176" s="120">
        <v>46078</v>
      </c>
      <c r="CG176" s="123"/>
      <c r="CH176" s="120" t="s">
        <v>182</v>
      </c>
      <c r="CI176" s="120" t="s">
        <v>125</v>
      </c>
      <c r="CJ176" s="123"/>
    </row>
    <row r="177" spans="1:88" ht="72.599999999999994" hidden="1" customHeight="1">
      <c r="A177" s="106" t="s">
        <v>457</v>
      </c>
      <c r="B177" s="107">
        <v>0</v>
      </c>
      <c r="C177" s="49">
        <v>12</v>
      </c>
      <c r="D177" s="107">
        <f>Tracker6[[#This Row],[Estimated Hrs]]-Tracker6[[#This Row],[Actual Efforts (Hrs)]]</f>
        <v>12</v>
      </c>
      <c r="E177" s="108"/>
      <c r="F177" s="108" t="s">
        <v>148</v>
      </c>
      <c r="G177" s="121" t="s">
        <v>148</v>
      </c>
      <c r="H177" s="154">
        <v>18430910</v>
      </c>
      <c r="I177" s="127">
        <f>Tracker6[[#This Row],[DCR ID - PTC]]</f>
        <v>18430910</v>
      </c>
      <c r="J177" s="107" t="s">
        <v>465</v>
      </c>
      <c r="K177" s="108" t="s">
        <v>118</v>
      </c>
      <c r="L177" s="108"/>
      <c r="M177" s="108"/>
      <c r="N177" s="277" t="s">
        <v>466</v>
      </c>
      <c r="O177" s="111" t="s">
        <v>106</v>
      </c>
      <c r="P177" s="116"/>
      <c r="Q177" s="108"/>
      <c r="R177" s="107"/>
      <c r="S177" s="107"/>
      <c r="T177" s="116"/>
      <c r="U177" s="114"/>
      <c r="V177" s="114"/>
      <c r="W177" s="108"/>
      <c r="X177" s="108"/>
      <c r="Y177" s="108"/>
      <c r="Z177" s="108"/>
      <c r="AA177" s="108" t="s">
        <v>107</v>
      </c>
      <c r="AB177" s="108"/>
      <c r="AC177" s="108"/>
      <c r="AD177" s="108" t="s">
        <v>93</v>
      </c>
      <c r="AE177" s="111"/>
      <c r="AF177" s="111"/>
      <c r="AG177" s="152">
        <v>46059</v>
      </c>
      <c r="AH177" s="111" t="s">
        <v>109</v>
      </c>
      <c r="AI177" s="111" t="s">
        <v>110</v>
      </c>
      <c r="AJ177" s="111">
        <v>46112.395833333336</v>
      </c>
      <c r="AK177" s="111" t="s">
        <v>96</v>
      </c>
      <c r="AL177" s="152">
        <v>46036.900810185187</v>
      </c>
      <c r="AM177" s="111"/>
      <c r="AN177" s="117"/>
      <c r="AO177" s="116">
        <v>46080</v>
      </c>
      <c r="AP177" s="117"/>
      <c r="AQ177" s="117"/>
      <c r="AR177" s="117"/>
      <c r="AS177" s="111">
        <v>46080</v>
      </c>
      <c r="AT177" s="118" t="s">
        <v>125</v>
      </c>
      <c r="AU177" s="111" t="s">
        <v>125</v>
      </c>
      <c r="AV177" s="118"/>
      <c r="AW177" s="111"/>
      <c r="AX177" s="108" t="s">
        <v>97</v>
      </c>
      <c r="AY177" s="108" t="s">
        <v>98</v>
      </c>
      <c r="AZ177" s="111"/>
      <c r="BA177" s="111"/>
      <c r="BB177" s="111"/>
      <c r="BC177" s="119"/>
      <c r="BD177" s="117"/>
      <c r="BE177" s="126"/>
      <c r="BF177" s="126"/>
      <c r="BG177" s="126"/>
      <c r="BH177" s="126"/>
      <c r="BI177" s="126"/>
      <c r="BJ177" s="126"/>
      <c r="BK177" s="126"/>
      <c r="BL177" s="126"/>
      <c r="BM177" s="117" t="s">
        <v>467</v>
      </c>
      <c r="BN177" s="126"/>
      <c r="BO177" s="126"/>
      <c r="BP177" s="126"/>
      <c r="BQ177" s="126"/>
      <c r="BR177" s="126"/>
      <c r="BS177" s="126"/>
      <c r="BT177" s="126"/>
      <c r="BU177" s="126"/>
      <c r="BV177" s="126"/>
      <c r="BW177" s="126"/>
      <c r="BX177" s="126"/>
      <c r="BY177" s="126"/>
      <c r="BZ177" s="126"/>
      <c r="CA177" s="126"/>
      <c r="CB177" s="119">
        <v>1</v>
      </c>
      <c r="CC177" s="126"/>
      <c r="CD177" s="120">
        <v>46087</v>
      </c>
      <c r="CE177" s="120">
        <v>46091</v>
      </c>
      <c r="CF177" s="120">
        <v>46093</v>
      </c>
      <c r="CG177" s="111"/>
      <c r="CH177" s="120" t="s">
        <v>270</v>
      </c>
      <c r="CI177" s="120" t="s">
        <v>125</v>
      </c>
      <c r="CJ177" s="111"/>
    </row>
    <row r="178" spans="1:88" ht="57.95" hidden="1">
      <c r="A178" s="106" t="s">
        <v>457</v>
      </c>
      <c r="B178" s="107">
        <v>0</v>
      </c>
      <c r="C178" s="49">
        <v>12</v>
      </c>
      <c r="D178" s="107">
        <v>0</v>
      </c>
      <c r="E178" s="108"/>
      <c r="F178" s="108" t="s">
        <v>136</v>
      </c>
      <c r="G178" s="148"/>
      <c r="H178" s="151">
        <v>18430911</v>
      </c>
      <c r="I178" s="127">
        <f>Tracker6[[#This Row],[DCR ID - PTC]]</f>
        <v>18430911</v>
      </c>
      <c r="J178" s="292" t="s">
        <v>468</v>
      </c>
      <c r="K178" s="108" t="s">
        <v>118</v>
      </c>
      <c r="L178" s="108"/>
      <c r="M178" s="108"/>
      <c r="N178" s="277" t="s">
        <v>459</v>
      </c>
      <c r="O178" s="111" t="s">
        <v>115</v>
      </c>
      <c r="P178" s="126"/>
      <c r="Q178" s="126"/>
      <c r="R178" s="126"/>
      <c r="S178" s="126"/>
      <c r="T178" s="126"/>
      <c r="U178" s="126"/>
      <c r="V178" s="126"/>
      <c r="W178" s="126"/>
      <c r="X178" s="126"/>
      <c r="Y178" s="126"/>
      <c r="Z178" s="126"/>
      <c r="AA178" s="126" t="s">
        <v>107</v>
      </c>
      <c r="AB178" s="126"/>
      <c r="AC178" s="126"/>
      <c r="AD178" s="126" t="s">
        <v>93</v>
      </c>
      <c r="AE178" s="126"/>
      <c r="AF178" s="126"/>
      <c r="AG178" s="293"/>
      <c r="AH178" s="126" t="s">
        <v>109</v>
      </c>
      <c r="AI178" s="126" t="s">
        <v>110</v>
      </c>
      <c r="AJ178" s="126">
        <v>46112.395833333336</v>
      </c>
      <c r="AK178" s="126" t="s">
        <v>96</v>
      </c>
      <c r="AL178" s="293">
        <v>46036.901018518518</v>
      </c>
      <c r="AM178" s="126"/>
      <c r="AN178" s="126"/>
      <c r="AO178" s="116">
        <v>46115</v>
      </c>
      <c r="AP178" s="126"/>
      <c r="AQ178" s="126"/>
      <c r="AR178" s="126"/>
      <c r="AS178" s="126"/>
      <c r="AT178" s="126"/>
      <c r="AU178" s="126"/>
      <c r="AV178" s="126"/>
      <c r="AW178" s="126"/>
      <c r="AX178" s="108" t="s">
        <v>97</v>
      </c>
      <c r="AY178" s="108" t="s">
        <v>98</v>
      </c>
      <c r="AZ178" s="126"/>
      <c r="BA178" s="126"/>
      <c r="BB178" s="126"/>
      <c r="BC178" s="126"/>
      <c r="BD178" s="126"/>
      <c r="BE178" s="126"/>
      <c r="BF178" s="126"/>
      <c r="BG178" s="126"/>
      <c r="BH178" s="126"/>
      <c r="BI178" s="126"/>
      <c r="BJ178" s="126"/>
      <c r="BK178" s="126"/>
      <c r="BL178" s="126"/>
      <c r="BM178" s="117" t="s">
        <v>395</v>
      </c>
      <c r="BN178" s="126"/>
      <c r="BO178" s="126"/>
      <c r="BP178" s="126"/>
      <c r="BQ178" s="126"/>
      <c r="BR178" s="126"/>
      <c r="BS178" s="126"/>
      <c r="BT178" s="126"/>
      <c r="BU178" s="126"/>
      <c r="BV178" s="126"/>
      <c r="BW178" s="126"/>
      <c r="BX178" s="126"/>
      <c r="BY178" s="126"/>
      <c r="BZ178" s="126"/>
      <c r="CA178" s="126"/>
      <c r="CB178" s="119">
        <v>0.96499999999999997</v>
      </c>
      <c r="CC178" s="126"/>
      <c r="CD178" s="120">
        <v>46072</v>
      </c>
      <c r="CE178" s="120">
        <v>46076</v>
      </c>
      <c r="CF178" s="120">
        <v>46078</v>
      </c>
      <c r="CG178" s="111"/>
      <c r="CH178" s="120" t="s">
        <v>270</v>
      </c>
      <c r="CI178" s="120" t="s">
        <v>125</v>
      </c>
      <c r="CJ178" s="111"/>
    </row>
    <row r="179" spans="1:88" ht="231.95" hidden="1">
      <c r="A179" s="106" t="s">
        <v>261</v>
      </c>
      <c r="B179" s="107">
        <f>2+6+6+4+6+6+1</f>
        <v>31</v>
      </c>
      <c r="C179" s="49">
        <v>40</v>
      </c>
      <c r="D179" s="107">
        <f>Tracker6[[#This Row],[Estimated Hrs]]-Tracker6[[#This Row],[Actual Efforts (Hrs)]]</f>
        <v>9</v>
      </c>
      <c r="E179" s="108"/>
      <c r="F179" s="108" t="s">
        <v>136</v>
      </c>
      <c r="G179" s="148"/>
      <c r="H179" s="151">
        <v>19166857</v>
      </c>
      <c r="I179" s="127">
        <f>Tracker6[[#This Row],[DCR ID - PTC]]</f>
        <v>19166857</v>
      </c>
      <c r="J179" s="336" t="s">
        <v>469</v>
      </c>
      <c r="K179" s="108" t="s">
        <v>118</v>
      </c>
      <c r="L179" s="108"/>
      <c r="M179" s="108"/>
      <c r="N179" s="334" t="s">
        <v>470</v>
      </c>
      <c r="O179" s="111" t="s">
        <v>115</v>
      </c>
      <c r="P179" s="126"/>
      <c r="Q179" s="126"/>
      <c r="R179" s="126"/>
      <c r="S179" s="126"/>
      <c r="T179" s="126"/>
      <c r="U179" s="126"/>
      <c r="V179" s="126"/>
      <c r="W179" s="126"/>
      <c r="X179" s="126"/>
      <c r="Y179" s="126"/>
      <c r="Z179" s="126"/>
      <c r="AA179" s="126" t="s">
        <v>107</v>
      </c>
      <c r="AB179" s="126"/>
      <c r="AC179" s="126"/>
      <c r="AD179" s="126" t="s">
        <v>93</v>
      </c>
      <c r="AE179" s="126"/>
      <c r="AF179" s="113"/>
      <c r="AG179" s="115"/>
      <c r="AH179" s="126" t="s">
        <v>109</v>
      </c>
      <c r="AI179" s="126" t="s">
        <v>110</v>
      </c>
      <c r="AJ179" s="126">
        <v>46112.395833333336</v>
      </c>
      <c r="AK179" s="126" t="s">
        <v>96</v>
      </c>
      <c r="AL179" s="293">
        <v>46036.90148148148</v>
      </c>
      <c r="AM179" s="126"/>
      <c r="AN179" s="126"/>
      <c r="AO179" s="116">
        <v>46112</v>
      </c>
      <c r="AP179" s="126"/>
      <c r="AQ179" s="126"/>
      <c r="AR179" s="126"/>
      <c r="AS179" s="116"/>
      <c r="AT179" s="114"/>
      <c r="AU179" s="114"/>
      <c r="AV179" s="126"/>
      <c r="AW179" s="126"/>
      <c r="AX179" s="108" t="s">
        <v>97</v>
      </c>
      <c r="AY179" s="108" t="s">
        <v>98</v>
      </c>
      <c r="AZ179" s="126"/>
      <c r="BA179" s="126"/>
      <c r="BB179" s="126"/>
      <c r="BC179" s="126"/>
      <c r="BD179" s="126"/>
      <c r="BE179" s="126"/>
      <c r="BF179" s="126"/>
      <c r="BG179" s="126"/>
      <c r="BH179" s="126"/>
      <c r="BI179" s="126"/>
      <c r="BJ179" s="126"/>
      <c r="BK179" s="126"/>
      <c r="BL179" s="126"/>
      <c r="BM179" s="117" t="s">
        <v>471</v>
      </c>
      <c r="BN179" s="126"/>
      <c r="BO179" s="126"/>
      <c r="BP179" s="126"/>
      <c r="BQ179" s="126"/>
      <c r="BR179" s="126"/>
      <c r="BS179" s="126"/>
      <c r="BT179" s="126"/>
      <c r="BU179" s="126"/>
      <c r="BV179" s="126"/>
      <c r="BW179" s="126"/>
      <c r="BX179" s="126"/>
      <c r="BY179" s="126"/>
      <c r="BZ179" s="126"/>
      <c r="CA179" s="126"/>
      <c r="CB179" s="119">
        <v>0.96499999999999997</v>
      </c>
      <c r="CC179" s="126"/>
      <c r="CD179" s="120" t="s">
        <v>270</v>
      </c>
      <c r="CE179" s="120" t="s">
        <v>270</v>
      </c>
      <c r="CF179" s="120" t="s">
        <v>270</v>
      </c>
      <c r="CG179" s="111"/>
      <c r="CH179" s="120" t="s">
        <v>182</v>
      </c>
      <c r="CI179" s="120" t="s">
        <v>125</v>
      </c>
      <c r="CJ179" s="111"/>
    </row>
    <row r="180" spans="1:88" ht="57.95" hidden="1">
      <c r="A180" s="106" t="s">
        <v>457</v>
      </c>
      <c r="B180" s="107">
        <v>0</v>
      </c>
      <c r="C180" s="49">
        <v>12</v>
      </c>
      <c r="D180" s="107">
        <v>0</v>
      </c>
      <c r="E180" s="108"/>
      <c r="F180" s="108" t="s">
        <v>136</v>
      </c>
      <c r="G180" s="121"/>
      <c r="H180" s="151">
        <v>18430918</v>
      </c>
      <c r="I180" s="127">
        <f>Tracker6[[#This Row],[DCR ID - PTC]]</f>
        <v>18430918</v>
      </c>
      <c r="J180" s="108" t="s">
        <v>472</v>
      </c>
      <c r="K180" s="108" t="s">
        <v>118</v>
      </c>
      <c r="L180" s="108"/>
      <c r="M180" s="108"/>
      <c r="N180" s="277" t="s">
        <v>459</v>
      </c>
      <c r="O180" s="111" t="s">
        <v>115</v>
      </c>
      <c r="P180" s="111"/>
      <c r="Q180" s="111"/>
      <c r="R180" s="111"/>
      <c r="S180" s="111"/>
      <c r="T180" s="111"/>
      <c r="U180" s="108"/>
      <c r="V180" s="108"/>
      <c r="W180" s="108"/>
      <c r="X180" s="108"/>
      <c r="Y180" s="108"/>
      <c r="Z180" s="108"/>
      <c r="AA180" s="108" t="s">
        <v>107</v>
      </c>
      <c r="AB180" s="112"/>
      <c r="AC180" s="108"/>
      <c r="AD180" s="108" t="s">
        <v>93</v>
      </c>
      <c r="AE180" s="107"/>
      <c r="AF180" s="113"/>
      <c r="AG180" s="115"/>
      <c r="AH180" s="108" t="s">
        <v>109</v>
      </c>
      <c r="AI180" s="108" t="s">
        <v>110</v>
      </c>
      <c r="AJ180" s="114">
        <v>46112.395833333336</v>
      </c>
      <c r="AK180" s="108" t="s">
        <v>96</v>
      </c>
      <c r="AL180" s="115">
        <v>46036.901585648149</v>
      </c>
      <c r="AM180" s="116"/>
      <c r="AN180" s="116"/>
      <c r="AO180" s="116">
        <v>46115</v>
      </c>
      <c r="AP180" s="108"/>
      <c r="AQ180" s="107"/>
      <c r="AR180" s="107"/>
      <c r="AS180" s="116"/>
      <c r="AT180" s="114"/>
      <c r="AU180" s="114"/>
      <c r="AV180" s="108"/>
      <c r="AW180" s="108"/>
      <c r="AX180" s="108" t="s">
        <v>97</v>
      </c>
      <c r="AY180" s="108" t="s">
        <v>98</v>
      </c>
      <c r="AZ180" s="108"/>
      <c r="BA180" s="108"/>
      <c r="BB180" s="108"/>
      <c r="BC180" s="108"/>
      <c r="BD180" s="111"/>
      <c r="BE180" s="111"/>
      <c r="BF180" s="111"/>
      <c r="BG180" s="111"/>
      <c r="BH180" s="111"/>
      <c r="BI180" s="111"/>
      <c r="BJ180" s="111"/>
      <c r="BK180" s="111"/>
      <c r="BL180" s="111"/>
      <c r="BM180" s="117" t="s">
        <v>473</v>
      </c>
      <c r="BN180" s="111"/>
      <c r="BO180" s="117"/>
      <c r="BP180" s="117"/>
      <c r="BQ180" s="117"/>
      <c r="BR180" s="111"/>
      <c r="BS180" s="118"/>
      <c r="BT180" s="111"/>
      <c r="BU180" s="118"/>
      <c r="BV180" s="111"/>
      <c r="BW180" s="111"/>
      <c r="BX180" s="111"/>
      <c r="BY180" s="111"/>
      <c r="BZ180" s="111"/>
      <c r="CA180" s="111"/>
      <c r="CB180" s="119">
        <v>0.96499999999999997</v>
      </c>
      <c r="CC180" s="117"/>
      <c r="CD180" s="120">
        <v>46072</v>
      </c>
      <c r="CE180" s="120">
        <v>46076</v>
      </c>
      <c r="CF180" s="120">
        <v>46078</v>
      </c>
      <c r="CG180" s="111"/>
      <c r="CH180" s="120" t="s">
        <v>270</v>
      </c>
      <c r="CI180" s="120" t="s">
        <v>125</v>
      </c>
      <c r="CJ180" s="111"/>
    </row>
    <row r="181" spans="1:88" ht="57.95" hidden="1">
      <c r="A181" s="106" t="s">
        <v>457</v>
      </c>
      <c r="B181" s="107">
        <v>0</v>
      </c>
      <c r="C181" s="49">
        <v>12</v>
      </c>
      <c r="D181" s="107">
        <v>0</v>
      </c>
      <c r="E181" s="108"/>
      <c r="F181" s="108" t="s">
        <v>136</v>
      </c>
      <c r="G181" s="121"/>
      <c r="H181" s="151">
        <v>18430920</v>
      </c>
      <c r="I181" s="127">
        <f>Tracker6[[#This Row],[DCR ID - PTC]]</f>
        <v>18430920</v>
      </c>
      <c r="J181" s="333" t="s">
        <v>474</v>
      </c>
      <c r="K181" s="108" t="s">
        <v>118</v>
      </c>
      <c r="L181" s="108"/>
      <c r="M181" s="108"/>
      <c r="N181" s="277" t="s">
        <v>459</v>
      </c>
      <c r="O181" s="111" t="s">
        <v>106</v>
      </c>
      <c r="P181" s="111"/>
      <c r="Q181" s="111"/>
      <c r="R181" s="111"/>
      <c r="S181" s="111"/>
      <c r="T181" s="111"/>
      <c r="U181" s="108"/>
      <c r="V181" s="108"/>
      <c r="W181" s="108"/>
      <c r="X181" s="108"/>
      <c r="Y181" s="108"/>
      <c r="Z181" s="108"/>
      <c r="AA181" s="108" t="s">
        <v>107</v>
      </c>
      <c r="AB181" s="112"/>
      <c r="AC181" s="108"/>
      <c r="AD181" s="108" t="s">
        <v>93</v>
      </c>
      <c r="AE181" s="107"/>
      <c r="AF181" s="113"/>
      <c r="AG181" s="115"/>
      <c r="AH181" s="108" t="s">
        <v>109</v>
      </c>
      <c r="AI181" s="108" t="s">
        <v>110</v>
      </c>
      <c r="AJ181" s="114">
        <v>46112.395833333336</v>
      </c>
      <c r="AK181" s="108" t="s">
        <v>96</v>
      </c>
      <c r="AL181" s="115">
        <v>46036.901701388888</v>
      </c>
      <c r="AM181" s="116"/>
      <c r="AN181" s="116"/>
      <c r="AO181" s="116">
        <v>46115</v>
      </c>
      <c r="AP181" s="108"/>
      <c r="AQ181" s="107"/>
      <c r="AR181" s="107"/>
      <c r="AS181" s="116">
        <v>46108</v>
      </c>
      <c r="AT181" s="114"/>
      <c r="AU181" s="114"/>
      <c r="AV181" s="108"/>
      <c r="AW181" s="108"/>
      <c r="AX181" s="108" t="s">
        <v>97</v>
      </c>
      <c r="AY181" s="108" t="s">
        <v>98</v>
      </c>
      <c r="AZ181" s="108"/>
      <c r="BA181" s="108"/>
      <c r="BB181" s="108"/>
      <c r="BC181" s="108"/>
      <c r="BD181" s="111"/>
      <c r="BE181" s="111"/>
      <c r="BF181" s="111"/>
      <c r="BG181" s="111"/>
      <c r="BH181" s="111"/>
      <c r="BI181" s="111"/>
      <c r="BJ181" s="111"/>
      <c r="BK181" s="111"/>
      <c r="BL181" s="111"/>
      <c r="BM181" s="117" t="s">
        <v>475</v>
      </c>
      <c r="BN181" s="111"/>
      <c r="BO181" s="117"/>
      <c r="BP181" s="117"/>
      <c r="BQ181" s="117"/>
      <c r="BR181" s="111"/>
      <c r="BS181" s="118"/>
      <c r="BT181" s="111"/>
      <c r="BU181" s="118"/>
      <c r="BV181" s="111"/>
      <c r="BW181" s="111"/>
      <c r="BX181" s="111"/>
      <c r="BY181" s="111"/>
      <c r="BZ181" s="111"/>
      <c r="CA181" s="111"/>
      <c r="CB181" s="119">
        <v>0.3</v>
      </c>
      <c r="CC181" s="117"/>
      <c r="CD181" s="120">
        <v>46087</v>
      </c>
      <c r="CE181" s="120">
        <v>46091</v>
      </c>
      <c r="CF181" s="120">
        <v>46093</v>
      </c>
      <c r="CG181" s="111"/>
      <c r="CH181" s="120" t="s">
        <v>270</v>
      </c>
      <c r="CI181" s="120" t="s">
        <v>125</v>
      </c>
      <c r="CJ181" s="111"/>
    </row>
    <row r="182" spans="1:88" ht="57.95" hidden="1">
      <c r="A182" s="106" t="s">
        <v>457</v>
      </c>
      <c r="B182" s="107">
        <v>0</v>
      </c>
      <c r="C182" s="49">
        <v>12</v>
      </c>
      <c r="D182" s="107">
        <v>0</v>
      </c>
      <c r="E182" s="108"/>
      <c r="F182" s="108" t="s">
        <v>136</v>
      </c>
      <c r="G182" s="121"/>
      <c r="H182" s="151">
        <v>18430921</v>
      </c>
      <c r="I182" s="127">
        <f>Tracker6[[#This Row],[DCR ID - PTC]]</f>
        <v>18430921</v>
      </c>
      <c r="J182" s="108" t="s">
        <v>476</v>
      </c>
      <c r="K182" s="108" t="s">
        <v>118</v>
      </c>
      <c r="L182" s="108"/>
      <c r="M182" s="108"/>
      <c r="N182" s="277" t="s">
        <v>459</v>
      </c>
      <c r="O182" s="111" t="s">
        <v>106</v>
      </c>
      <c r="P182" s="111"/>
      <c r="Q182" s="111"/>
      <c r="R182" s="111"/>
      <c r="S182" s="111"/>
      <c r="T182" s="111"/>
      <c r="U182" s="108"/>
      <c r="V182" s="108"/>
      <c r="W182" s="108"/>
      <c r="X182" s="108"/>
      <c r="Y182" s="108"/>
      <c r="Z182" s="108"/>
      <c r="AA182" s="108" t="s">
        <v>107</v>
      </c>
      <c r="AB182" s="112"/>
      <c r="AC182" s="108"/>
      <c r="AD182" s="108" t="s">
        <v>93</v>
      </c>
      <c r="AE182" s="107"/>
      <c r="AF182" s="113"/>
      <c r="AG182" s="115"/>
      <c r="AH182" s="108" t="s">
        <v>109</v>
      </c>
      <c r="AI182" s="108" t="s">
        <v>110</v>
      </c>
      <c r="AJ182" s="114">
        <v>46112.395833333336</v>
      </c>
      <c r="AK182" s="108" t="s">
        <v>96</v>
      </c>
      <c r="AL182" s="115">
        <v>46036.901817129627</v>
      </c>
      <c r="AM182" s="116"/>
      <c r="AN182" s="116"/>
      <c r="AO182" s="116">
        <v>46098</v>
      </c>
      <c r="AP182" s="108"/>
      <c r="AQ182" s="107"/>
      <c r="AR182" s="107"/>
      <c r="AS182" s="116">
        <v>46084</v>
      </c>
      <c r="AT182" s="114" t="s">
        <v>125</v>
      </c>
      <c r="AU182" s="114" t="s">
        <v>125</v>
      </c>
      <c r="AV182" s="108"/>
      <c r="AW182" s="108"/>
      <c r="AX182" s="108" t="s">
        <v>97</v>
      </c>
      <c r="AY182" s="108" t="s">
        <v>98</v>
      </c>
      <c r="AZ182" s="108"/>
      <c r="BA182" s="108"/>
      <c r="BB182" s="108"/>
      <c r="BC182" s="108"/>
      <c r="BD182" s="111"/>
      <c r="BE182" s="111"/>
      <c r="BF182" s="111"/>
      <c r="BG182" s="111"/>
      <c r="BH182" s="111"/>
      <c r="BI182" s="111"/>
      <c r="BJ182" s="111"/>
      <c r="BK182" s="111"/>
      <c r="BL182" s="111"/>
      <c r="BM182" s="117" t="s">
        <v>477</v>
      </c>
      <c r="BN182" s="111"/>
      <c r="BO182" s="117"/>
      <c r="BP182" s="117"/>
      <c r="BQ182" s="117"/>
      <c r="BR182" s="111"/>
      <c r="BS182" s="118"/>
      <c r="BT182" s="111"/>
      <c r="BU182" s="118"/>
      <c r="BV182" s="111"/>
      <c r="BW182" s="111"/>
      <c r="BX182" s="111"/>
      <c r="BY182" s="111"/>
      <c r="BZ182" s="111"/>
      <c r="CA182" s="111"/>
      <c r="CB182" s="119" t="s">
        <v>125</v>
      </c>
      <c r="CC182" s="117"/>
      <c r="CD182" s="120">
        <v>46087</v>
      </c>
      <c r="CE182" s="120">
        <v>46091</v>
      </c>
      <c r="CF182" s="120">
        <v>46093</v>
      </c>
      <c r="CG182" s="111"/>
      <c r="CH182" s="120" t="s">
        <v>270</v>
      </c>
      <c r="CI182" s="120" t="s">
        <v>125</v>
      </c>
      <c r="CJ182" s="277"/>
    </row>
    <row r="183" spans="1:88" ht="72.599999999999994" hidden="1">
      <c r="A183" s="106" t="s">
        <v>457</v>
      </c>
      <c r="B183" s="107">
        <v>0</v>
      </c>
      <c r="C183" s="49">
        <v>12</v>
      </c>
      <c r="D183" s="107">
        <v>0</v>
      </c>
      <c r="E183" s="108"/>
      <c r="F183" s="108" t="s">
        <v>136</v>
      </c>
      <c r="G183" s="121"/>
      <c r="H183" s="151">
        <v>18430925</v>
      </c>
      <c r="I183" s="127">
        <f>Tracker6[[#This Row],[DCR ID - PTC]]</f>
        <v>18430925</v>
      </c>
      <c r="J183" s="108" t="s">
        <v>478</v>
      </c>
      <c r="K183" s="108" t="s">
        <v>118</v>
      </c>
      <c r="L183" s="108"/>
      <c r="M183" s="108"/>
      <c r="N183" s="277" t="s">
        <v>459</v>
      </c>
      <c r="O183" s="111" t="s">
        <v>115</v>
      </c>
      <c r="P183" s="111"/>
      <c r="Q183" s="111"/>
      <c r="R183" s="111"/>
      <c r="S183" s="111"/>
      <c r="T183" s="111"/>
      <c r="U183" s="108"/>
      <c r="V183" s="108"/>
      <c r="W183" s="108"/>
      <c r="X183" s="108"/>
      <c r="Y183" s="108"/>
      <c r="Z183" s="108"/>
      <c r="AA183" s="108" t="s">
        <v>107</v>
      </c>
      <c r="AB183" s="112"/>
      <c r="AC183" s="108"/>
      <c r="AD183" s="108" t="s">
        <v>93</v>
      </c>
      <c r="AE183" s="107"/>
      <c r="AF183" s="113"/>
      <c r="AG183" s="115"/>
      <c r="AH183" s="108" t="s">
        <v>109</v>
      </c>
      <c r="AI183" s="108" t="s">
        <v>110</v>
      </c>
      <c r="AJ183" s="114">
        <v>46112.395833333336</v>
      </c>
      <c r="AK183" s="108" t="s">
        <v>96</v>
      </c>
      <c r="AL183" s="115">
        <v>46036.902187500003</v>
      </c>
      <c r="AM183" s="116"/>
      <c r="AN183" s="116"/>
      <c r="AO183" s="116">
        <v>46115</v>
      </c>
      <c r="AP183" s="108"/>
      <c r="AQ183" s="107"/>
      <c r="AR183" s="107"/>
      <c r="AS183" s="116"/>
      <c r="AT183" s="114"/>
      <c r="AU183" s="114"/>
      <c r="AV183" s="108"/>
      <c r="AW183" s="108"/>
      <c r="AX183" s="108" t="s">
        <v>97</v>
      </c>
      <c r="AY183" s="108" t="s">
        <v>98</v>
      </c>
      <c r="AZ183" s="108"/>
      <c r="BA183" s="108"/>
      <c r="BB183" s="108"/>
      <c r="BC183" s="108"/>
      <c r="BD183" s="111"/>
      <c r="BE183" s="111"/>
      <c r="BF183" s="111"/>
      <c r="BG183" s="111"/>
      <c r="BH183" s="111"/>
      <c r="BI183" s="111"/>
      <c r="BJ183" s="111"/>
      <c r="BK183" s="111"/>
      <c r="BL183" s="111"/>
      <c r="BM183" s="117" t="s">
        <v>479</v>
      </c>
      <c r="BN183" s="111"/>
      <c r="BO183" s="117"/>
      <c r="BP183" s="117"/>
      <c r="BQ183" s="117"/>
      <c r="BR183" s="111"/>
      <c r="BS183" s="118"/>
      <c r="BT183" s="111"/>
      <c r="BU183" s="118"/>
      <c r="BV183" s="111"/>
      <c r="BW183" s="111"/>
      <c r="BX183" s="111"/>
      <c r="BY183" s="111"/>
      <c r="BZ183" s="111"/>
      <c r="CA183" s="111"/>
      <c r="CB183" s="119">
        <v>0.96499999999999997</v>
      </c>
      <c r="CC183" s="117"/>
      <c r="CD183" s="120">
        <v>46072</v>
      </c>
      <c r="CE183" s="120">
        <v>46076</v>
      </c>
      <c r="CF183" s="120">
        <v>46078</v>
      </c>
      <c r="CG183" s="111"/>
      <c r="CH183" s="120" t="s">
        <v>270</v>
      </c>
      <c r="CI183" s="120" t="s">
        <v>125</v>
      </c>
      <c r="CJ183" s="277"/>
    </row>
    <row r="184" spans="1:88" ht="57.95" hidden="1">
      <c r="A184" s="106" t="s">
        <v>457</v>
      </c>
      <c r="B184" s="107">
        <v>0</v>
      </c>
      <c r="C184" s="107">
        <v>12</v>
      </c>
      <c r="D184" s="107">
        <v>0</v>
      </c>
      <c r="E184" s="108"/>
      <c r="F184" s="108" t="s">
        <v>136</v>
      </c>
      <c r="G184" s="148"/>
      <c r="H184" s="151">
        <v>18430927</v>
      </c>
      <c r="I184" s="127">
        <f>Tracker6[[#This Row],[DCR ID - PTC]]</f>
        <v>18430927</v>
      </c>
      <c r="J184" s="107" t="s">
        <v>480</v>
      </c>
      <c r="K184" s="108" t="s">
        <v>118</v>
      </c>
      <c r="L184" s="108"/>
      <c r="M184" s="108"/>
      <c r="N184" s="277" t="s">
        <v>459</v>
      </c>
      <c r="O184" s="111" t="s">
        <v>115</v>
      </c>
      <c r="P184" s="116"/>
      <c r="Q184" s="108"/>
      <c r="R184" s="108"/>
      <c r="S184" s="108"/>
      <c r="T184" s="111"/>
      <c r="U184" s="111"/>
      <c r="V184" s="111"/>
      <c r="W184" s="111"/>
      <c r="X184" s="108"/>
      <c r="Y184" s="108"/>
      <c r="Z184" s="108"/>
      <c r="AA184" s="108" t="s">
        <v>107</v>
      </c>
      <c r="AB184" s="108"/>
      <c r="AC184" s="108"/>
      <c r="AD184" s="108" t="s">
        <v>93</v>
      </c>
      <c r="AE184" s="108"/>
      <c r="AF184" s="113"/>
      <c r="AG184" s="115"/>
      <c r="AH184" s="108" t="s">
        <v>109</v>
      </c>
      <c r="AI184" s="108" t="s">
        <v>110</v>
      </c>
      <c r="AJ184" s="108">
        <v>46112.395833333336</v>
      </c>
      <c r="AK184" s="108" t="s">
        <v>96</v>
      </c>
      <c r="AL184" s="115">
        <v>46036.902314814812</v>
      </c>
      <c r="AM184" s="108"/>
      <c r="AN184" s="108"/>
      <c r="AO184" s="116">
        <v>46115</v>
      </c>
      <c r="AP184" s="108"/>
      <c r="AQ184" s="108"/>
      <c r="AR184" s="108"/>
      <c r="AS184" s="116"/>
      <c r="AT184" s="114"/>
      <c r="AU184" s="114"/>
      <c r="AV184" s="108"/>
      <c r="AW184" s="108"/>
      <c r="AX184" s="108" t="s">
        <v>97</v>
      </c>
      <c r="AY184" s="108" t="s">
        <v>98</v>
      </c>
      <c r="AZ184" s="108"/>
      <c r="BA184" s="108"/>
      <c r="BB184" s="108"/>
      <c r="BC184" s="108"/>
      <c r="BD184" s="108"/>
      <c r="BE184" s="108"/>
      <c r="BF184" s="108"/>
      <c r="BG184" s="108"/>
      <c r="BH184" s="108"/>
      <c r="BI184" s="108"/>
      <c r="BJ184" s="108"/>
      <c r="BK184" s="108"/>
      <c r="BL184" s="108"/>
      <c r="BM184" s="117" t="s">
        <v>481</v>
      </c>
      <c r="BN184" s="108"/>
      <c r="BO184" s="108"/>
      <c r="BP184" s="108"/>
      <c r="BQ184" s="108"/>
      <c r="BR184" s="108"/>
      <c r="BS184" s="108"/>
      <c r="BT184" s="108"/>
      <c r="BU184" s="108"/>
      <c r="BV184" s="108"/>
      <c r="BW184" s="108"/>
      <c r="BX184" s="108"/>
      <c r="BY184" s="108"/>
      <c r="BZ184" s="108"/>
      <c r="CA184" s="108"/>
      <c r="CB184" s="119">
        <v>0.96499999999999997</v>
      </c>
      <c r="CC184" s="108"/>
      <c r="CD184" s="123">
        <v>46072</v>
      </c>
      <c r="CE184" s="123">
        <v>46076</v>
      </c>
      <c r="CF184" s="123">
        <v>46078</v>
      </c>
      <c r="CG184" s="108"/>
      <c r="CH184" s="120" t="s">
        <v>270</v>
      </c>
      <c r="CI184" s="123" t="s">
        <v>125</v>
      </c>
      <c r="CJ184" s="111"/>
    </row>
    <row r="185" spans="1:88" ht="57.95" hidden="1">
      <c r="A185" s="106" t="s">
        <v>457</v>
      </c>
      <c r="B185" s="107">
        <v>0</v>
      </c>
      <c r="C185" s="107">
        <v>12</v>
      </c>
      <c r="D185" s="107">
        <v>0</v>
      </c>
      <c r="E185" s="108"/>
      <c r="F185" s="108" t="s">
        <v>136</v>
      </c>
      <c r="G185" s="121"/>
      <c r="H185" s="151">
        <v>18430946</v>
      </c>
      <c r="I185" s="127">
        <f>Tracker6[[#This Row],[DCR ID - PTC]]</f>
        <v>18430946</v>
      </c>
      <c r="J185" s="107" t="s">
        <v>482</v>
      </c>
      <c r="K185" s="108" t="s">
        <v>118</v>
      </c>
      <c r="L185" s="108"/>
      <c r="M185" s="108"/>
      <c r="N185" s="277" t="s">
        <v>459</v>
      </c>
      <c r="O185" s="111" t="s">
        <v>106</v>
      </c>
      <c r="P185" s="111"/>
      <c r="Q185" s="111"/>
      <c r="R185" s="111"/>
      <c r="S185" s="111"/>
      <c r="T185" s="111"/>
      <c r="U185" s="108"/>
      <c r="V185" s="108"/>
      <c r="W185" s="108"/>
      <c r="X185" s="108"/>
      <c r="Y185" s="108"/>
      <c r="Z185" s="108"/>
      <c r="AA185" s="108" t="s">
        <v>107</v>
      </c>
      <c r="AB185" s="112"/>
      <c r="AC185" s="108"/>
      <c r="AD185" s="108" t="s">
        <v>93</v>
      </c>
      <c r="AE185" s="107"/>
      <c r="AF185" s="113"/>
      <c r="AG185" s="115"/>
      <c r="AH185" s="108" t="s">
        <v>109</v>
      </c>
      <c r="AI185" s="108" t="s">
        <v>110</v>
      </c>
      <c r="AJ185" s="114">
        <v>46112.395833333336</v>
      </c>
      <c r="AK185" s="108" t="s">
        <v>96</v>
      </c>
      <c r="AL185" s="115">
        <v>46036.90351851852</v>
      </c>
      <c r="AM185" s="116"/>
      <c r="AN185" s="116"/>
      <c r="AO185" s="116">
        <v>46112</v>
      </c>
      <c r="AP185" s="108"/>
      <c r="AQ185" s="107"/>
      <c r="AR185" s="107"/>
      <c r="AS185" s="111"/>
      <c r="AT185" s="118"/>
      <c r="AU185" s="111"/>
      <c r="AV185" s="108"/>
      <c r="AW185" s="108"/>
      <c r="AX185" s="108" t="s">
        <v>97</v>
      </c>
      <c r="AY185" s="108" t="s">
        <v>98</v>
      </c>
      <c r="AZ185" s="108"/>
      <c r="BA185" s="108"/>
      <c r="BB185" s="108"/>
      <c r="BC185" s="108"/>
      <c r="BD185" s="111"/>
      <c r="BE185" s="111"/>
      <c r="BF185" s="111"/>
      <c r="BG185" s="111"/>
      <c r="BH185" s="111"/>
      <c r="BI185" s="111"/>
      <c r="BJ185" s="111"/>
      <c r="BK185" s="111"/>
      <c r="BL185" s="111"/>
      <c r="BM185" s="117" t="s">
        <v>406</v>
      </c>
      <c r="BN185" s="111"/>
      <c r="BO185" s="117"/>
      <c r="BP185" s="117"/>
      <c r="BQ185" s="117"/>
      <c r="BR185" s="111"/>
      <c r="BS185" s="118"/>
      <c r="BT185" s="111"/>
      <c r="BU185" s="118"/>
      <c r="BV185" s="111"/>
      <c r="BW185" s="111"/>
      <c r="BX185" s="111"/>
      <c r="BY185" s="111"/>
      <c r="BZ185" s="111"/>
      <c r="CA185" s="111"/>
      <c r="CB185" s="119">
        <v>0.3</v>
      </c>
      <c r="CC185" s="117"/>
      <c r="CD185" s="123">
        <v>46087</v>
      </c>
      <c r="CE185" s="123">
        <v>46091</v>
      </c>
      <c r="CF185" s="123">
        <v>46093</v>
      </c>
      <c r="CG185" s="111"/>
      <c r="CH185" s="120" t="s">
        <v>182</v>
      </c>
      <c r="CI185" s="123" t="s">
        <v>125</v>
      </c>
      <c r="CJ185" s="111"/>
    </row>
    <row r="186" spans="1:88" ht="409.5" hidden="1">
      <c r="A186" s="106" t="s">
        <v>457</v>
      </c>
      <c r="B186" s="107">
        <f>7+7+7+7+7+7+7+7+7+7+7+7+7+7+7+7+3+3+1+4.5+3+7+4+7+6.5+7+6.5+3.25+2.5+1.5+3+0.5+1+0.5+1</f>
        <v>177.75</v>
      </c>
      <c r="C186" s="49">
        <f>13*12</f>
        <v>156</v>
      </c>
      <c r="D186" s="107">
        <f>Tracker6[[#This Row],[Estimated Hrs]]-Tracker6[[#This Row],[Actual Efforts (Hrs)]]</f>
        <v>-21.75</v>
      </c>
      <c r="E186" s="108"/>
      <c r="F186" s="108" t="s">
        <v>136</v>
      </c>
      <c r="G186" s="148"/>
      <c r="H186" s="155">
        <v>18430947</v>
      </c>
      <c r="I186" s="127">
        <f>Tracker6[[#This Row],[DCR ID - PTC]]</f>
        <v>18430947</v>
      </c>
      <c r="J186" s="107" t="s">
        <v>483</v>
      </c>
      <c r="K186" s="108" t="s">
        <v>118</v>
      </c>
      <c r="L186" s="108"/>
      <c r="M186" s="108"/>
      <c r="N186" s="110" t="s">
        <v>484</v>
      </c>
      <c r="O186" s="111" t="s">
        <v>115</v>
      </c>
      <c r="P186" s="118"/>
      <c r="Q186" s="111"/>
      <c r="R186" s="111"/>
      <c r="S186" s="111"/>
      <c r="T186" s="111"/>
      <c r="U186" s="108"/>
      <c r="V186" s="108"/>
      <c r="W186" s="108"/>
      <c r="X186" s="108"/>
      <c r="Y186" s="108"/>
      <c r="Z186" s="108"/>
      <c r="AA186" s="108" t="s">
        <v>107</v>
      </c>
      <c r="AB186" s="112"/>
      <c r="AC186" s="108"/>
      <c r="AD186" s="108" t="s">
        <v>93</v>
      </c>
      <c r="AE186" s="107"/>
      <c r="AF186" s="113"/>
      <c r="AG186" s="115"/>
      <c r="AH186" s="108" t="s">
        <v>109</v>
      </c>
      <c r="AI186" s="108" t="s">
        <v>110</v>
      </c>
      <c r="AJ186" s="114">
        <v>46112.395833333336</v>
      </c>
      <c r="AK186" s="108" t="s">
        <v>96</v>
      </c>
      <c r="AL186" s="115">
        <v>46036.903657407405</v>
      </c>
      <c r="AM186" s="116"/>
      <c r="AN186" s="116"/>
      <c r="AO186" s="116">
        <v>46115</v>
      </c>
      <c r="AP186" s="108"/>
      <c r="AQ186" s="107"/>
      <c r="AR186" s="107"/>
      <c r="AS186" s="116"/>
      <c r="AT186" s="114"/>
      <c r="AU186" s="114"/>
      <c r="AV186" s="108"/>
      <c r="AW186" s="108"/>
      <c r="AX186" s="108" t="s">
        <v>97</v>
      </c>
      <c r="AY186" s="108" t="s">
        <v>98</v>
      </c>
      <c r="AZ186" s="108"/>
      <c r="BA186" s="108"/>
      <c r="BB186" s="108"/>
      <c r="BC186" s="108"/>
      <c r="BD186" s="111"/>
      <c r="BE186" s="111"/>
      <c r="BF186" s="111"/>
      <c r="BG186" s="111"/>
      <c r="BH186" s="111"/>
      <c r="BI186" s="111"/>
      <c r="BJ186" s="111"/>
      <c r="BK186" s="111"/>
      <c r="BL186" s="111"/>
      <c r="BM186" s="117" t="s">
        <v>406</v>
      </c>
      <c r="BN186" s="111"/>
      <c r="BO186" s="111"/>
      <c r="BP186" s="111"/>
      <c r="BQ186" s="111"/>
      <c r="BR186" s="111"/>
      <c r="BS186" s="111"/>
      <c r="BT186" s="111"/>
      <c r="BU186" s="111"/>
      <c r="BV186" s="111"/>
      <c r="BW186" s="111"/>
      <c r="BX186" s="111"/>
      <c r="BY186" s="111"/>
      <c r="BZ186" s="111"/>
      <c r="CA186" s="111"/>
      <c r="CB186" s="119">
        <v>0.96499999999999997</v>
      </c>
      <c r="CC186" s="117"/>
      <c r="CD186" s="120">
        <v>46087</v>
      </c>
      <c r="CE186" s="120">
        <v>46091</v>
      </c>
      <c r="CF186" s="120">
        <v>46093</v>
      </c>
      <c r="CG186" s="111"/>
      <c r="CH186" s="120" t="s">
        <v>182</v>
      </c>
      <c r="CI186" s="120" t="s">
        <v>125</v>
      </c>
      <c r="CJ186" s="111"/>
    </row>
    <row r="187" spans="1:88" ht="304.5" hidden="1">
      <c r="A187" s="267" t="s">
        <v>457</v>
      </c>
      <c r="B187" s="107">
        <f>3+5.5+6+2+2+0.5+4+1</f>
        <v>24</v>
      </c>
      <c r="C187" s="49">
        <v>30</v>
      </c>
      <c r="D187" s="107">
        <f>Tracker6[[#This Row],[Estimated Hrs]]-Tracker6[[#This Row],[Actual Efforts (Hrs)]]</f>
        <v>6</v>
      </c>
      <c r="E187" s="108"/>
      <c r="F187" s="108"/>
      <c r="G187" s="121"/>
      <c r="H187" s="275">
        <v>18490944</v>
      </c>
      <c r="I187" s="275">
        <v>18490944</v>
      </c>
      <c r="J187" s="107" t="s">
        <v>485</v>
      </c>
      <c r="K187" s="108" t="s">
        <v>118</v>
      </c>
      <c r="L187" s="108"/>
      <c r="M187" s="108"/>
      <c r="N187" s="110" t="s">
        <v>486</v>
      </c>
      <c r="O187" s="111" t="s">
        <v>14</v>
      </c>
      <c r="P187" s="111"/>
      <c r="Q187" s="111"/>
      <c r="R187" s="111"/>
      <c r="S187" s="111"/>
      <c r="T187" s="111"/>
      <c r="U187" s="108"/>
      <c r="V187" s="108"/>
      <c r="W187" s="108"/>
      <c r="X187" s="108"/>
      <c r="Y187" s="108"/>
      <c r="Z187" s="108"/>
      <c r="AA187" s="108"/>
      <c r="AB187" s="112"/>
      <c r="AC187" s="108"/>
      <c r="AD187" s="108"/>
      <c r="AE187" s="107"/>
      <c r="AF187" s="113"/>
      <c r="AG187" s="115"/>
      <c r="AH187" s="108"/>
      <c r="AI187" s="108"/>
      <c r="AJ187" s="114"/>
      <c r="AK187" s="108"/>
      <c r="AL187" s="115"/>
      <c r="AM187" s="116"/>
      <c r="AN187" s="116"/>
      <c r="AO187" s="338" t="s">
        <v>487</v>
      </c>
      <c r="AP187" s="108"/>
      <c r="AQ187" s="107"/>
      <c r="AR187" s="107"/>
      <c r="AS187" s="116"/>
      <c r="AT187" s="114"/>
      <c r="AU187" s="114"/>
      <c r="AV187" s="108"/>
      <c r="AW187" s="108"/>
      <c r="AX187" s="108" t="s">
        <v>97</v>
      </c>
      <c r="AY187" s="108" t="s">
        <v>98</v>
      </c>
      <c r="AZ187" s="108"/>
      <c r="BA187" s="108"/>
      <c r="BB187" s="108"/>
      <c r="BC187" s="108"/>
      <c r="BD187" s="111"/>
      <c r="BE187" s="111"/>
      <c r="BF187" s="111"/>
      <c r="BG187" s="111"/>
      <c r="BH187" s="111"/>
      <c r="BI187" s="111"/>
      <c r="BJ187" s="111"/>
      <c r="BK187" s="111"/>
      <c r="BL187" s="111"/>
      <c r="BM187" s="117" t="s">
        <v>488</v>
      </c>
      <c r="BN187" s="111"/>
      <c r="BO187" s="117"/>
      <c r="BP187" s="117"/>
      <c r="BQ187" s="117"/>
      <c r="BR187" s="111"/>
      <c r="BS187" s="118"/>
      <c r="BT187" s="111"/>
      <c r="BU187" s="118"/>
      <c r="BV187" s="111"/>
      <c r="BW187" s="111"/>
      <c r="BX187" s="111"/>
      <c r="BY187" s="111"/>
      <c r="BZ187" s="111"/>
      <c r="CA187" s="111"/>
      <c r="CB187" s="119">
        <v>0.25</v>
      </c>
      <c r="CC187" s="117"/>
      <c r="CD187" s="120">
        <v>46127</v>
      </c>
      <c r="CE187" s="120">
        <v>46129</v>
      </c>
      <c r="CF187" s="120">
        <v>46133</v>
      </c>
      <c r="CG187" s="111"/>
      <c r="CH187" s="120" t="s">
        <v>313</v>
      </c>
      <c r="CI187" s="120" t="s">
        <v>125</v>
      </c>
      <c r="CJ187" s="111"/>
    </row>
    <row r="188" spans="1:88" ht="130.5" hidden="1">
      <c r="A188" s="283" t="s">
        <v>457</v>
      </c>
      <c r="B188" s="107">
        <f>3.5+3.5+2</f>
        <v>9</v>
      </c>
      <c r="C188" s="107">
        <v>70</v>
      </c>
      <c r="D188" s="107">
        <f>Tracker6[[#This Row],[Estimated Hrs]]-Tracker6[[#This Row],[Actual Efforts (Hrs)]]</f>
        <v>61</v>
      </c>
      <c r="E188" s="108"/>
      <c r="F188" s="108"/>
      <c r="G188" s="121"/>
      <c r="H188" s="109">
        <v>18387954</v>
      </c>
      <c r="I188" s="127">
        <v>18387954</v>
      </c>
      <c r="J188" s="107" t="s">
        <v>489</v>
      </c>
      <c r="K188" s="108" t="s">
        <v>118</v>
      </c>
      <c r="L188" s="108"/>
      <c r="M188" s="108"/>
      <c r="N188" s="108" t="s">
        <v>490</v>
      </c>
      <c r="O188" s="111" t="s">
        <v>115</v>
      </c>
      <c r="P188" s="111"/>
      <c r="Q188" s="111"/>
      <c r="R188" s="111"/>
      <c r="S188" s="111"/>
      <c r="T188" s="111"/>
      <c r="U188" s="108"/>
      <c r="V188" s="108"/>
      <c r="W188" s="108"/>
      <c r="X188" s="108"/>
      <c r="Y188" s="108"/>
      <c r="Z188" s="108"/>
      <c r="AA188" s="108"/>
      <c r="AB188" s="112"/>
      <c r="AC188" s="108"/>
      <c r="AD188" s="108"/>
      <c r="AE188" s="107"/>
      <c r="AF188" s="113"/>
      <c r="AG188" s="115"/>
      <c r="AH188" s="108"/>
      <c r="AI188" s="108"/>
      <c r="AJ188" s="114"/>
      <c r="AK188" s="108"/>
      <c r="AL188" s="115"/>
      <c r="AM188" s="116"/>
      <c r="AN188" s="116"/>
      <c r="AO188" s="338" t="s">
        <v>491</v>
      </c>
      <c r="AP188" s="108"/>
      <c r="AQ188" s="107"/>
      <c r="AR188" s="107"/>
      <c r="AS188" s="116"/>
      <c r="AT188" s="114"/>
      <c r="AU188" s="114"/>
      <c r="AV188" s="108"/>
      <c r="AW188" s="108"/>
      <c r="AX188" s="108" t="s">
        <v>97</v>
      </c>
      <c r="AY188" s="108" t="s">
        <v>98</v>
      </c>
      <c r="AZ188" s="108"/>
      <c r="BA188" s="108"/>
      <c r="BB188" s="108"/>
      <c r="BC188" s="108"/>
      <c r="BD188" s="111"/>
      <c r="BE188" s="111"/>
      <c r="BF188" s="111"/>
      <c r="BG188" s="111"/>
      <c r="BH188" s="111"/>
      <c r="BI188" s="111"/>
      <c r="BJ188" s="111"/>
      <c r="BK188" s="111"/>
      <c r="BL188" s="111"/>
      <c r="BM188" s="117" t="s">
        <v>492</v>
      </c>
      <c r="BN188" s="111"/>
      <c r="BO188" s="117"/>
      <c r="BP188" s="117"/>
      <c r="BQ188" s="117"/>
      <c r="BR188" s="111"/>
      <c r="BS188" s="118"/>
      <c r="BT188" s="111"/>
      <c r="BU188" s="118"/>
      <c r="BV188" s="111"/>
      <c r="BW188" s="111"/>
      <c r="BX188" s="111"/>
      <c r="BY188" s="111"/>
      <c r="BZ188" s="111"/>
      <c r="CA188" s="111"/>
      <c r="CB188" s="119">
        <v>0.05</v>
      </c>
      <c r="CC188" s="117"/>
      <c r="CD188" s="123">
        <v>46120</v>
      </c>
      <c r="CE188" s="123">
        <v>46122</v>
      </c>
      <c r="CF188" s="123">
        <v>46126</v>
      </c>
      <c r="CG188" s="111"/>
      <c r="CH188" s="120" t="s">
        <v>265</v>
      </c>
      <c r="CI188" s="123" t="s">
        <v>125</v>
      </c>
      <c r="CJ188" s="111"/>
    </row>
    <row r="189" spans="1:88" ht="174" hidden="1">
      <c r="A189" s="267" t="s">
        <v>457</v>
      </c>
      <c r="B189" s="107">
        <f>2+1+1+0.5+7+3+3+0.5+1</f>
        <v>19</v>
      </c>
      <c r="C189" s="49">
        <v>37</v>
      </c>
      <c r="D189" s="107">
        <f>Tracker6[[#This Row],[Estimated Hrs]]-Tracker6[[#This Row],[Actual Efforts (Hrs)]]</f>
        <v>18</v>
      </c>
      <c r="E189" s="108"/>
      <c r="F189" s="108"/>
      <c r="G189" s="121"/>
      <c r="H189" s="109">
        <v>18387946</v>
      </c>
      <c r="I189" s="127">
        <v>18387946</v>
      </c>
      <c r="J189" s="107" t="s">
        <v>493</v>
      </c>
      <c r="K189" s="108" t="s">
        <v>118</v>
      </c>
      <c r="L189" s="108"/>
      <c r="M189" s="108"/>
      <c r="N189" s="108" t="s">
        <v>494</v>
      </c>
      <c r="O189" s="111" t="s">
        <v>14</v>
      </c>
      <c r="P189" s="111"/>
      <c r="Q189" s="111"/>
      <c r="R189" s="111"/>
      <c r="S189" s="111"/>
      <c r="T189" s="111"/>
      <c r="U189" s="108"/>
      <c r="V189" s="108"/>
      <c r="W189" s="108"/>
      <c r="X189" s="108"/>
      <c r="Y189" s="108"/>
      <c r="Z189" s="108"/>
      <c r="AA189" s="108"/>
      <c r="AB189" s="112"/>
      <c r="AC189" s="108"/>
      <c r="AD189" s="108"/>
      <c r="AE189" s="107"/>
      <c r="AF189" s="113"/>
      <c r="AG189" s="115"/>
      <c r="AH189" s="108"/>
      <c r="AI189" s="108"/>
      <c r="AJ189" s="114"/>
      <c r="AK189" s="108"/>
      <c r="AL189" s="115"/>
      <c r="AM189" s="116"/>
      <c r="AN189" s="116"/>
      <c r="AO189" s="338" t="s">
        <v>487</v>
      </c>
      <c r="AP189" s="108"/>
      <c r="AQ189" s="107"/>
      <c r="AR189" s="107"/>
      <c r="AS189" s="116"/>
      <c r="AT189" s="114"/>
      <c r="AU189" s="114"/>
      <c r="AV189" s="108"/>
      <c r="AW189" s="108"/>
      <c r="AX189" s="108" t="s">
        <v>97</v>
      </c>
      <c r="AY189" s="108" t="s">
        <v>98</v>
      </c>
      <c r="AZ189" s="108"/>
      <c r="BA189" s="108"/>
      <c r="BB189" s="108"/>
      <c r="BC189" s="108"/>
      <c r="BD189" s="111"/>
      <c r="BE189" s="111"/>
      <c r="BF189" s="111"/>
      <c r="BG189" s="111"/>
      <c r="BH189" s="111"/>
      <c r="BI189" s="111"/>
      <c r="BJ189" s="111"/>
      <c r="BK189" s="111"/>
      <c r="BL189" s="111"/>
      <c r="BM189" s="117" t="s">
        <v>492</v>
      </c>
      <c r="BN189" s="111"/>
      <c r="BO189" s="117"/>
      <c r="BP189" s="117"/>
      <c r="BQ189" s="117"/>
      <c r="BR189" s="111"/>
      <c r="BS189" s="118"/>
      <c r="BT189" s="111"/>
      <c r="BU189" s="118"/>
      <c r="BV189" s="111"/>
      <c r="BW189" s="111"/>
      <c r="BX189" s="111"/>
      <c r="BY189" s="111"/>
      <c r="BZ189" s="111"/>
      <c r="CA189" s="111"/>
      <c r="CB189" s="119">
        <v>0.78</v>
      </c>
      <c r="CC189" s="117"/>
      <c r="CD189" s="120">
        <v>46120</v>
      </c>
      <c r="CE189" s="120">
        <v>46122</v>
      </c>
      <c r="CF189" s="120">
        <v>46126</v>
      </c>
      <c r="CG189" s="111"/>
      <c r="CH189" s="120" t="s">
        <v>265</v>
      </c>
      <c r="CI189" s="120" t="s">
        <v>125</v>
      </c>
      <c r="CJ189" s="111"/>
    </row>
    <row r="190" spans="1:88" ht="57.95" hidden="1">
      <c r="A190" s="267" t="s">
        <v>457</v>
      </c>
      <c r="B190" s="107"/>
      <c r="C190" s="49">
        <v>0</v>
      </c>
      <c r="D190" s="107">
        <f>Tracker6[[#This Row],[Estimated Hrs]]-Tracker6[[#This Row],[Actual Efforts (Hrs)]]</f>
        <v>0</v>
      </c>
      <c r="E190" s="108"/>
      <c r="F190" s="108"/>
      <c r="G190" s="121"/>
      <c r="H190" s="109">
        <v>17625030</v>
      </c>
      <c r="I190" s="127">
        <v>17625030</v>
      </c>
      <c r="J190" s="107" t="s">
        <v>495</v>
      </c>
      <c r="K190" s="108" t="s">
        <v>118</v>
      </c>
      <c r="L190" s="108"/>
      <c r="M190" s="108"/>
      <c r="N190" s="108"/>
      <c r="O190" s="111" t="s">
        <v>122</v>
      </c>
      <c r="P190" s="111"/>
      <c r="Q190" s="111"/>
      <c r="R190" s="111"/>
      <c r="S190" s="111"/>
      <c r="T190" s="111"/>
      <c r="U190" s="108"/>
      <c r="V190" s="108"/>
      <c r="W190" s="108"/>
      <c r="X190" s="108"/>
      <c r="Y190" s="108"/>
      <c r="Z190" s="108"/>
      <c r="AA190" s="108"/>
      <c r="AB190" s="112"/>
      <c r="AC190" s="108"/>
      <c r="AD190" s="108"/>
      <c r="AE190" s="107"/>
      <c r="AF190" s="113"/>
      <c r="AG190" s="115"/>
      <c r="AH190" s="108"/>
      <c r="AI190" s="108"/>
      <c r="AJ190" s="114"/>
      <c r="AK190" s="108"/>
      <c r="AL190" s="115"/>
      <c r="AM190" s="116"/>
      <c r="AN190" s="116"/>
      <c r="AO190" s="338" t="s">
        <v>496</v>
      </c>
      <c r="AP190" s="108"/>
      <c r="AQ190" s="107"/>
      <c r="AR190" s="107"/>
      <c r="AS190" s="116"/>
      <c r="AT190" s="114"/>
      <c r="AU190" s="114"/>
      <c r="AV190" s="108"/>
      <c r="AW190" s="108"/>
      <c r="AX190" s="108" t="s">
        <v>97</v>
      </c>
      <c r="AY190" s="108" t="s">
        <v>98</v>
      </c>
      <c r="AZ190" s="108"/>
      <c r="BA190" s="108"/>
      <c r="BB190" s="108"/>
      <c r="BC190" s="108"/>
      <c r="BD190" s="111"/>
      <c r="BE190" s="111"/>
      <c r="BF190" s="111"/>
      <c r="BG190" s="111"/>
      <c r="BH190" s="111"/>
      <c r="BI190" s="111"/>
      <c r="BJ190" s="111"/>
      <c r="BK190" s="111"/>
      <c r="BL190" s="111"/>
      <c r="BM190" s="117" t="s">
        <v>488</v>
      </c>
      <c r="BN190" s="111"/>
      <c r="BO190" s="117"/>
      <c r="BP190" s="117"/>
      <c r="BQ190" s="117"/>
      <c r="BR190" s="111"/>
      <c r="BS190" s="118"/>
      <c r="BT190" s="111"/>
      <c r="BU190" s="118"/>
      <c r="BV190" s="111"/>
      <c r="BW190" s="111"/>
      <c r="BX190" s="111"/>
      <c r="BY190" s="111"/>
      <c r="BZ190" s="111"/>
      <c r="CA190" s="111"/>
      <c r="CB190" s="119">
        <v>0</v>
      </c>
      <c r="CC190" s="117"/>
      <c r="CD190" s="120">
        <v>46127</v>
      </c>
      <c r="CE190" s="120">
        <v>46129</v>
      </c>
      <c r="CF190" s="120">
        <v>46133</v>
      </c>
      <c r="CG190" s="111"/>
      <c r="CH190" s="120" t="s">
        <v>313</v>
      </c>
      <c r="CI190" s="120" t="s">
        <v>125</v>
      </c>
      <c r="CJ190" s="111"/>
    </row>
    <row r="191" spans="1:88" ht="130.5" hidden="1">
      <c r="A191" s="267" t="s">
        <v>457</v>
      </c>
      <c r="B191" s="107"/>
      <c r="C191" s="107">
        <v>40</v>
      </c>
      <c r="D191" s="107">
        <f>Tracker6[[#This Row],[Estimated Hrs]]-Tracker6[[#This Row],[Actual Efforts (Hrs)]]</f>
        <v>40</v>
      </c>
      <c r="E191" s="108"/>
      <c r="F191" s="108"/>
      <c r="G191" s="121"/>
      <c r="H191" s="109">
        <v>17625020</v>
      </c>
      <c r="I191" s="109">
        <v>17625020</v>
      </c>
      <c r="J191" s="107" t="s">
        <v>497</v>
      </c>
      <c r="K191" s="108" t="s">
        <v>118</v>
      </c>
      <c r="L191" s="108"/>
      <c r="M191" s="108"/>
      <c r="N191" s="108"/>
      <c r="O191" s="111" t="s">
        <v>122</v>
      </c>
      <c r="P191" s="111"/>
      <c r="Q191" s="111"/>
      <c r="R191" s="111"/>
      <c r="S191" s="111"/>
      <c r="T191" s="111"/>
      <c r="U191" s="108"/>
      <c r="V191" s="108"/>
      <c r="W191" s="108"/>
      <c r="X191" s="108"/>
      <c r="Y191" s="108"/>
      <c r="Z191" s="108"/>
      <c r="AA191" s="108"/>
      <c r="AB191" s="112"/>
      <c r="AC191" s="108"/>
      <c r="AD191" s="108"/>
      <c r="AE191" s="107"/>
      <c r="AF191" s="113"/>
      <c r="AG191" s="115"/>
      <c r="AH191" s="108"/>
      <c r="AI191" s="108"/>
      <c r="AJ191" s="114"/>
      <c r="AK191" s="108"/>
      <c r="AL191" s="115"/>
      <c r="AM191" s="116"/>
      <c r="AN191" s="116"/>
      <c r="AO191" s="338" t="s">
        <v>496</v>
      </c>
      <c r="AP191" s="108"/>
      <c r="AQ191" s="107"/>
      <c r="AR191" s="107"/>
      <c r="AS191" s="116"/>
      <c r="AT191" s="114"/>
      <c r="AU191" s="114"/>
      <c r="AV191" s="108"/>
      <c r="AW191" s="108"/>
      <c r="AX191" s="108" t="s">
        <v>97</v>
      </c>
      <c r="AY191" s="108" t="s">
        <v>98</v>
      </c>
      <c r="AZ191" s="108"/>
      <c r="BA191" s="108"/>
      <c r="BB191" s="108"/>
      <c r="BC191" s="108"/>
      <c r="BD191" s="111"/>
      <c r="BE191" s="111"/>
      <c r="BF191" s="111"/>
      <c r="BG191" s="111"/>
      <c r="BH191" s="111"/>
      <c r="BI191" s="111"/>
      <c r="BJ191" s="111"/>
      <c r="BK191" s="111"/>
      <c r="BL191" s="111"/>
      <c r="BM191" s="117" t="s">
        <v>488</v>
      </c>
      <c r="BN191" s="111"/>
      <c r="BO191" s="117"/>
      <c r="BP191" s="117"/>
      <c r="BQ191" s="117"/>
      <c r="BR191" s="111"/>
      <c r="BS191" s="118"/>
      <c r="BT191" s="111"/>
      <c r="BU191" s="118"/>
      <c r="BV191" s="111"/>
      <c r="BW191" s="111"/>
      <c r="BX191" s="111"/>
      <c r="BY191" s="111"/>
      <c r="BZ191" s="111"/>
      <c r="CA191" s="111"/>
      <c r="CB191" s="119">
        <v>0</v>
      </c>
      <c r="CC191" s="117"/>
      <c r="CD191" s="123">
        <v>46127</v>
      </c>
      <c r="CE191" s="123">
        <v>46129</v>
      </c>
      <c r="CF191" s="123">
        <v>46133</v>
      </c>
      <c r="CG191" s="111"/>
      <c r="CH191" s="120" t="s">
        <v>313</v>
      </c>
      <c r="CI191" s="123" t="s">
        <v>125</v>
      </c>
      <c r="CJ191" s="111"/>
    </row>
    <row r="192" spans="1:88" ht="57.95" hidden="1">
      <c r="A192" s="267" t="s">
        <v>457</v>
      </c>
      <c r="B192" s="107"/>
      <c r="C192" s="49">
        <v>42</v>
      </c>
      <c r="D192" s="107">
        <f>Tracker6[[#This Row],[Estimated Hrs]]-Tracker6[[#This Row],[Actual Efforts (Hrs)]]</f>
        <v>42</v>
      </c>
      <c r="E192" s="108"/>
      <c r="F192" s="108"/>
      <c r="G192" s="121"/>
      <c r="H192" s="109">
        <v>17624994</v>
      </c>
      <c r="I192" s="109">
        <v>17624994</v>
      </c>
      <c r="J192" s="107" t="s">
        <v>498</v>
      </c>
      <c r="K192" s="108" t="s">
        <v>118</v>
      </c>
      <c r="L192" s="108"/>
      <c r="M192" s="108"/>
      <c r="N192" s="108"/>
      <c r="O192" s="111" t="s">
        <v>122</v>
      </c>
      <c r="P192" s="111"/>
      <c r="Q192" s="111"/>
      <c r="R192" s="111"/>
      <c r="S192" s="111"/>
      <c r="T192" s="111"/>
      <c r="U192" s="108"/>
      <c r="V192" s="108"/>
      <c r="W192" s="108"/>
      <c r="X192" s="108"/>
      <c r="Y192" s="108"/>
      <c r="Z192" s="108"/>
      <c r="AA192" s="108"/>
      <c r="AB192" s="112"/>
      <c r="AC192" s="108"/>
      <c r="AD192" s="108"/>
      <c r="AE192" s="107"/>
      <c r="AF192" s="113"/>
      <c r="AG192" s="115"/>
      <c r="AH192" s="108"/>
      <c r="AI192" s="108"/>
      <c r="AJ192" s="114"/>
      <c r="AK192" s="108"/>
      <c r="AL192" s="115"/>
      <c r="AM192" s="116"/>
      <c r="AN192" s="116"/>
      <c r="AO192" s="338" t="s">
        <v>499</v>
      </c>
      <c r="AP192" s="108"/>
      <c r="AQ192" s="107"/>
      <c r="AR192" s="107"/>
      <c r="AS192" s="116"/>
      <c r="AT192" s="114"/>
      <c r="AU192" s="114"/>
      <c r="AV192" s="108"/>
      <c r="AW192" s="108"/>
      <c r="AX192" s="108" t="s">
        <v>97</v>
      </c>
      <c r="AY192" s="108" t="s">
        <v>98</v>
      </c>
      <c r="AZ192" s="108"/>
      <c r="BA192" s="108"/>
      <c r="BB192" s="108"/>
      <c r="BC192" s="108"/>
      <c r="BD192" s="111"/>
      <c r="BE192" s="111"/>
      <c r="BF192" s="111"/>
      <c r="BG192" s="111"/>
      <c r="BH192" s="111"/>
      <c r="BI192" s="111"/>
      <c r="BJ192" s="111"/>
      <c r="BK192" s="111"/>
      <c r="BL192" s="111"/>
      <c r="BM192" s="117" t="s">
        <v>500</v>
      </c>
      <c r="BN192" s="111"/>
      <c r="BO192" s="117"/>
      <c r="BP192" s="117"/>
      <c r="BQ192" s="117"/>
      <c r="BR192" s="111"/>
      <c r="BS192" s="118"/>
      <c r="BT192" s="111"/>
      <c r="BU192" s="118"/>
      <c r="BV192" s="111"/>
      <c r="BW192" s="111"/>
      <c r="BX192" s="111"/>
      <c r="BY192" s="111"/>
      <c r="BZ192" s="111"/>
      <c r="CA192" s="111"/>
      <c r="CB192" s="119">
        <v>0</v>
      </c>
      <c r="CC192" s="117"/>
      <c r="CD192" s="120">
        <v>46101</v>
      </c>
      <c r="CE192" s="120">
        <v>46105</v>
      </c>
      <c r="CF192" s="120">
        <v>46108</v>
      </c>
      <c r="CG192" s="111"/>
      <c r="CH192" s="120" t="s">
        <v>182</v>
      </c>
      <c r="CI192" s="120" t="s">
        <v>125</v>
      </c>
      <c r="CJ192" s="111"/>
    </row>
    <row r="193" spans="1:88" ht="130.5" hidden="1">
      <c r="A193" s="267" t="s">
        <v>457</v>
      </c>
      <c r="B193" s="107">
        <f>5</f>
        <v>5</v>
      </c>
      <c r="C193" s="49">
        <v>42</v>
      </c>
      <c r="D193" s="107">
        <f>Tracker6[[#This Row],[Estimated Hrs]]-Tracker6[[#This Row],[Actual Efforts (Hrs)]]</f>
        <v>37</v>
      </c>
      <c r="E193" s="108"/>
      <c r="F193" s="108"/>
      <c r="G193" s="121"/>
      <c r="H193" s="109">
        <v>17624993</v>
      </c>
      <c r="I193" s="127">
        <v>17624993</v>
      </c>
      <c r="J193" s="107" t="s">
        <v>501</v>
      </c>
      <c r="K193" s="108" t="s">
        <v>118</v>
      </c>
      <c r="L193" s="108"/>
      <c r="M193" s="108"/>
      <c r="N193" s="108" t="s">
        <v>502</v>
      </c>
      <c r="O193" s="111" t="s">
        <v>115</v>
      </c>
      <c r="P193" s="111"/>
      <c r="Q193" s="111"/>
      <c r="R193" s="111"/>
      <c r="S193" s="111"/>
      <c r="T193" s="111"/>
      <c r="U193" s="108"/>
      <c r="V193" s="108"/>
      <c r="W193" s="108"/>
      <c r="X193" s="108"/>
      <c r="Y193" s="108"/>
      <c r="Z193" s="108"/>
      <c r="AA193" s="108"/>
      <c r="AB193" s="112"/>
      <c r="AC193" s="108"/>
      <c r="AD193" s="108"/>
      <c r="AE193" s="107"/>
      <c r="AF193" s="113"/>
      <c r="AG193" s="115"/>
      <c r="AH193" s="108"/>
      <c r="AI193" s="108"/>
      <c r="AJ193" s="114"/>
      <c r="AK193" s="108"/>
      <c r="AL193" s="115"/>
      <c r="AM193" s="116"/>
      <c r="AN193" s="116"/>
      <c r="AO193" s="338" t="s">
        <v>503</v>
      </c>
      <c r="AP193" s="108"/>
      <c r="AQ193" s="107"/>
      <c r="AR193" s="107"/>
      <c r="AS193" s="116"/>
      <c r="AT193" s="114"/>
      <c r="AU193" s="114"/>
      <c r="AV193" s="108"/>
      <c r="AW193" s="108"/>
      <c r="AX193" s="108" t="s">
        <v>97</v>
      </c>
      <c r="AY193" s="108" t="s">
        <v>98</v>
      </c>
      <c r="AZ193" s="108"/>
      <c r="BA193" s="108"/>
      <c r="BB193" s="108"/>
      <c r="BC193" s="108"/>
      <c r="BD193" s="111"/>
      <c r="BE193" s="111"/>
      <c r="BF193" s="111"/>
      <c r="BG193" s="111"/>
      <c r="BH193" s="111"/>
      <c r="BI193" s="111"/>
      <c r="BJ193" s="111"/>
      <c r="BK193" s="111"/>
      <c r="BL193" s="111"/>
      <c r="BM193" s="117" t="s">
        <v>500</v>
      </c>
      <c r="BN193" s="111"/>
      <c r="BO193" s="117"/>
      <c r="BP193" s="117"/>
      <c r="BQ193" s="117"/>
      <c r="BR193" s="111"/>
      <c r="BS193" s="118"/>
      <c r="BT193" s="111"/>
      <c r="BU193" s="118"/>
      <c r="BV193" s="111"/>
      <c r="BW193" s="111"/>
      <c r="BX193" s="111"/>
      <c r="BY193" s="111"/>
      <c r="BZ193" s="111"/>
      <c r="CA193" s="111"/>
      <c r="CB193" s="119">
        <v>0</v>
      </c>
      <c r="CC193" s="117"/>
      <c r="CD193" s="120">
        <v>46101</v>
      </c>
      <c r="CE193" s="120">
        <v>46105</v>
      </c>
      <c r="CF193" s="120">
        <v>46108</v>
      </c>
      <c r="CG193" s="111"/>
      <c r="CH193" s="120" t="s">
        <v>182</v>
      </c>
      <c r="CI193" s="120" t="s">
        <v>125</v>
      </c>
      <c r="CJ193" s="111"/>
    </row>
    <row r="194" spans="1:88" ht="290.10000000000002" hidden="1">
      <c r="A194" s="283" t="s">
        <v>457</v>
      </c>
      <c r="B194" s="49">
        <f>3+3+6+5.5+4.5+1+2+3</f>
        <v>28</v>
      </c>
      <c r="C194" s="49">
        <v>21</v>
      </c>
      <c r="D194" s="49">
        <f>Tracker6[[#This Row],[Estimated Hrs]]-Tracker6[[#This Row],[Actual Efforts (Hrs)]]</f>
        <v>-7</v>
      </c>
      <c r="E194" s="134"/>
      <c r="F194" s="134"/>
      <c r="G194" s="150"/>
      <c r="H194" s="135">
        <v>17624991</v>
      </c>
      <c r="I194" s="149">
        <v>17624991</v>
      </c>
      <c r="J194" s="49" t="s">
        <v>504</v>
      </c>
      <c r="K194" s="134" t="s">
        <v>118</v>
      </c>
      <c r="L194" s="134"/>
      <c r="M194" s="134"/>
      <c r="N194" s="134" t="s">
        <v>505</v>
      </c>
      <c r="O194" s="123" t="s">
        <v>14</v>
      </c>
      <c r="P194" s="123"/>
      <c r="Q194" s="123"/>
      <c r="R194" s="123"/>
      <c r="S194" s="123"/>
      <c r="T194" s="123"/>
      <c r="U194" s="134"/>
      <c r="V194" s="134"/>
      <c r="W194" s="134"/>
      <c r="X194" s="134"/>
      <c r="Y194" s="134"/>
      <c r="Z194" s="134"/>
      <c r="AA194" s="134"/>
      <c r="AC194" s="134"/>
      <c r="AD194" s="134"/>
      <c r="AE194" s="49"/>
      <c r="AF194" s="136"/>
      <c r="AG194" s="137"/>
      <c r="AH194" s="134"/>
      <c r="AI194" s="134"/>
      <c r="AJ194" s="138"/>
      <c r="AK194" s="134"/>
      <c r="AL194" s="137"/>
      <c r="AM194" s="139"/>
      <c r="AN194" s="139"/>
      <c r="AO194" s="338" t="s">
        <v>506</v>
      </c>
      <c r="AP194" s="134"/>
      <c r="AQ194" s="49"/>
      <c r="AR194" s="49"/>
      <c r="AS194" s="139"/>
      <c r="AT194" s="138"/>
      <c r="AU194" s="138"/>
      <c r="AV194" s="134"/>
      <c r="AW194" s="134"/>
      <c r="AX194" s="108" t="s">
        <v>97</v>
      </c>
      <c r="AY194" s="108" t="s">
        <v>98</v>
      </c>
      <c r="AZ194" s="134"/>
      <c r="BA194" s="134"/>
      <c r="BB194" s="134"/>
      <c r="BC194" s="134"/>
      <c r="BD194" s="123"/>
      <c r="BE194" s="123"/>
      <c r="BF194" s="123"/>
      <c r="BG194" s="123"/>
      <c r="BH194" s="123"/>
      <c r="BI194" s="123"/>
      <c r="BJ194" s="123"/>
      <c r="BK194" s="123"/>
      <c r="BL194" s="123"/>
      <c r="BM194" s="117" t="s">
        <v>500</v>
      </c>
      <c r="BN194" s="123"/>
      <c r="BO194" s="140"/>
      <c r="BP194" s="140"/>
      <c r="BQ194" s="140"/>
      <c r="BR194" s="123"/>
      <c r="BS194" s="141"/>
      <c r="BT194" s="123"/>
      <c r="BU194" s="141"/>
      <c r="BV194" s="123"/>
      <c r="BW194" s="123"/>
      <c r="BX194" s="123"/>
      <c r="BY194" s="123"/>
      <c r="BZ194" s="123"/>
      <c r="CA194" s="123"/>
      <c r="CB194" s="143">
        <v>0.78</v>
      </c>
      <c r="CC194" s="140"/>
      <c r="CD194" s="120">
        <v>46101</v>
      </c>
      <c r="CE194" s="120">
        <v>46105</v>
      </c>
      <c r="CF194" s="120">
        <v>46108</v>
      </c>
      <c r="CG194" s="123"/>
      <c r="CH194" s="120" t="s">
        <v>182</v>
      </c>
      <c r="CI194" s="120" t="s">
        <v>125</v>
      </c>
      <c r="CJ194" s="123"/>
    </row>
    <row r="195" spans="1:88" ht="409.5" hidden="1">
      <c r="A195" s="147" t="s">
        <v>507</v>
      </c>
      <c r="B195" s="49">
        <f>(2+5+7)+(7+6.5+7.5+7.5+8+6+6+6+2+3+0.5)+(5+7+2+7+6+6+7+6+6)</f>
        <v>126</v>
      </c>
      <c r="C195" s="107">
        <v>110</v>
      </c>
      <c r="D195" s="107">
        <f>Tracker6[[#This Row],[Estimated Hrs]]-Tracker6[[#This Row],[Actual Efforts (Hrs)]]</f>
        <v>-16</v>
      </c>
      <c r="E195" s="134"/>
      <c r="F195" s="312" t="s">
        <v>148</v>
      </c>
      <c r="G195" s="150" t="s">
        <v>148</v>
      </c>
      <c r="H195" s="271">
        <v>18398285</v>
      </c>
      <c r="I195" s="271">
        <v>18398285</v>
      </c>
      <c r="J195" s="134" t="s">
        <v>508</v>
      </c>
      <c r="K195" s="134" t="s">
        <v>118</v>
      </c>
      <c r="L195" s="134"/>
      <c r="M195" s="134"/>
      <c r="N195" s="280" t="s">
        <v>509</v>
      </c>
      <c r="O195" s="123" t="s">
        <v>106</v>
      </c>
      <c r="P195" s="123"/>
      <c r="Q195" s="123"/>
      <c r="R195" s="123"/>
      <c r="S195" s="123"/>
      <c r="T195" s="123"/>
      <c r="U195" s="134"/>
      <c r="V195" s="134"/>
      <c r="W195" s="134"/>
      <c r="X195" s="134"/>
      <c r="Y195" s="134"/>
      <c r="Z195" s="134"/>
      <c r="AA195" s="134" t="s">
        <v>107</v>
      </c>
      <c r="AC195" s="134"/>
      <c r="AD195" s="134" t="s">
        <v>93</v>
      </c>
      <c r="AE195" s="49"/>
      <c r="AF195" s="136"/>
      <c r="AG195" s="137">
        <v>46057.863182870373</v>
      </c>
      <c r="AH195" s="134" t="s">
        <v>100</v>
      </c>
      <c r="AI195" s="134" t="s">
        <v>95</v>
      </c>
      <c r="AJ195" s="138">
        <v>46046.699513888889</v>
      </c>
      <c r="AK195" s="134" t="s">
        <v>96</v>
      </c>
      <c r="AL195" s="137">
        <v>46035.705636574072</v>
      </c>
      <c r="AM195" s="139"/>
      <c r="AN195" s="139"/>
      <c r="AO195" s="116">
        <v>46073</v>
      </c>
      <c r="AP195" s="134"/>
      <c r="AQ195" s="49"/>
      <c r="AR195" s="49"/>
      <c r="AS195" s="139">
        <v>46073</v>
      </c>
      <c r="AT195" s="138">
        <v>46070</v>
      </c>
      <c r="AU195" s="138">
        <v>46073</v>
      </c>
      <c r="AV195" s="134"/>
      <c r="AW195" s="134"/>
      <c r="AX195" s="108" t="s">
        <v>97</v>
      </c>
      <c r="AY195" s="108" t="s">
        <v>98</v>
      </c>
      <c r="AZ195" s="134"/>
      <c r="BA195" s="134"/>
      <c r="BB195" s="134"/>
      <c r="BC195" s="134"/>
      <c r="BD195" s="123"/>
      <c r="BE195" s="123"/>
      <c r="BF195" s="123"/>
      <c r="BG195" s="123"/>
      <c r="BH195" s="123"/>
      <c r="BI195" s="123"/>
      <c r="BJ195" s="123"/>
      <c r="BK195" s="123"/>
      <c r="BL195" s="123"/>
      <c r="BM195" s="117" t="s">
        <v>132</v>
      </c>
      <c r="BN195" s="123"/>
      <c r="BO195" s="140"/>
      <c r="BP195" s="140"/>
      <c r="BQ195" s="140"/>
      <c r="BR195" s="123"/>
      <c r="BS195" s="141"/>
      <c r="BT195" s="123"/>
      <c r="BU195" s="141"/>
      <c r="BV195" s="123"/>
      <c r="BW195" s="123"/>
      <c r="BX195" s="123"/>
      <c r="BY195" s="123"/>
      <c r="BZ195" s="123"/>
      <c r="CA195" s="123"/>
      <c r="CB195" s="143">
        <v>1</v>
      </c>
      <c r="CC195" s="140"/>
      <c r="CD195" s="123">
        <v>46064</v>
      </c>
      <c r="CE195" s="123">
        <v>46066</v>
      </c>
      <c r="CF195" s="123">
        <v>46066</v>
      </c>
      <c r="CG195" s="123"/>
      <c r="CH195" s="120" t="s">
        <v>112</v>
      </c>
      <c r="CI195" s="123" t="s">
        <v>125</v>
      </c>
      <c r="CJ195" s="123"/>
    </row>
    <row r="196" spans="1:88" ht="409.5" hidden="1">
      <c r="A196" s="147" t="s">
        <v>510</v>
      </c>
      <c r="B196" s="49">
        <f>6+7+1+4.5+4+6+7.5+7+5.5+7.5+7+7+5.5+2.5+3+2+3.5+4+0.5+3.5+0.5+0.5</f>
        <v>95.5</v>
      </c>
      <c r="C196" s="49">
        <v>100</v>
      </c>
      <c r="D196" s="49">
        <f>Tracker6[[#This Row],[Estimated Hrs]]-Tracker6[[#This Row],[Actual Efforts (Hrs)]]</f>
        <v>4.5</v>
      </c>
      <c r="E196" s="134"/>
      <c r="F196" s="134"/>
      <c r="G196" s="150"/>
      <c r="H196" s="271">
        <v>18398313</v>
      </c>
      <c r="I196" s="149">
        <f>Tracker6[[#This Row],[DCR ID - PTC]]</f>
        <v>18398313</v>
      </c>
      <c r="J196" s="134" t="s">
        <v>511</v>
      </c>
      <c r="K196" s="134" t="s">
        <v>118</v>
      </c>
      <c r="L196" s="134"/>
      <c r="M196" s="134"/>
      <c r="N196" s="280" t="s">
        <v>512</v>
      </c>
      <c r="O196" s="123" t="s">
        <v>106</v>
      </c>
      <c r="P196" s="123"/>
      <c r="Q196" s="123"/>
      <c r="R196" s="123"/>
      <c r="S196" s="123"/>
      <c r="T196" s="123"/>
      <c r="U196" s="134"/>
      <c r="V196" s="134"/>
      <c r="W196" s="134"/>
      <c r="X196" s="134"/>
      <c r="Y196" s="134"/>
      <c r="Z196" s="134"/>
      <c r="AA196" s="134"/>
      <c r="AC196" s="134"/>
      <c r="AD196" s="134" t="s">
        <v>93</v>
      </c>
      <c r="AE196" s="49"/>
      <c r="AF196" s="136"/>
      <c r="AG196" s="137"/>
      <c r="AH196" s="134" t="s">
        <v>109</v>
      </c>
      <c r="AI196" s="134" t="s">
        <v>95</v>
      </c>
      <c r="AJ196" s="138">
        <v>46046.699513888889</v>
      </c>
      <c r="AK196" s="134" t="s">
        <v>96</v>
      </c>
      <c r="AL196" s="137">
        <v>46035.713888888888</v>
      </c>
      <c r="AM196" s="139"/>
      <c r="AN196" s="139"/>
      <c r="AO196" s="116">
        <v>46098</v>
      </c>
      <c r="AP196" s="134"/>
      <c r="AQ196" s="49"/>
      <c r="AR196" s="49"/>
      <c r="AS196" s="139"/>
      <c r="AT196" s="138"/>
      <c r="AU196" s="138"/>
      <c r="AV196" s="134"/>
      <c r="AW196" s="134"/>
      <c r="AX196" s="108" t="s">
        <v>97</v>
      </c>
      <c r="AY196" s="108" t="s">
        <v>98</v>
      </c>
      <c r="AZ196" s="134"/>
      <c r="BA196" s="134"/>
      <c r="BB196" s="134"/>
      <c r="BC196" s="134"/>
      <c r="BD196" s="123"/>
      <c r="BE196" s="123"/>
      <c r="BF196" s="123"/>
      <c r="BG196" s="123"/>
      <c r="BH196" s="123"/>
      <c r="BI196" s="123"/>
      <c r="BJ196" s="123"/>
      <c r="BK196" s="123"/>
      <c r="BL196" s="123"/>
      <c r="BM196" s="117" t="s">
        <v>392</v>
      </c>
      <c r="BN196" s="123"/>
      <c r="BO196" s="140"/>
      <c r="BP196" s="140"/>
      <c r="BQ196" s="140"/>
      <c r="BR196" s="123"/>
      <c r="BS196" s="141"/>
      <c r="BT196" s="123"/>
      <c r="BU196" s="141"/>
      <c r="BV196" s="123"/>
      <c r="BW196" s="123"/>
      <c r="BX196" s="123"/>
      <c r="BY196" s="123"/>
      <c r="BZ196" s="123"/>
      <c r="CA196" s="123"/>
      <c r="CB196" s="143">
        <v>0.92500000000000004</v>
      </c>
      <c r="CC196" s="140"/>
      <c r="CD196" s="120">
        <v>46092</v>
      </c>
      <c r="CE196" s="120">
        <v>46097</v>
      </c>
      <c r="CF196" s="120">
        <v>46100</v>
      </c>
      <c r="CG196" s="123"/>
      <c r="CH196" s="120" t="s">
        <v>112</v>
      </c>
      <c r="CI196" s="120" t="s">
        <v>125</v>
      </c>
      <c r="CJ196" s="123"/>
    </row>
    <row r="197" spans="1:88" ht="261" hidden="1">
      <c r="A197" s="147" t="s">
        <v>510</v>
      </c>
      <c r="B197" s="49">
        <f>7+1.5+5+0.5+0.5+1+1.5+2+4</f>
        <v>23</v>
      </c>
      <c r="C197" s="49">
        <v>45</v>
      </c>
      <c r="D197" s="49">
        <f>Tracker6[[#This Row],[Estimated Hrs]]-Tracker6[[#This Row],[Actual Efforts (Hrs)]]</f>
        <v>22</v>
      </c>
      <c r="E197" s="134"/>
      <c r="F197" s="134" t="s">
        <v>136</v>
      </c>
      <c r="G197" s="150"/>
      <c r="H197" s="271">
        <v>18481809</v>
      </c>
      <c r="I197" s="149">
        <f>Tracker6[[#This Row],[DCR ID - PTC]]</f>
        <v>18481809</v>
      </c>
      <c r="J197" s="134" t="s">
        <v>513</v>
      </c>
      <c r="K197" s="134" t="s">
        <v>104</v>
      </c>
      <c r="L197" s="134"/>
      <c r="M197" s="134"/>
      <c r="N197" s="134" t="s">
        <v>514</v>
      </c>
      <c r="O197" s="123" t="s">
        <v>115</v>
      </c>
      <c r="P197" s="123"/>
      <c r="Q197" s="123"/>
      <c r="R197" s="123"/>
      <c r="S197" s="123"/>
      <c r="T197" s="123"/>
      <c r="U197" s="134"/>
      <c r="V197" s="134"/>
      <c r="W197" s="134"/>
      <c r="X197" s="134"/>
      <c r="Y197" s="134"/>
      <c r="Z197" s="134"/>
      <c r="AA197" s="134" t="s">
        <v>107</v>
      </c>
      <c r="AC197" s="134"/>
      <c r="AD197" s="134" t="s">
        <v>146</v>
      </c>
      <c r="AE197" s="49"/>
      <c r="AF197" s="136"/>
      <c r="AG197" s="137"/>
      <c r="AH197" s="134" t="s">
        <v>109</v>
      </c>
      <c r="AI197" s="134" t="s">
        <v>95</v>
      </c>
      <c r="AJ197" s="138">
        <v>46142.470358796294</v>
      </c>
      <c r="AK197" s="134" t="s">
        <v>96</v>
      </c>
      <c r="AL197" s="137">
        <v>46042.47216435185</v>
      </c>
      <c r="AM197" s="139"/>
      <c r="AN197" s="139"/>
      <c r="AO197" s="338" t="s">
        <v>515</v>
      </c>
      <c r="AP197" s="134"/>
      <c r="AQ197" s="49"/>
      <c r="AR197" s="49"/>
      <c r="AS197" s="139"/>
      <c r="AT197" s="138"/>
      <c r="AU197" s="138"/>
      <c r="AV197" s="134"/>
      <c r="AW197" s="134"/>
      <c r="AX197" s="108" t="s">
        <v>97</v>
      </c>
      <c r="AY197" s="108" t="s">
        <v>98</v>
      </c>
      <c r="AZ197" s="134"/>
      <c r="BA197" s="134"/>
      <c r="BB197" s="134"/>
      <c r="BC197" s="134"/>
      <c r="BD197" s="123"/>
      <c r="BE197" s="123"/>
      <c r="BF197" s="123"/>
      <c r="BG197" s="123"/>
      <c r="BH197" s="123"/>
      <c r="BI197" s="123"/>
      <c r="BJ197" s="123"/>
      <c r="BK197" s="123"/>
      <c r="BL197" s="123"/>
      <c r="BM197" s="117" t="s">
        <v>392</v>
      </c>
      <c r="BN197" s="123"/>
      <c r="BO197" s="140"/>
      <c r="BP197" s="140"/>
      <c r="BQ197" s="140"/>
      <c r="BR197" s="123"/>
      <c r="BS197" s="141"/>
      <c r="BT197" s="123"/>
      <c r="BU197" s="141"/>
      <c r="BV197" s="123"/>
      <c r="BW197" s="123"/>
      <c r="BX197" s="123"/>
      <c r="BY197" s="123"/>
      <c r="BZ197" s="123"/>
      <c r="CA197" s="123"/>
      <c r="CB197" s="143">
        <v>0.8</v>
      </c>
      <c r="CC197" s="140"/>
      <c r="CD197" s="120">
        <v>46092</v>
      </c>
      <c r="CE197" s="120">
        <v>46097</v>
      </c>
      <c r="CF197" s="120">
        <v>46100</v>
      </c>
      <c r="CG197" s="123"/>
      <c r="CH197" s="120" t="s">
        <v>112</v>
      </c>
      <c r="CI197" s="120" t="s">
        <v>125</v>
      </c>
      <c r="CJ197" s="123"/>
    </row>
    <row r="198" spans="1:88" ht="409.5" hidden="1">
      <c r="A198" s="147" t="s">
        <v>516</v>
      </c>
      <c r="B198" s="49">
        <f>4+4+3+5.5+7+6.5+5.5+7+4.5+7+6+7.5+7.75+6+7</f>
        <v>88.25</v>
      </c>
      <c r="C198" s="107">
        <f>110</f>
        <v>110</v>
      </c>
      <c r="D198" s="107">
        <f>Tracker6[[#This Row],[Estimated Hrs]]-Tracker6[[#This Row],[Actual Efforts (Hrs)]]</f>
        <v>21.75</v>
      </c>
      <c r="E198" s="134"/>
      <c r="F198" s="134"/>
      <c r="G198" s="150"/>
      <c r="H198" s="149">
        <v>18849299</v>
      </c>
      <c r="I198" s="149">
        <v>18849299</v>
      </c>
      <c r="J198" s="134" t="s">
        <v>387</v>
      </c>
      <c r="K198" s="134" t="s">
        <v>118</v>
      </c>
      <c r="L198" s="134"/>
      <c r="M198" s="134"/>
      <c r="N198" s="280" t="s">
        <v>517</v>
      </c>
      <c r="O198" s="123" t="s">
        <v>115</v>
      </c>
      <c r="P198" s="123"/>
      <c r="Q198" s="123"/>
      <c r="R198" s="123"/>
      <c r="S198" s="123"/>
      <c r="T198" s="123"/>
      <c r="U198" s="134"/>
      <c r="V198" s="134"/>
      <c r="W198" s="134"/>
      <c r="X198" s="134"/>
      <c r="Y198" s="134"/>
      <c r="Z198" s="134"/>
      <c r="AA198" s="134"/>
      <c r="AC198" s="134"/>
      <c r="AD198" s="134"/>
      <c r="AE198" s="49"/>
      <c r="AF198" s="136"/>
      <c r="AG198" s="137"/>
      <c r="AH198" s="134"/>
      <c r="AI198" s="134"/>
      <c r="AJ198" s="138"/>
      <c r="AK198" s="134"/>
      <c r="AL198" s="137"/>
      <c r="AM198" s="139"/>
      <c r="AN198" s="139"/>
      <c r="AO198" s="116">
        <v>46129</v>
      </c>
      <c r="AP198" s="134"/>
      <c r="AQ198" s="49"/>
      <c r="AR198" s="49"/>
      <c r="AS198" s="139"/>
      <c r="AT198" s="138"/>
      <c r="AU198" s="138"/>
      <c r="AV198" s="134"/>
      <c r="AW198" s="134"/>
      <c r="AX198" s="108"/>
      <c r="AY198" s="108"/>
      <c r="AZ198" s="134"/>
      <c r="BA198" s="134"/>
      <c r="BB198" s="134"/>
      <c r="BC198" s="134"/>
      <c r="BD198" s="123"/>
      <c r="BE198" s="123"/>
      <c r="BF198" s="123"/>
      <c r="BG198" s="123"/>
      <c r="BH198" s="123"/>
      <c r="BI198" s="123"/>
      <c r="BJ198" s="123"/>
      <c r="BK198" s="123"/>
      <c r="BL198" s="123"/>
      <c r="BM198" s="117"/>
      <c r="BN198" s="123"/>
      <c r="BO198" s="140"/>
      <c r="BP198" s="140"/>
      <c r="BQ198" s="140"/>
      <c r="BR198" s="123"/>
      <c r="BS198" s="141"/>
      <c r="BT198" s="123"/>
      <c r="BU198" s="141"/>
      <c r="BV198" s="123"/>
      <c r="BW198" s="123"/>
      <c r="BX198" s="123"/>
      <c r="BY198" s="123"/>
      <c r="BZ198" s="123"/>
      <c r="CA198" s="123"/>
      <c r="CB198" s="143">
        <v>78</v>
      </c>
      <c r="CC198" s="140"/>
      <c r="CD198" s="123"/>
      <c r="CE198" s="123"/>
      <c r="CF198" s="123"/>
      <c r="CG198" s="123"/>
      <c r="CH198" s="120"/>
      <c r="CI198" s="123"/>
      <c r="CJ198" s="123"/>
    </row>
    <row r="199" spans="1:88" ht="57.95" hidden="1">
      <c r="A199" s="147" t="s">
        <v>518</v>
      </c>
      <c r="B199" s="49"/>
      <c r="C199" s="49">
        <v>150</v>
      </c>
      <c r="D199" s="49">
        <f>C199-B199</f>
        <v>150</v>
      </c>
      <c r="E199" s="134"/>
      <c r="F199" s="134" t="s">
        <v>89</v>
      </c>
      <c r="G199" s="150"/>
      <c r="H199" s="271">
        <v>14468900</v>
      </c>
      <c r="I199" s="149">
        <f>Tracker6[[#This Row],[DCR ID - PTC]]</f>
        <v>14468900</v>
      </c>
      <c r="J199" s="134" t="s">
        <v>519</v>
      </c>
      <c r="K199" s="134" t="s">
        <v>101</v>
      </c>
      <c r="L199" s="134" t="s">
        <v>520</v>
      </c>
      <c r="M199" s="134"/>
      <c r="N199" s="281"/>
      <c r="O199" s="123" t="s">
        <v>122</v>
      </c>
      <c r="P199" s="123"/>
      <c r="Q199" s="123"/>
      <c r="R199" s="123"/>
      <c r="S199" s="123"/>
      <c r="T199" s="123"/>
      <c r="U199" s="134"/>
      <c r="V199" s="134"/>
      <c r="W199" s="134"/>
      <c r="X199" s="134"/>
      <c r="Y199" s="134"/>
      <c r="Z199" s="134"/>
      <c r="AA199" s="134" t="s">
        <v>92</v>
      </c>
      <c r="AC199" s="134" t="s">
        <v>520</v>
      </c>
      <c r="AD199" s="134" t="s">
        <v>93</v>
      </c>
      <c r="AE199" s="49"/>
      <c r="AF199" s="136"/>
      <c r="AG199" s="137">
        <v>45876.995532407411</v>
      </c>
      <c r="AH199" s="134" t="s">
        <v>94</v>
      </c>
      <c r="AI199" s="134" t="s">
        <v>95</v>
      </c>
      <c r="AJ199" s="138">
        <v>45994.4375</v>
      </c>
      <c r="AK199" s="134" t="s">
        <v>96</v>
      </c>
      <c r="AL199" s="137">
        <v>45499.858622685184</v>
      </c>
      <c r="AM199" s="139"/>
      <c r="AN199" s="139"/>
      <c r="AO199" s="116">
        <v>0</v>
      </c>
      <c r="AP199" s="134"/>
      <c r="AQ199" s="49"/>
      <c r="AR199" s="49"/>
      <c r="AS199" s="139"/>
      <c r="AT199" s="138"/>
      <c r="AU199" s="138"/>
      <c r="AV199" s="134"/>
      <c r="AW199" s="134"/>
      <c r="AX199" s="108" t="s">
        <v>97</v>
      </c>
      <c r="AY199" s="108" t="s">
        <v>98</v>
      </c>
      <c r="AZ199" s="134"/>
      <c r="BA199" s="134"/>
      <c r="BB199" s="134"/>
      <c r="BC199" s="134"/>
      <c r="BD199" s="123"/>
      <c r="BE199" s="123"/>
      <c r="BF199" s="123"/>
      <c r="BG199" s="123"/>
      <c r="BH199" s="123"/>
      <c r="BI199" s="123"/>
      <c r="BJ199" s="123"/>
      <c r="BK199" s="123"/>
      <c r="BL199" s="123"/>
      <c r="BM199" s="117" t="s">
        <v>521</v>
      </c>
      <c r="BN199" s="123"/>
      <c r="BO199" s="140"/>
      <c r="BP199" s="140"/>
      <c r="BQ199" s="140"/>
      <c r="BR199" s="123"/>
      <c r="BS199" s="141"/>
      <c r="BT199" s="123"/>
      <c r="BU199" s="141"/>
      <c r="BV199" s="123"/>
      <c r="BW199" s="123"/>
      <c r="BX199" s="123"/>
      <c r="BY199" s="123"/>
      <c r="BZ199" s="123"/>
      <c r="CA199" s="123"/>
      <c r="CB199" s="143"/>
      <c r="CC199" s="140"/>
      <c r="CD199" s="120">
        <v>0</v>
      </c>
      <c r="CE199" s="120">
        <v>0</v>
      </c>
      <c r="CF199" s="120">
        <v>0</v>
      </c>
      <c r="CG199" s="123"/>
      <c r="CH199" s="120" t="s">
        <v>182</v>
      </c>
      <c r="CI199" s="120">
        <v>0</v>
      </c>
      <c r="CJ199" s="123"/>
    </row>
    <row r="200" spans="1:88" ht="57.95" hidden="1">
      <c r="A200" s="106" t="s">
        <v>171</v>
      </c>
      <c r="B200" s="49"/>
      <c r="C200" s="49">
        <v>80</v>
      </c>
      <c r="D200" s="49">
        <f>C200-B200</f>
        <v>80</v>
      </c>
      <c r="E200" s="134"/>
      <c r="F200" s="134" t="s">
        <v>89</v>
      </c>
      <c r="G200" s="150"/>
      <c r="H200" s="271">
        <v>17581155</v>
      </c>
      <c r="I200" s="149">
        <f>Tracker6[[#This Row],[DCR ID - PTC]]</f>
        <v>17581155</v>
      </c>
      <c r="J200" s="134" t="s">
        <v>522</v>
      </c>
      <c r="K200" s="134" t="s">
        <v>101</v>
      </c>
      <c r="L200" s="134" t="s">
        <v>131</v>
      </c>
      <c r="M200" s="134"/>
      <c r="N200" s="134"/>
      <c r="O200" s="123" t="s">
        <v>122</v>
      </c>
      <c r="P200" s="123"/>
      <c r="Q200" s="123"/>
      <c r="R200" s="123"/>
      <c r="S200" s="123"/>
      <c r="T200" s="123"/>
      <c r="U200" s="134"/>
      <c r="V200" s="134"/>
      <c r="W200" s="134"/>
      <c r="X200" s="134"/>
      <c r="Y200" s="134"/>
      <c r="Z200" s="134"/>
      <c r="AA200" s="134" t="s">
        <v>92</v>
      </c>
      <c r="AC200" s="134" t="s">
        <v>131</v>
      </c>
      <c r="AD200" s="134" t="s">
        <v>146</v>
      </c>
      <c r="AE200" s="49"/>
      <c r="AF200" s="136"/>
      <c r="AG200" s="137">
        <v>45947.010740740741</v>
      </c>
      <c r="AH200" s="134" t="s">
        <v>94</v>
      </c>
      <c r="AI200" s="134" t="s">
        <v>95</v>
      </c>
      <c r="AJ200" s="138">
        <v>45930.395833333336</v>
      </c>
      <c r="AK200" s="134" t="s">
        <v>96</v>
      </c>
      <c r="AL200" s="137">
        <v>45929.545069444444</v>
      </c>
      <c r="AM200" s="139"/>
      <c r="AN200" s="139"/>
      <c r="AO200" s="116" t="e">
        <v>#N/A</v>
      </c>
      <c r="AP200" s="134"/>
      <c r="AQ200" s="49"/>
      <c r="AR200" s="49"/>
      <c r="AS200" s="139"/>
      <c r="AT200" s="138"/>
      <c r="AU200" s="138"/>
      <c r="AV200" s="134"/>
      <c r="AW200" s="134"/>
      <c r="AX200" s="108" t="s">
        <v>97</v>
      </c>
      <c r="AY200" s="108" t="s">
        <v>98</v>
      </c>
      <c r="AZ200" s="134"/>
      <c r="BA200" s="134"/>
      <c r="BB200" s="134"/>
      <c r="BC200" s="134"/>
      <c r="BD200" s="123"/>
      <c r="BE200" s="123"/>
      <c r="BF200" s="123"/>
      <c r="BG200" s="123"/>
      <c r="BH200" s="123"/>
      <c r="BI200" s="123"/>
      <c r="BJ200" s="123"/>
      <c r="BK200" s="123"/>
      <c r="BL200" s="123"/>
      <c r="BM200" s="117" t="e">
        <v>#N/A</v>
      </c>
      <c r="BN200" s="123"/>
      <c r="BO200" s="140"/>
      <c r="BP200" s="140"/>
      <c r="BQ200" s="140"/>
      <c r="BR200" s="123"/>
      <c r="BS200" s="141"/>
      <c r="BT200" s="123"/>
      <c r="BU200" s="141"/>
      <c r="BV200" s="123"/>
      <c r="BW200" s="123"/>
      <c r="BX200" s="123"/>
      <c r="BY200" s="123"/>
      <c r="BZ200" s="123"/>
      <c r="CA200" s="123"/>
      <c r="CB200" s="143"/>
      <c r="CC200" s="140"/>
      <c r="CD200" s="120" t="e">
        <v>#N/A</v>
      </c>
      <c r="CE200" s="120" t="e">
        <v>#N/A</v>
      </c>
      <c r="CF200" s="120" t="e">
        <v>#N/A</v>
      </c>
      <c r="CG200" s="123"/>
      <c r="CH200" s="120" t="e">
        <v>#N/A</v>
      </c>
      <c r="CI200" s="120" t="e">
        <v>#N/A</v>
      </c>
      <c r="CJ200" s="123"/>
    </row>
    <row r="201" spans="1:88" ht="159.6" hidden="1">
      <c r="A201" s="147" t="s">
        <v>523</v>
      </c>
      <c r="B201" s="49">
        <f>3+3.5+4+3.5+4+4.5+3</f>
        <v>25.5</v>
      </c>
      <c r="C201" s="49">
        <v>10</v>
      </c>
      <c r="D201" s="49">
        <f>C201-B201</f>
        <v>-15.5</v>
      </c>
      <c r="E201" s="134"/>
      <c r="F201" s="134" t="s">
        <v>127</v>
      </c>
      <c r="G201" s="150"/>
      <c r="H201" s="154">
        <v>17728109</v>
      </c>
      <c r="I201" s="149">
        <f>Tracker6[[#This Row],[DCR ID - PTC]]</f>
        <v>17728109</v>
      </c>
      <c r="J201" s="134" t="s">
        <v>524</v>
      </c>
      <c r="K201" s="134" t="s">
        <v>104</v>
      </c>
      <c r="L201" s="134" t="s">
        <v>131</v>
      </c>
      <c r="M201" s="134"/>
      <c r="N201" s="134" t="s">
        <v>525</v>
      </c>
      <c r="O201" s="123" t="s">
        <v>106</v>
      </c>
      <c r="P201" s="123"/>
      <c r="Q201" s="123"/>
      <c r="R201" s="123"/>
      <c r="S201" s="123"/>
      <c r="T201" s="123"/>
      <c r="U201" s="134"/>
      <c r="V201" s="134"/>
      <c r="W201" s="134"/>
      <c r="X201" s="134"/>
      <c r="Y201" s="134"/>
      <c r="Z201" s="134"/>
      <c r="AA201" s="134" t="s">
        <v>130</v>
      </c>
      <c r="AC201" s="134" t="s">
        <v>131</v>
      </c>
      <c r="AD201" s="134" t="s">
        <v>93</v>
      </c>
      <c r="AE201" s="49"/>
      <c r="AF201" s="136"/>
      <c r="AG201" s="137">
        <v>46003.051574074074</v>
      </c>
      <c r="AH201" s="134" t="s">
        <v>94</v>
      </c>
      <c r="AI201" s="134" t="s">
        <v>95</v>
      </c>
      <c r="AJ201" s="138">
        <v>46053.395833333336</v>
      </c>
      <c r="AK201" s="134" t="s">
        <v>96</v>
      </c>
      <c r="AL201" s="137">
        <v>45947.696168981478</v>
      </c>
      <c r="AM201" s="139"/>
      <c r="AN201" s="139"/>
      <c r="AO201" s="116">
        <v>46101</v>
      </c>
      <c r="AP201" s="134"/>
      <c r="AQ201" s="49"/>
      <c r="AR201" s="49"/>
      <c r="AS201" s="139"/>
      <c r="AT201" s="138"/>
      <c r="AU201" s="138"/>
      <c r="AV201" s="134"/>
      <c r="AW201" s="134"/>
      <c r="AX201" s="108" t="s">
        <v>97</v>
      </c>
      <c r="AY201" s="108" t="s">
        <v>98</v>
      </c>
      <c r="AZ201" s="134"/>
      <c r="BA201" s="134"/>
      <c r="BB201" s="134"/>
      <c r="BC201" s="134"/>
      <c r="BD201" s="123"/>
      <c r="BE201" s="123"/>
      <c r="BF201" s="123"/>
      <c r="BG201" s="123"/>
      <c r="BH201" s="123"/>
      <c r="BI201" s="123"/>
      <c r="BJ201" s="123"/>
      <c r="BK201" s="123"/>
      <c r="BL201" s="123"/>
      <c r="BM201" s="117" t="e">
        <v>#N/A</v>
      </c>
      <c r="BN201" s="123"/>
      <c r="BO201" s="140"/>
      <c r="BP201" s="140"/>
      <c r="BQ201" s="140"/>
      <c r="BR201" s="123"/>
      <c r="BS201" s="141"/>
      <c r="BT201" s="123"/>
      <c r="BU201" s="141"/>
      <c r="BV201" s="123"/>
      <c r="BW201" s="123"/>
      <c r="BX201" s="123"/>
      <c r="BY201" s="123"/>
      <c r="BZ201" s="123"/>
      <c r="CA201" s="123"/>
      <c r="CB201" s="143"/>
      <c r="CC201" s="140"/>
      <c r="CD201" s="120" t="e">
        <v>#N/A</v>
      </c>
      <c r="CE201" s="120" t="e">
        <v>#N/A</v>
      </c>
      <c r="CF201" s="120" t="e">
        <v>#N/A</v>
      </c>
      <c r="CG201" s="123"/>
      <c r="CH201" s="120" t="e">
        <v>#N/A</v>
      </c>
      <c r="CI201" s="120" t="e">
        <v>#N/A</v>
      </c>
      <c r="CJ201" s="123"/>
    </row>
    <row r="202" spans="1:88" ht="57.95" hidden="1">
      <c r="A202" s="147" t="s">
        <v>526</v>
      </c>
      <c r="B202" s="49">
        <v>0</v>
      </c>
      <c r="C202" s="107" t="e">
        <v>#N/A</v>
      </c>
      <c r="D202" s="107">
        <v>0</v>
      </c>
      <c r="E202" s="134"/>
      <c r="F202" s="134"/>
      <c r="G202" s="150"/>
      <c r="H202" s="271">
        <v>7609827</v>
      </c>
      <c r="I202" s="149">
        <f>Tracker6[[#This Row],[DCR ID - PTC]]</f>
        <v>7609827</v>
      </c>
      <c r="J202" s="134" t="s">
        <v>527</v>
      </c>
      <c r="K202" s="134"/>
      <c r="L202" s="134"/>
      <c r="M202" s="134"/>
      <c r="N202" s="281"/>
      <c r="O202" s="123"/>
      <c r="P202" s="139"/>
      <c r="Q202" s="123"/>
      <c r="R202" s="123"/>
      <c r="S202" s="123"/>
      <c r="T202" s="123"/>
      <c r="U202" s="134"/>
      <c r="V202" s="134"/>
      <c r="W202" s="134"/>
      <c r="X202" s="134"/>
      <c r="Y202" s="134"/>
      <c r="Z202" s="134"/>
      <c r="AA202" s="134"/>
      <c r="AB202" s="29">
        <v>44407</v>
      </c>
      <c r="AC202" s="134"/>
      <c r="AD202" s="134" t="s">
        <v>93</v>
      </c>
      <c r="AE202" s="49"/>
      <c r="AF202" s="136"/>
      <c r="AG202" s="137"/>
      <c r="AH202" s="134" t="s">
        <v>100</v>
      </c>
      <c r="AI202" s="134" t="s">
        <v>101</v>
      </c>
      <c r="AJ202" s="138">
        <v>44407</v>
      </c>
      <c r="AK202" s="134" t="s">
        <v>528</v>
      </c>
      <c r="AL202" s="137">
        <v>44404.604745370372</v>
      </c>
      <c r="AM202" s="139"/>
      <c r="AN202" s="139"/>
      <c r="AO202" s="116" t="e">
        <v>#N/A</v>
      </c>
      <c r="AP202" s="134"/>
      <c r="AQ202" s="49"/>
      <c r="AR202" s="49"/>
      <c r="AS202" s="139"/>
      <c r="AT202" s="138"/>
      <c r="AU202" s="138"/>
      <c r="AV202" s="134"/>
      <c r="AW202" s="134"/>
      <c r="AX202" s="108" t="s">
        <v>97</v>
      </c>
      <c r="AY202" s="108" t="s">
        <v>98</v>
      </c>
      <c r="AZ202" s="134"/>
      <c r="BA202" s="134"/>
      <c r="BB202" s="134"/>
      <c r="BC202" s="134"/>
      <c r="BD202" s="123"/>
      <c r="BE202" s="123"/>
      <c r="BF202" s="123"/>
      <c r="BG202" s="123"/>
      <c r="BH202" s="123"/>
      <c r="BI202" s="123"/>
      <c r="BJ202" s="123"/>
      <c r="BK202" s="123"/>
      <c r="BL202" s="123"/>
      <c r="BM202" s="117" t="e">
        <v>#N/A</v>
      </c>
      <c r="BN202" s="123"/>
      <c r="BO202" s="140"/>
      <c r="BP202" s="140"/>
      <c r="BQ202" s="140"/>
      <c r="BR202" s="123"/>
      <c r="BS202" s="141"/>
      <c r="BT202" s="123"/>
      <c r="BU202" s="141"/>
      <c r="BV202" s="123"/>
      <c r="BW202" s="123"/>
      <c r="BX202" s="123"/>
      <c r="BY202" s="123"/>
      <c r="BZ202" s="123"/>
      <c r="CA202" s="123"/>
      <c r="CB202" s="143"/>
      <c r="CC202" s="140"/>
      <c r="CD202" s="123" t="e">
        <v>#N/A</v>
      </c>
      <c r="CE202" s="123" t="e">
        <v>#N/A</v>
      </c>
      <c r="CF202" s="123" t="e">
        <v>#N/A</v>
      </c>
      <c r="CG202" s="123"/>
      <c r="CH202" s="120" t="e">
        <v>#N/A</v>
      </c>
      <c r="CI202" s="123" t="e">
        <v>#N/A</v>
      </c>
      <c r="CJ202" s="123"/>
    </row>
    <row r="203" spans="1:88" ht="57.95" hidden="1">
      <c r="A203" s="147" t="s">
        <v>526</v>
      </c>
      <c r="B203" s="49">
        <v>0</v>
      </c>
      <c r="C203" s="49" t="e">
        <v>#N/A</v>
      </c>
      <c r="D203" s="107">
        <v>12</v>
      </c>
      <c r="E203" s="134"/>
      <c r="F203" s="134"/>
      <c r="G203" s="150"/>
      <c r="H203" s="154">
        <v>8253922</v>
      </c>
      <c r="I203" s="149">
        <f>Tracker6[[#This Row],[DCR ID - PTC]]</f>
        <v>8253922</v>
      </c>
      <c r="J203" s="134" t="s">
        <v>529</v>
      </c>
      <c r="K203" s="134"/>
      <c r="L203" s="134"/>
      <c r="M203" s="134"/>
      <c r="N203" s="281"/>
      <c r="O203" s="123"/>
      <c r="P203" s="139"/>
      <c r="Q203" s="123"/>
      <c r="R203" s="123"/>
      <c r="S203" s="123"/>
      <c r="T203" s="123"/>
      <c r="U203" s="134"/>
      <c r="V203" s="134"/>
      <c r="W203" s="134"/>
      <c r="X203" s="134"/>
      <c r="Y203" s="134"/>
      <c r="Z203" s="134"/>
      <c r="AA203" s="134"/>
      <c r="AB203" s="29">
        <v>44561</v>
      </c>
      <c r="AC203" s="134"/>
      <c r="AD203" s="134" t="s">
        <v>116</v>
      </c>
      <c r="AE203" s="49"/>
      <c r="AF203" s="136"/>
      <c r="AG203" s="137"/>
      <c r="AH203" s="134" t="s">
        <v>350</v>
      </c>
      <c r="AI203" s="134" t="s">
        <v>101</v>
      </c>
      <c r="AJ203" s="138">
        <v>44561</v>
      </c>
      <c r="AK203" s="134" t="s">
        <v>96</v>
      </c>
      <c r="AL203" s="137">
        <v>44533.532048611109</v>
      </c>
      <c r="AM203" s="139"/>
      <c r="AN203" s="139"/>
      <c r="AO203" s="116" t="e">
        <v>#N/A</v>
      </c>
      <c r="AP203" s="134"/>
      <c r="AQ203" s="49"/>
      <c r="AR203" s="49"/>
      <c r="AS203" s="139"/>
      <c r="AT203" s="138"/>
      <c r="AU203" s="138"/>
      <c r="AV203" s="134"/>
      <c r="AW203" s="134"/>
      <c r="AX203" s="108" t="s">
        <v>97</v>
      </c>
      <c r="AY203" s="108" t="s">
        <v>98</v>
      </c>
      <c r="AZ203" s="134"/>
      <c r="BA203" s="134"/>
      <c r="BB203" s="134"/>
      <c r="BC203" s="134"/>
      <c r="BD203" s="123"/>
      <c r="BE203" s="123"/>
      <c r="BF203" s="123"/>
      <c r="BG203" s="123"/>
      <c r="BH203" s="123"/>
      <c r="BI203" s="123"/>
      <c r="BJ203" s="123"/>
      <c r="BK203" s="123"/>
      <c r="BL203" s="123"/>
      <c r="BM203" s="117" t="e">
        <v>#N/A</v>
      </c>
      <c r="BN203" s="123"/>
      <c r="BO203" s="140"/>
      <c r="BP203" s="140"/>
      <c r="BQ203" s="140"/>
      <c r="BR203" s="123"/>
      <c r="BS203" s="141"/>
      <c r="BT203" s="123"/>
      <c r="BU203" s="141"/>
      <c r="BV203" s="123"/>
      <c r="BW203" s="123"/>
      <c r="BX203" s="123"/>
      <c r="BY203" s="123"/>
      <c r="BZ203" s="123"/>
      <c r="CA203" s="123"/>
      <c r="CB203" s="143"/>
      <c r="CC203" s="140"/>
      <c r="CD203" s="120" t="e">
        <v>#N/A</v>
      </c>
      <c r="CE203" s="120" t="e">
        <v>#N/A</v>
      </c>
      <c r="CF203" s="120" t="e">
        <v>#N/A</v>
      </c>
      <c r="CG203" s="123"/>
      <c r="CH203" s="120" t="e">
        <v>#N/A</v>
      </c>
      <c r="CI203" s="120" t="e">
        <v>#N/A</v>
      </c>
      <c r="CJ203" s="123"/>
    </row>
    <row r="204" spans="1:88" ht="57.95" hidden="1">
      <c r="A204" s="106" t="s">
        <v>526</v>
      </c>
      <c r="B204" s="107">
        <v>0</v>
      </c>
      <c r="C204" s="49" t="e">
        <v>#N/A</v>
      </c>
      <c r="D204" s="107">
        <v>0</v>
      </c>
      <c r="E204" s="108"/>
      <c r="F204" s="108"/>
      <c r="G204" s="121"/>
      <c r="H204" s="151">
        <v>11571818</v>
      </c>
      <c r="I204" s="127">
        <f>Tracker6[[#This Row],[DCR ID - PTC]]</f>
        <v>11571818</v>
      </c>
      <c r="J204" s="108" t="s">
        <v>530</v>
      </c>
      <c r="K204" s="134"/>
      <c r="L204" s="108" t="s">
        <v>531</v>
      </c>
      <c r="M204" s="108"/>
      <c r="N204" s="108"/>
      <c r="O204" s="111"/>
      <c r="P204" s="111"/>
      <c r="Q204" s="111"/>
      <c r="R204" s="111"/>
      <c r="S204" s="111"/>
      <c r="T204" s="111"/>
      <c r="U204" s="108"/>
      <c r="V204" s="108"/>
      <c r="W204" s="108"/>
      <c r="X204" s="108"/>
      <c r="Y204" s="108"/>
      <c r="Z204" s="108"/>
      <c r="AA204" s="108"/>
      <c r="AB204" s="112"/>
      <c r="AC204" s="108" t="s">
        <v>531</v>
      </c>
      <c r="AD204" s="108" t="s">
        <v>93</v>
      </c>
      <c r="AE204" s="107"/>
      <c r="AF204" s="113"/>
      <c r="AG204" s="115"/>
      <c r="AH204" s="108" t="s">
        <v>109</v>
      </c>
      <c r="AI204" s="108" t="s">
        <v>95</v>
      </c>
      <c r="AJ204" s="114">
        <v>44957</v>
      </c>
      <c r="AK204" s="108" t="s">
        <v>96</v>
      </c>
      <c r="AL204" s="115">
        <v>45059.071747685186</v>
      </c>
      <c r="AM204" s="116"/>
      <c r="AN204" s="116"/>
      <c r="AO204" s="116" t="e">
        <v>#N/A</v>
      </c>
      <c r="AP204" s="108"/>
      <c r="AQ204" s="107"/>
      <c r="AR204" s="107"/>
      <c r="AS204" s="116"/>
      <c r="AT204" s="114"/>
      <c r="AU204" s="114"/>
      <c r="AV204" s="108"/>
      <c r="AW204" s="108"/>
      <c r="AX204" s="108" t="s">
        <v>97</v>
      </c>
      <c r="AY204" s="108" t="s">
        <v>98</v>
      </c>
      <c r="AZ204" s="108"/>
      <c r="BA204" s="108"/>
      <c r="BB204" s="108"/>
      <c r="BC204" s="108"/>
      <c r="BD204" s="111"/>
      <c r="BE204" s="111"/>
      <c r="BF204" s="111"/>
      <c r="BG204" s="111"/>
      <c r="BH204" s="111"/>
      <c r="BI204" s="111"/>
      <c r="BJ204" s="111"/>
      <c r="BK204" s="111"/>
      <c r="BL204" s="111"/>
      <c r="BM204" s="117" t="e">
        <v>#N/A</v>
      </c>
      <c r="BN204" s="111"/>
      <c r="BO204" s="117"/>
      <c r="BP204" s="117"/>
      <c r="BQ204" s="117"/>
      <c r="BR204" s="111"/>
      <c r="BS204" s="118"/>
      <c r="BT204" s="111"/>
      <c r="BU204" s="118"/>
      <c r="BV204" s="111"/>
      <c r="BW204" s="111"/>
      <c r="BX204" s="111"/>
      <c r="BY204" s="111"/>
      <c r="BZ204" s="111"/>
      <c r="CA204" s="111"/>
      <c r="CB204" s="119"/>
      <c r="CC204" s="117"/>
      <c r="CD204" s="120" t="e">
        <v>#N/A</v>
      </c>
      <c r="CE204" s="120" t="e">
        <v>#N/A</v>
      </c>
      <c r="CF204" s="120" t="e">
        <v>#N/A</v>
      </c>
      <c r="CG204" s="111"/>
      <c r="CH204" s="120" t="e">
        <v>#N/A</v>
      </c>
      <c r="CI204" s="120" t="e">
        <v>#N/A</v>
      </c>
      <c r="CJ204" s="111"/>
    </row>
    <row r="205" spans="1:88" ht="57.95" hidden="1">
      <c r="A205" s="106" t="s">
        <v>526</v>
      </c>
      <c r="B205" s="107">
        <v>0</v>
      </c>
      <c r="C205" s="49" t="e">
        <v>#N/A</v>
      </c>
      <c r="D205" s="107">
        <v>0</v>
      </c>
      <c r="E205" s="108"/>
      <c r="F205" s="108"/>
      <c r="G205" s="121"/>
      <c r="H205" s="151">
        <v>11969665</v>
      </c>
      <c r="I205" s="109">
        <f>Tracker6[[#This Row],[DCR ID - PTC]]</f>
        <v>11969665</v>
      </c>
      <c r="J205" s="108" t="s">
        <v>532</v>
      </c>
      <c r="K205" s="108"/>
      <c r="L205" s="108"/>
      <c r="M205" s="108"/>
      <c r="N205" s="108"/>
      <c r="O205" s="111"/>
      <c r="P205" s="111"/>
      <c r="Q205" s="111"/>
      <c r="R205" s="111"/>
      <c r="S205" s="111"/>
      <c r="T205" s="111"/>
      <c r="U205" s="108"/>
      <c r="V205" s="108"/>
      <c r="W205" s="108"/>
      <c r="X205" s="108"/>
      <c r="Y205" s="108"/>
      <c r="Z205" s="108"/>
      <c r="AA205" s="108"/>
      <c r="AB205" s="112"/>
      <c r="AC205" s="108"/>
      <c r="AD205" s="108" t="s">
        <v>146</v>
      </c>
      <c r="AE205" s="107"/>
      <c r="AF205" s="113"/>
      <c r="AG205" s="115"/>
      <c r="AH205" s="108" t="s">
        <v>109</v>
      </c>
      <c r="AI205" s="108" t="s">
        <v>95</v>
      </c>
      <c r="AJ205" s="114"/>
      <c r="AK205" s="108" t="s">
        <v>96</v>
      </c>
      <c r="AL205" s="115">
        <v>45125.098078703704</v>
      </c>
      <c r="AM205" s="116"/>
      <c r="AN205" s="116"/>
      <c r="AO205" s="116" t="e">
        <v>#N/A</v>
      </c>
      <c r="AP205" s="108"/>
      <c r="AQ205" s="107"/>
      <c r="AR205" s="107"/>
      <c r="AS205" s="116"/>
      <c r="AT205" s="114"/>
      <c r="AU205" s="114"/>
      <c r="AV205" s="108"/>
      <c r="AW205" s="108"/>
      <c r="AX205" s="108" t="s">
        <v>97</v>
      </c>
      <c r="AY205" s="108" t="s">
        <v>98</v>
      </c>
      <c r="AZ205" s="108"/>
      <c r="BA205" s="108"/>
      <c r="BB205" s="108"/>
      <c r="BC205" s="108"/>
      <c r="BD205" s="111"/>
      <c r="BE205" s="111"/>
      <c r="BF205" s="111"/>
      <c r="BG205" s="111"/>
      <c r="BH205" s="111"/>
      <c r="BI205" s="111"/>
      <c r="BJ205" s="111"/>
      <c r="BK205" s="111"/>
      <c r="BL205" s="111"/>
      <c r="BM205" s="117" t="e">
        <v>#N/A</v>
      </c>
      <c r="BN205" s="111"/>
      <c r="BO205" s="117"/>
      <c r="BP205" s="117"/>
      <c r="BQ205" s="117"/>
      <c r="BR205" s="111"/>
      <c r="BS205" s="118"/>
      <c r="BT205" s="111"/>
      <c r="BU205" s="118"/>
      <c r="BV205" s="111"/>
      <c r="BW205" s="111"/>
      <c r="BX205" s="111"/>
      <c r="BY205" s="111"/>
      <c r="BZ205" s="111"/>
      <c r="CA205" s="111"/>
      <c r="CB205" s="119"/>
      <c r="CC205" s="117"/>
      <c r="CD205" s="120" t="e">
        <v>#N/A</v>
      </c>
      <c r="CE205" s="120" t="e">
        <v>#N/A</v>
      </c>
      <c r="CF205" s="120" t="e">
        <v>#N/A</v>
      </c>
      <c r="CG205" s="111"/>
      <c r="CH205" s="120" t="e">
        <v>#N/A</v>
      </c>
      <c r="CI205" s="120" t="e">
        <v>#N/A</v>
      </c>
      <c r="CJ205" s="111"/>
    </row>
    <row r="206" spans="1:88" ht="57.95" hidden="1">
      <c r="A206" s="106" t="s">
        <v>526</v>
      </c>
      <c r="B206" s="107">
        <v>0</v>
      </c>
      <c r="C206" s="107" t="e">
        <v>#N/A</v>
      </c>
      <c r="D206" s="107">
        <v>0</v>
      </c>
      <c r="E206" s="108"/>
      <c r="F206" s="109"/>
      <c r="G206" s="269"/>
      <c r="H206" s="151">
        <v>12217539</v>
      </c>
      <c r="I206" s="127">
        <f>Tracker6[[#This Row],[DCR ID - PTC]]</f>
        <v>12217539</v>
      </c>
      <c r="J206" s="108" t="s">
        <v>533</v>
      </c>
      <c r="K206" s="108"/>
      <c r="L206" s="108"/>
      <c r="M206" s="108"/>
      <c r="N206" s="122"/>
      <c r="O206" s="111"/>
      <c r="P206" s="111"/>
      <c r="Q206" s="111"/>
      <c r="R206" s="111"/>
      <c r="S206" s="111"/>
      <c r="T206" s="111"/>
      <c r="U206" s="108"/>
      <c r="V206" s="108"/>
      <c r="W206" s="108"/>
      <c r="X206" s="108"/>
      <c r="Y206" s="108"/>
      <c r="Z206" s="108"/>
      <c r="AA206" s="108"/>
      <c r="AB206" s="112"/>
      <c r="AC206" s="108"/>
      <c r="AD206" s="108" t="s">
        <v>146</v>
      </c>
      <c r="AE206" s="107"/>
      <c r="AF206" s="113"/>
      <c r="AG206" s="115"/>
      <c r="AH206" s="108" t="s">
        <v>350</v>
      </c>
      <c r="AI206" s="108" t="s">
        <v>101</v>
      </c>
      <c r="AJ206" s="114">
        <v>45322</v>
      </c>
      <c r="AK206" s="108" t="s">
        <v>96</v>
      </c>
      <c r="AL206" s="115">
        <v>45169.48170138889</v>
      </c>
      <c r="AM206" s="116"/>
      <c r="AN206" s="116"/>
      <c r="AO206" s="116" t="e">
        <v>#N/A</v>
      </c>
      <c r="AP206" s="108"/>
      <c r="AQ206" s="107"/>
      <c r="AR206" s="107"/>
      <c r="AS206" s="116"/>
      <c r="AT206" s="114"/>
      <c r="AU206" s="114"/>
      <c r="AV206" s="108"/>
      <c r="AW206" s="108"/>
      <c r="AX206" s="108" t="s">
        <v>97</v>
      </c>
      <c r="AY206" s="108" t="s">
        <v>98</v>
      </c>
      <c r="AZ206" s="108"/>
      <c r="BA206" s="108"/>
      <c r="BB206" s="108"/>
      <c r="BC206" s="108"/>
      <c r="BD206" s="111"/>
      <c r="BE206" s="111"/>
      <c r="BF206" s="111"/>
      <c r="BG206" s="111"/>
      <c r="BH206" s="111"/>
      <c r="BI206" s="111"/>
      <c r="BJ206" s="111"/>
      <c r="BK206" s="111"/>
      <c r="BL206" s="111"/>
      <c r="BM206" s="117" t="e">
        <v>#N/A</v>
      </c>
      <c r="BN206" s="111"/>
      <c r="BO206" s="117"/>
      <c r="BP206" s="117"/>
      <c r="BQ206" s="117"/>
      <c r="BR206" s="111"/>
      <c r="BS206" s="118"/>
      <c r="BT206" s="111"/>
      <c r="BU206" s="118"/>
      <c r="BV206" s="111"/>
      <c r="BW206" s="111"/>
      <c r="BX206" s="111"/>
      <c r="BY206" s="111"/>
      <c r="BZ206" s="111"/>
      <c r="CA206" s="111"/>
      <c r="CB206" s="119"/>
      <c r="CC206" s="117"/>
      <c r="CD206" s="123" t="e">
        <v>#N/A</v>
      </c>
      <c r="CE206" s="123" t="e">
        <v>#N/A</v>
      </c>
      <c r="CF206" s="123" t="e">
        <v>#N/A</v>
      </c>
      <c r="CG206" s="111"/>
      <c r="CH206" s="120" t="e">
        <v>#N/A</v>
      </c>
      <c r="CI206" s="123" t="e">
        <v>#N/A</v>
      </c>
      <c r="CJ206" s="111"/>
    </row>
    <row r="207" spans="1:88" ht="72.599999999999994" hidden="1">
      <c r="A207" s="106" t="s">
        <v>526</v>
      </c>
      <c r="B207" s="107">
        <v>0</v>
      </c>
      <c r="C207" s="49" t="e">
        <v>#N/A</v>
      </c>
      <c r="D207" s="107">
        <v>0</v>
      </c>
      <c r="E207" s="108"/>
      <c r="F207" s="108"/>
      <c r="G207" s="121"/>
      <c r="H207" s="151">
        <v>12341669</v>
      </c>
      <c r="I207" s="127">
        <f>Tracker6[[#This Row],[DCR ID - PTC]]</f>
        <v>12341669</v>
      </c>
      <c r="J207" s="108" t="s">
        <v>534</v>
      </c>
      <c r="K207" s="108"/>
      <c r="L207" s="108"/>
      <c r="M207" s="108"/>
      <c r="N207" s="110"/>
      <c r="O207" s="111"/>
      <c r="P207" s="111"/>
      <c r="Q207" s="111"/>
      <c r="R207" s="111"/>
      <c r="S207" s="111"/>
      <c r="T207" s="111"/>
      <c r="U207" s="108"/>
      <c r="V207" s="108"/>
      <c r="W207" s="108"/>
      <c r="X207" s="108"/>
      <c r="Y207" s="108"/>
      <c r="Z207" s="108"/>
      <c r="AA207" s="108"/>
      <c r="AB207" s="112"/>
      <c r="AC207" s="108"/>
      <c r="AD207" s="108" t="s">
        <v>93</v>
      </c>
      <c r="AE207" s="107"/>
      <c r="AF207" s="113"/>
      <c r="AG207" s="115"/>
      <c r="AH207" s="108" t="s">
        <v>109</v>
      </c>
      <c r="AI207" s="108" t="s">
        <v>95</v>
      </c>
      <c r="AJ207" s="114">
        <v>44128</v>
      </c>
      <c r="AK207" s="108" t="s">
        <v>96</v>
      </c>
      <c r="AL207" s="115">
        <v>45194.971817129626</v>
      </c>
      <c r="AM207" s="116"/>
      <c r="AN207" s="116"/>
      <c r="AO207" s="116" t="e">
        <v>#N/A</v>
      </c>
      <c r="AP207" s="108"/>
      <c r="AQ207" s="107"/>
      <c r="AR207" s="107"/>
      <c r="AS207" s="116"/>
      <c r="AT207" s="114"/>
      <c r="AU207" s="114"/>
      <c r="AV207" s="108"/>
      <c r="AW207" s="108"/>
      <c r="AX207" s="108" t="s">
        <v>97</v>
      </c>
      <c r="AY207" s="108" t="s">
        <v>98</v>
      </c>
      <c r="AZ207" s="108"/>
      <c r="BA207" s="108"/>
      <c r="BB207" s="108"/>
      <c r="BC207" s="108"/>
      <c r="BD207" s="111"/>
      <c r="BE207" s="111"/>
      <c r="BF207" s="111"/>
      <c r="BG207" s="111"/>
      <c r="BH207" s="111"/>
      <c r="BI207" s="111"/>
      <c r="BJ207" s="111"/>
      <c r="BK207" s="111"/>
      <c r="BL207" s="111"/>
      <c r="BM207" s="117" t="e">
        <v>#N/A</v>
      </c>
      <c r="BN207" s="111"/>
      <c r="BO207" s="117"/>
      <c r="BP207" s="117"/>
      <c r="BQ207" s="117"/>
      <c r="BR207" s="111"/>
      <c r="BS207" s="118"/>
      <c r="BT207" s="111"/>
      <c r="BU207" s="118"/>
      <c r="BV207" s="111"/>
      <c r="BW207" s="111"/>
      <c r="BX207" s="111"/>
      <c r="BY207" s="111"/>
      <c r="BZ207" s="111"/>
      <c r="CA207" s="111"/>
      <c r="CB207" s="119"/>
      <c r="CC207" s="117"/>
      <c r="CD207" s="120" t="e">
        <v>#N/A</v>
      </c>
      <c r="CE207" s="120" t="e">
        <v>#N/A</v>
      </c>
      <c r="CF207" s="120" t="e">
        <v>#N/A</v>
      </c>
      <c r="CG207" s="111"/>
      <c r="CH207" s="120" t="e">
        <v>#N/A</v>
      </c>
      <c r="CI207" s="120" t="e">
        <v>#N/A</v>
      </c>
      <c r="CJ207" s="111"/>
    </row>
    <row r="208" spans="1:88" ht="57.95" hidden="1">
      <c r="A208" s="106" t="s">
        <v>526</v>
      </c>
      <c r="B208" s="107">
        <v>0</v>
      </c>
      <c r="C208" s="49" t="e">
        <v>#N/A</v>
      </c>
      <c r="D208" s="107">
        <v>0</v>
      </c>
      <c r="E208" s="108"/>
      <c r="F208" s="108"/>
      <c r="G208" s="121"/>
      <c r="H208" s="151">
        <v>12341679</v>
      </c>
      <c r="I208" s="109">
        <f>Tracker6[[#This Row],[DCR ID - PTC]]</f>
        <v>12341679</v>
      </c>
      <c r="J208" s="108" t="s">
        <v>535</v>
      </c>
      <c r="K208" s="108"/>
      <c r="L208" s="108"/>
      <c r="M208" s="108"/>
      <c r="N208" s="108"/>
      <c r="O208" s="111"/>
      <c r="P208" s="111"/>
      <c r="Q208" s="111"/>
      <c r="R208" s="111"/>
      <c r="S208" s="111"/>
      <c r="T208" s="111"/>
      <c r="U208" s="108"/>
      <c r="V208" s="108"/>
      <c r="W208" s="108"/>
      <c r="X208" s="108"/>
      <c r="Y208" s="108"/>
      <c r="Z208" s="108"/>
      <c r="AA208" s="108"/>
      <c r="AB208" s="112"/>
      <c r="AC208" s="108"/>
      <c r="AD208" s="108" t="s">
        <v>93</v>
      </c>
      <c r="AE208" s="107"/>
      <c r="AF208" s="113"/>
      <c r="AG208" s="115"/>
      <c r="AH208" s="108" t="s">
        <v>109</v>
      </c>
      <c r="AI208" s="108" t="s">
        <v>95</v>
      </c>
      <c r="AJ208" s="114">
        <v>44165</v>
      </c>
      <c r="AK208" s="108" t="s">
        <v>96</v>
      </c>
      <c r="AL208" s="115">
        <v>45194.973993055559</v>
      </c>
      <c r="AM208" s="116"/>
      <c r="AN208" s="116"/>
      <c r="AO208" s="116" t="e">
        <v>#N/A</v>
      </c>
      <c r="AP208" s="108"/>
      <c r="AQ208" s="107"/>
      <c r="AR208" s="107"/>
      <c r="AS208" s="116"/>
      <c r="AT208" s="114"/>
      <c r="AU208" s="114"/>
      <c r="AV208" s="108"/>
      <c r="AW208" s="108"/>
      <c r="AX208" s="108" t="s">
        <v>97</v>
      </c>
      <c r="AY208" s="108" t="s">
        <v>98</v>
      </c>
      <c r="AZ208" s="108"/>
      <c r="BA208" s="108"/>
      <c r="BB208" s="108"/>
      <c r="BC208" s="108"/>
      <c r="BD208" s="111"/>
      <c r="BE208" s="111"/>
      <c r="BF208" s="111"/>
      <c r="BG208" s="111"/>
      <c r="BH208" s="111"/>
      <c r="BI208" s="111"/>
      <c r="BJ208" s="111"/>
      <c r="BK208" s="111"/>
      <c r="BL208" s="111"/>
      <c r="BM208" s="117" t="e">
        <v>#N/A</v>
      </c>
      <c r="BN208" s="111"/>
      <c r="BO208" s="117"/>
      <c r="BP208" s="117"/>
      <c r="BQ208" s="117"/>
      <c r="BR208" s="111"/>
      <c r="BS208" s="118"/>
      <c r="BT208" s="111"/>
      <c r="BU208" s="118"/>
      <c r="BV208" s="111"/>
      <c r="BW208" s="111"/>
      <c r="BX208" s="111"/>
      <c r="BY208" s="111"/>
      <c r="BZ208" s="111"/>
      <c r="CA208" s="111"/>
      <c r="CB208" s="119"/>
      <c r="CC208" s="117"/>
      <c r="CD208" s="120" t="e">
        <v>#N/A</v>
      </c>
      <c r="CE208" s="120" t="e">
        <v>#N/A</v>
      </c>
      <c r="CF208" s="120" t="e">
        <v>#N/A</v>
      </c>
      <c r="CG208" s="111"/>
      <c r="CH208" s="120" t="e">
        <v>#N/A</v>
      </c>
      <c r="CI208" s="120" t="e">
        <v>#N/A</v>
      </c>
      <c r="CJ208" s="111"/>
    </row>
    <row r="209" spans="1:88" ht="57.95" hidden="1">
      <c r="A209" s="106" t="s">
        <v>526</v>
      </c>
      <c r="B209" s="107">
        <v>0</v>
      </c>
      <c r="C209" s="107" t="e">
        <v>#N/A</v>
      </c>
      <c r="D209" s="107">
        <v>0</v>
      </c>
      <c r="E209" s="108"/>
      <c r="F209" s="108"/>
      <c r="G209" s="121"/>
      <c r="H209" s="151">
        <v>12487553</v>
      </c>
      <c r="I209" s="109">
        <f>Tracker6[[#This Row],[DCR ID - PTC]]</f>
        <v>12487553</v>
      </c>
      <c r="J209" s="108" t="s">
        <v>536</v>
      </c>
      <c r="K209" s="108"/>
      <c r="L209" s="108"/>
      <c r="M209" s="108"/>
      <c r="N209" s="108"/>
      <c r="O209" s="111"/>
      <c r="P209" s="111"/>
      <c r="Q209" s="111"/>
      <c r="R209" s="111"/>
      <c r="S209" s="111"/>
      <c r="T209" s="111"/>
      <c r="U209" s="108"/>
      <c r="V209" s="108"/>
      <c r="W209" s="108"/>
      <c r="X209" s="108"/>
      <c r="Y209" s="108"/>
      <c r="Z209" s="108"/>
      <c r="AA209" s="108"/>
      <c r="AB209" s="112"/>
      <c r="AC209" s="108"/>
      <c r="AD209" s="108" t="s">
        <v>146</v>
      </c>
      <c r="AE209" s="107"/>
      <c r="AF209" s="113"/>
      <c r="AG209" s="115"/>
      <c r="AH209" s="108" t="s">
        <v>109</v>
      </c>
      <c r="AI209" s="108" t="s">
        <v>95</v>
      </c>
      <c r="AJ209" s="114"/>
      <c r="AK209" s="108" t="s">
        <v>96</v>
      </c>
      <c r="AL209" s="115">
        <v>45218.549641203703</v>
      </c>
      <c r="AM209" s="116"/>
      <c r="AN209" s="116"/>
      <c r="AO209" s="116" t="e">
        <v>#N/A</v>
      </c>
      <c r="AP209" s="108"/>
      <c r="AQ209" s="107"/>
      <c r="AR209" s="107"/>
      <c r="AS209" s="116"/>
      <c r="AT209" s="114"/>
      <c r="AU209" s="114"/>
      <c r="AV209" s="108"/>
      <c r="AW209" s="108"/>
      <c r="AX209" s="108" t="s">
        <v>97</v>
      </c>
      <c r="AY209" s="108" t="s">
        <v>98</v>
      </c>
      <c r="AZ209" s="108"/>
      <c r="BA209" s="108"/>
      <c r="BB209" s="108"/>
      <c r="BC209" s="108"/>
      <c r="BD209" s="111"/>
      <c r="BE209" s="111"/>
      <c r="BF209" s="111"/>
      <c r="BG209" s="111"/>
      <c r="BH209" s="111"/>
      <c r="BI209" s="111"/>
      <c r="BJ209" s="111"/>
      <c r="BK209" s="111"/>
      <c r="BL209" s="111"/>
      <c r="BM209" s="117" t="e">
        <v>#N/A</v>
      </c>
      <c r="BN209" s="111"/>
      <c r="BO209" s="117"/>
      <c r="BP209" s="117"/>
      <c r="BQ209" s="117"/>
      <c r="BR209" s="111"/>
      <c r="BS209" s="118"/>
      <c r="BT209" s="111"/>
      <c r="BU209" s="118"/>
      <c r="BV209" s="111"/>
      <c r="BW209" s="111"/>
      <c r="BX209" s="111"/>
      <c r="BY209" s="111"/>
      <c r="BZ209" s="111"/>
      <c r="CA209" s="111"/>
      <c r="CB209" s="119"/>
      <c r="CC209" s="117"/>
      <c r="CD209" s="123" t="e">
        <v>#N/A</v>
      </c>
      <c r="CE209" s="123" t="e">
        <v>#N/A</v>
      </c>
      <c r="CF209" s="123" t="e">
        <v>#N/A</v>
      </c>
      <c r="CG209" s="111"/>
      <c r="CH209" s="120" t="e">
        <v>#N/A</v>
      </c>
      <c r="CI209" s="123" t="e">
        <v>#N/A</v>
      </c>
      <c r="CJ209" s="111"/>
    </row>
    <row r="210" spans="1:88" ht="57.95" hidden="1">
      <c r="A210" s="106" t="s">
        <v>526</v>
      </c>
      <c r="B210" s="107">
        <v>0</v>
      </c>
      <c r="C210" s="49" t="e">
        <v>#N/A</v>
      </c>
      <c r="D210" s="107">
        <v>0</v>
      </c>
      <c r="E210" s="108"/>
      <c r="F210" s="108"/>
      <c r="G210" s="121"/>
      <c r="H210" s="151">
        <v>12942193</v>
      </c>
      <c r="I210" s="127">
        <f>Tracker6[[#This Row],[DCR ID - PTC]]</f>
        <v>12942193</v>
      </c>
      <c r="J210" s="108" t="s">
        <v>537</v>
      </c>
      <c r="K210" s="108"/>
      <c r="L210" s="108" t="s">
        <v>538</v>
      </c>
      <c r="M210" s="108"/>
      <c r="N210" s="122"/>
      <c r="O210" s="111"/>
      <c r="P210" s="111"/>
      <c r="Q210" s="111"/>
      <c r="R210" s="111"/>
      <c r="S210" s="111"/>
      <c r="T210" s="111"/>
      <c r="U210" s="108"/>
      <c r="V210" s="108"/>
      <c r="W210" s="108"/>
      <c r="X210" s="108"/>
      <c r="Y210" s="108"/>
      <c r="Z210" s="108"/>
      <c r="AA210" s="108"/>
      <c r="AB210" s="112"/>
      <c r="AC210" s="108" t="s">
        <v>538</v>
      </c>
      <c r="AD210" s="108" t="s">
        <v>116</v>
      </c>
      <c r="AE210" s="107"/>
      <c r="AF210" s="113"/>
      <c r="AG210" s="115"/>
      <c r="AH210" s="108" t="s">
        <v>109</v>
      </c>
      <c r="AI210" s="108" t="s">
        <v>95</v>
      </c>
      <c r="AJ210" s="114">
        <v>43707</v>
      </c>
      <c r="AK210" s="108" t="s">
        <v>96</v>
      </c>
      <c r="AL210" s="115">
        <v>45301.824837962966</v>
      </c>
      <c r="AM210" s="116"/>
      <c r="AN210" s="116"/>
      <c r="AO210" s="116" t="e">
        <v>#N/A</v>
      </c>
      <c r="AP210" s="108"/>
      <c r="AQ210" s="107"/>
      <c r="AR210" s="107"/>
      <c r="AS210" s="116"/>
      <c r="AT210" s="114"/>
      <c r="AU210" s="114"/>
      <c r="AV210" s="108"/>
      <c r="AW210" s="108"/>
      <c r="AX210" s="108" t="s">
        <v>97</v>
      </c>
      <c r="AY210" s="108" t="s">
        <v>98</v>
      </c>
      <c r="AZ210" s="108"/>
      <c r="BA210" s="108"/>
      <c r="BB210" s="108"/>
      <c r="BC210" s="108"/>
      <c r="BD210" s="111"/>
      <c r="BE210" s="111"/>
      <c r="BF210" s="111"/>
      <c r="BG210" s="111"/>
      <c r="BH210" s="111"/>
      <c r="BI210" s="111"/>
      <c r="BJ210" s="111"/>
      <c r="BK210" s="111"/>
      <c r="BL210" s="111"/>
      <c r="BM210" s="117" t="e">
        <v>#N/A</v>
      </c>
      <c r="BN210" s="111"/>
      <c r="BO210" s="117"/>
      <c r="BP210" s="117"/>
      <c r="BQ210" s="117"/>
      <c r="BR210" s="111"/>
      <c r="BS210" s="118"/>
      <c r="BT210" s="111"/>
      <c r="BU210" s="118"/>
      <c r="BV210" s="111"/>
      <c r="BW210" s="111"/>
      <c r="BX210" s="111"/>
      <c r="BY210" s="111"/>
      <c r="BZ210" s="111"/>
      <c r="CA210" s="111"/>
      <c r="CB210" s="119"/>
      <c r="CC210" s="117"/>
      <c r="CD210" s="120" t="e">
        <v>#N/A</v>
      </c>
      <c r="CE210" s="120" t="e">
        <v>#N/A</v>
      </c>
      <c r="CF210" s="120" t="e">
        <v>#N/A</v>
      </c>
      <c r="CG210" s="111"/>
      <c r="CH210" s="120" t="e">
        <v>#N/A</v>
      </c>
      <c r="CI210" s="120" t="e">
        <v>#N/A</v>
      </c>
      <c r="CJ210" s="111"/>
    </row>
    <row r="211" spans="1:88" ht="72.599999999999994" hidden="1">
      <c r="A211" s="106" t="s">
        <v>526</v>
      </c>
      <c r="B211" s="49">
        <v>0</v>
      </c>
      <c r="C211" s="49" t="e">
        <v>#N/A</v>
      </c>
      <c r="D211" s="49">
        <v>0</v>
      </c>
      <c r="E211" s="134"/>
      <c r="F211" s="134"/>
      <c r="G211" s="150"/>
      <c r="H211" s="154">
        <v>12995062</v>
      </c>
      <c r="I211" s="149">
        <f>Tracker6[[#This Row],[DCR ID - PTC]]</f>
        <v>12995062</v>
      </c>
      <c r="J211" s="134" t="s">
        <v>539</v>
      </c>
      <c r="K211" s="134"/>
      <c r="L211" s="134"/>
      <c r="M211" s="134"/>
      <c r="N211" s="122"/>
      <c r="O211" s="123"/>
      <c r="P211" s="123"/>
      <c r="Q211" s="123"/>
      <c r="R211" s="123"/>
      <c r="S211" s="123"/>
      <c r="T211" s="123"/>
      <c r="U211" s="134"/>
      <c r="V211" s="134"/>
      <c r="W211" s="134"/>
      <c r="X211" s="134"/>
      <c r="Y211" s="134"/>
      <c r="Z211" s="134"/>
      <c r="AA211" s="134"/>
      <c r="AC211" s="134"/>
      <c r="AD211" s="134" t="s">
        <v>146</v>
      </c>
      <c r="AE211" s="49"/>
      <c r="AF211" s="136"/>
      <c r="AG211" s="137"/>
      <c r="AH211" s="134" t="s">
        <v>109</v>
      </c>
      <c r="AI211" s="134" t="s">
        <v>95</v>
      </c>
      <c r="AJ211" s="138">
        <v>45322</v>
      </c>
      <c r="AK211" s="134" t="s">
        <v>540</v>
      </c>
      <c r="AL211" s="137">
        <v>45307.641747685186</v>
      </c>
      <c r="AM211" s="139"/>
      <c r="AN211" s="139"/>
      <c r="AO211" s="116" t="e">
        <v>#N/A</v>
      </c>
      <c r="AP211" s="134"/>
      <c r="AQ211" s="49"/>
      <c r="AR211" s="49"/>
      <c r="AS211" s="139"/>
      <c r="AT211" s="138"/>
      <c r="AU211" s="138"/>
      <c r="AV211" s="134"/>
      <c r="AW211" s="134"/>
      <c r="AX211" s="108" t="s">
        <v>97</v>
      </c>
      <c r="AY211" s="108" t="s">
        <v>98</v>
      </c>
      <c r="AZ211" s="134"/>
      <c r="BA211" s="134"/>
      <c r="BB211" s="134"/>
      <c r="BC211" s="134"/>
      <c r="BD211" s="123"/>
      <c r="BE211" s="123"/>
      <c r="BF211" s="123"/>
      <c r="BG211" s="123"/>
      <c r="BH211" s="123"/>
      <c r="BI211" s="123"/>
      <c r="BJ211" s="123"/>
      <c r="BK211" s="123"/>
      <c r="BL211" s="123"/>
      <c r="BM211" s="117" t="e">
        <v>#N/A</v>
      </c>
      <c r="BN211" s="123"/>
      <c r="BO211" s="140"/>
      <c r="BP211" s="140"/>
      <c r="BQ211" s="140"/>
      <c r="BR211" s="123"/>
      <c r="BS211" s="141"/>
      <c r="BT211" s="123"/>
      <c r="BU211" s="141"/>
      <c r="BV211" s="123"/>
      <c r="BW211" s="123"/>
      <c r="BX211" s="123"/>
      <c r="BY211" s="123"/>
      <c r="BZ211" s="123"/>
      <c r="CA211" s="123"/>
      <c r="CB211" s="143"/>
      <c r="CC211" s="140"/>
      <c r="CD211" s="120" t="e">
        <v>#N/A</v>
      </c>
      <c r="CE211" s="120" t="e">
        <v>#N/A</v>
      </c>
      <c r="CF211" s="120" t="e">
        <v>#N/A</v>
      </c>
      <c r="CG211" s="123"/>
      <c r="CH211" s="120" t="e">
        <v>#N/A</v>
      </c>
      <c r="CI211" s="120" t="e">
        <v>#N/A</v>
      </c>
      <c r="CJ211" s="123"/>
    </row>
    <row r="212" spans="1:88" ht="57.95" hidden="1">
      <c r="A212" s="106" t="s">
        <v>526</v>
      </c>
      <c r="B212" s="49">
        <v>0</v>
      </c>
      <c r="C212" s="49" t="e">
        <v>#N/A</v>
      </c>
      <c r="D212" s="107">
        <v>0</v>
      </c>
      <c r="E212" s="134"/>
      <c r="F212" s="134"/>
      <c r="G212" s="150"/>
      <c r="H212" s="154">
        <v>13046388</v>
      </c>
      <c r="I212" s="149">
        <f>Tracker6[[#This Row],[DCR ID - PTC]]</f>
        <v>13046388</v>
      </c>
      <c r="J212" s="134" t="s">
        <v>541</v>
      </c>
      <c r="K212" s="134"/>
      <c r="L212" s="134"/>
      <c r="M212" s="134"/>
      <c r="N212" s="281"/>
      <c r="O212" s="123"/>
      <c r="P212" s="123"/>
      <c r="Q212" s="123"/>
      <c r="R212" s="123"/>
      <c r="S212" s="123"/>
      <c r="T212" s="123"/>
      <c r="U212" s="134"/>
      <c r="V212" s="134"/>
      <c r="W212" s="134"/>
      <c r="X212" s="134"/>
      <c r="Y212" s="134"/>
      <c r="Z212" s="134"/>
      <c r="AA212" s="134"/>
      <c r="AC212" s="134"/>
      <c r="AD212" s="134" t="s">
        <v>116</v>
      </c>
      <c r="AE212" s="49"/>
      <c r="AF212" s="137"/>
      <c r="AG212" s="137"/>
      <c r="AH212" s="134" t="s">
        <v>109</v>
      </c>
      <c r="AI212" s="134" t="s">
        <v>95</v>
      </c>
      <c r="AJ212" s="138">
        <v>45443</v>
      </c>
      <c r="AK212" s="134" t="s">
        <v>96</v>
      </c>
      <c r="AL212" s="137">
        <v>45315.811631944445</v>
      </c>
      <c r="AM212" s="139"/>
      <c r="AN212" s="139"/>
      <c r="AO212" s="116" t="e">
        <v>#N/A</v>
      </c>
      <c r="AP212" s="134"/>
      <c r="AQ212" s="49"/>
      <c r="AR212" s="49"/>
      <c r="AS212" s="139"/>
      <c r="AT212" s="138"/>
      <c r="AU212" s="138"/>
      <c r="AV212" s="134"/>
      <c r="AW212" s="134"/>
      <c r="AX212" s="108" t="s">
        <v>97</v>
      </c>
      <c r="AY212" s="108" t="s">
        <v>98</v>
      </c>
      <c r="AZ212" s="134"/>
      <c r="BA212" s="134"/>
      <c r="BB212" s="134"/>
      <c r="BC212" s="134"/>
      <c r="BD212" s="123"/>
      <c r="BE212" s="123"/>
      <c r="BF212" s="123"/>
      <c r="BG212" s="123"/>
      <c r="BH212" s="123"/>
      <c r="BI212" s="123"/>
      <c r="BJ212" s="123"/>
      <c r="BK212" s="123"/>
      <c r="BL212" s="123"/>
      <c r="BM212" s="117" t="e">
        <v>#N/A</v>
      </c>
      <c r="BN212" s="123"/>
      <c r="BO212" s="140"/>
      <c r="BP212" s="140"/>
      <c r="BQ212" s="140"/>
      <c r="BR212" s="123"/>
      <c r="BS212" s="141"/>
      <c r="BT212" s="123"/>
      <c r="BU212" s="141"/>
      <c r="BV212" s="123"/>
      <c r="BW212" s="123"/>
      <c r="BX212" s="123"/>
      <c r="BY212" s="123"/>
      <c r="BZ212" s="123"/>
      <c r="CA212" s="123"/>
      <c r="CB212" s="143"/>
      <c r="CC212" s="140"/>
      <c r="CD212" s="120" t="e">
        <v>#N/A</v>
      </c>
      <c r="CE212" s="120" t="e">
        <v>#N/A</v>
      </c>
      <c r="CF212" s="120" t="e">
        <v>#N/A</v>
      </c>
      <c r="CG212" s="123"/>
      <c r="CH212" s="120" t="e">
        <v>#N/A</v>
      </c>
      <c r="CI212" s="120" t="e">
        <v>#N/A</v>
      </c>
      <c r="CJ212" s="123"/>
    </row>
    <row r="213" spans="1:88" ht="57.95" hidden="1">
      <c r="A213" s="106" t="s">
        <v>526</v>
      </c>
      <c r="B213" s="49">
        <v>0</v>
      </c>
      <c r="C213" s="49" t="e">
        <v>#N/A</v>
      </c>
      <c r="D213" s="107">
        <v>0</v>
      </c>
      <c r="E213" s="134"/>
      <c r="F213" s="134"/>
      <c r="G213" s="150"/>
      <c r="H213" s="154">
        <v>13071268</v>
      </c>
      <c r="I213" s="149">
        <f>Tracker6[[#This Row],[DCR ID - PTC]]</f>
        <v>13071268</v>
      </c>
      <c r="J213" s="134" t="s">
        <v>542</v>
      </c>
      <c r="K213" s="134"/>
      <c r="L213" s="134" t="s">
        <v>332</v>
      </c>
      <c r="M213" s="134"/>
      <c r="N213" s="108"/>
      <c r="O213" s="123"/>
      <c r="P213" s="123"/>
      <c r="Q213" s="123"/>
      <c r="R213" s="123"/>
      <c r="S213" s="123"/>
      <c r="T213" s="123"/>
      <c r="U213" s="134"/>
      <c r="V213" s="134"/>
      <c r="W213" s="134"/>
      <c r="X213" s="134"/>
      <c r="Y213" s="134"/>
      <c r="Z213" s="134"/>
      <c r="AA213" s="134"/>
      <c r="AC213" s="134" t="s">
        <v>332</v>
      </c>
      <c r="AD213" s="134" t="s">
        <v>146</v>
      </c>
      <c r="AE213" s="49"/>
      <c r="AF213" s="136"/>
      <c r="AG213" s="137"/>
      <c r="AH213" s="134" t="s">
        <v>109</v>
      </c>
      <c r="AI213" s="134" t="s">
        <v>95</v>
      </c>
      <c r="AJ213" s="138">
        <v>45443</v>
      </c>
      <c r="AK213" s="134" t="s">
        <v>96</v>
      </c>
      <c r="AL213" s="137">
        <v>45321.825127314813</v>
      </c>
      <c r="AM213" s="139"/>
      <c r="AN213" s="139"/>
      <c r="AO213" s="116" t="e">
        <v>#N/A</v>
      </c>
      <c r="AP213" s="134"/>
      <c r="AQ213" s="49"/>
      <c r="AR213" s="49"/>
      <c r="AS213" s="139"/>
      <c r="AT213" s="138"/>
      <c r="AU213" s="138"/>
      <c r="AV213" s="134"/>
      <c r="AW213" s="134"/>
      <c r="AX213" s="108" t="s">
        <v>97</v>
      </c>
      <c r="AY213" s="108" t="s">
        <v>98</v>
      </c>
      <c r="AZ213" s="134"/>
      <c r="BA213" s="134"/>
      <c r="BB213" s="134"/>
      <c r="BC213" s="134"/>
      <c r="BD213" s="123"/>
      <c r="BE213" s="123"/>
      <c r="BF213" s="123"/>
      <c r="BG213" s="123"/>
      <c r="BH213" s="123"/>
      <c r="BI213" s="123"/>
      <c r="BJ213" s="123"/>
      <c r="BK213" s="123"/>
      <c r="BL213" s="123"/>
      <c r="BM213" s="117" t="e">
        <v>#N/A</v>
      </c>
      <c r="BN213" s="123"/>
      <c r="BO213" s="140"/>
      <c r="BP213" s="140"/>
      <c r="BQ213" s="140"/>
      <c r="BR213" s="123"/>
      <c r="BS213" s="141"/>
      <c r="BT213" s="123"/>
      <c r="BU213" s="141"/>
      <c r="BV213" s="123"/>
      <c r="BW213" s="123"/>
      <c r="BX213" s="123"/>
      <c r="BY213" s="123"/>
      <c r="BZ213" s="123"/>
      <c r="CA213" s="123"/>
      <c r="CB213" s="143"/>
      <c r="CC213" s="140"/>
      <c r="CD213" s="120" t="e">
        <v>#N/A</v>
      </c>
      <c r="CE213" s="120" t="e">
        <v>#N/A</v>
      </c>
      <c r="CF213" s="120" t="e">
        <v>#N/A</v>
      </c>
      <c r="CG213" s="123"/>
      <c r="CH213" s="120" t="e">
        <v>#N/A</v>
      </c>
      <c r="CI213" s="120" t="e">
        <v>#N/A</v>
      </c>
      <c r="CJ213" s="123"/>
    </row>
    <row r="214" spans="1:88" ht="57.95" hidden="1">
      <c r="A214" s="106" t="s">
        <v>526</v>
      </c>
      <c r="B214" s="49">
        <v>0</v>
      </c>
      <c r="C214" s="49" t="e">
        <v>#N/A</v>
      </c>
      <c r="D214" s="107">
        <v>0</v>
      </c>
      <c r="E214" s="134"/>
      <c r="F214" s="134"/>
      <c r="G214" s="150"/>
      <c r="H214" s="154">
        <v>13079054</v>
      </c>
      <c r="I214" s="149">
        <f>Tracker6[[#This Row],[DCR ID - PTC]]</f>
        <v>13079054</v>
      </c>
      <c r="J214" s="134" t="s">
        <v>543</v>
      </c>
      <c r="K214" s="134"/>
      <c r="L214" s="134"/>
      <c r="M214" s="134"/>
      <c r="N214" s="128"/>
      <c r="O214" s="123"/>
      <c r="P214" s="123"/>
      <c r="Q214" s="123"/>
      <c r="R214" s="123"/>
      <c r="S214" s="123"/>
      <c r="T214" s="123"/>
      <c r="U214" s="134"/>
      <c r="V214" s="134"/>
      <c r="W214" s="134"/>
      <c r="X214" s="134"/>
      <c r="Y214" s="134"/>
      <c r="Z214" s="134"/>
      <c r="AA214" s="134"/>
      <c r="AC214" s="134"/>
      <c r="AD214" s="134" t="s">
        <v>93</v>
      </c>
      <c r="AE214" s="49"/>
      <c r="AF214" s="136"/>
      <c r="AG214" s="137"/>
      <c r="AH214" s="134" t="s">
        <v>109</v>
      </c>
      <c r="AI214" s="134" t="s">
        <v>95</v>
      </c>
      <c r="AJ214" s="138">
        <v>45443</v>
      </c>
      <c r="AK214" s="134" t="s">
        <v>96</v>
      </c>
      <c r="AL214" s="137">
        <v>45323.142013888886</v>
      </c>
      <c r="AM214" s="139"/>
      <c r="AN214" s="139"/>
      <c r="AO214" s="116" t="e">
        <v>#N/A</v>
      </c>
      <c r="AP214" s="134"/>
      <c r="AQ214" s="49"/>
      <c r="AR214" s="49"/>
      <c r="AS214" s="139"/>
      <c r="AT214" s="138"/>
      <c r="AU214" s="138"/>
      <c r="AV214" s="134"/>
      <c r="AW214" s="134"/>
      <c r="AX214" s="108" t="s">
        <v>97</v>
      </c>
      <c r="AY214" s="108" t="s">
        <v>98</v>
      </c>
      <c r="AZ214" s="134"/>
      <c r="BA214" s="134"/>
      <c r="BB214" s="134"/>
      <c r="BC214" s="134"/>
      <c r="BD214" s="123"/>
      <c r="BE214" s="123"/>
      <c r="BF214" s="123"/>
      <c r="BG214" s="123"/>
      <c r="BH214" s="123"/>
      <c r="BI214" s="123"/>
      <c r="BJ214" s="123"/>
      <c r="BK214" s="123"/>
      <c r="BL214" s="123"/>
      <c r="BM214" s="117" t="e">
        <v>#N/A</v>
      </c>
      <c r="BN214" s="123"/>
      <c r="BO214" s="140"/>
      <c r="BP214" s="140"/>
      <c r="BQ214" s="140"/>
      <c r="BR214" s="123"/>
      <c r="BS214" s="141"/>
      <c r="BT214" s="123"/>
      <c r="BU214" s="141"/>
      <c r="BV214" s="123"/>
      <c r="BW214" s="123"/>
      <c r="BX214" s="123"/>
      <c r="BY214" s="123"/>
      <c r="BZ214" s="123"/>
      <c r="CA214" s="123"/>
      <c r="CB214" s="143"/>
      <c r="CC214" s="140"/>
      <c r="CD214" s="120" t="e">
        <v>#N/A</v>
      </c>
      <c r="CE214" s="120" t="e">
        <v>#N/A</v>
      </c>
      <c r="CF214" s="120" t="e">
        <v>#N/A</v>
      </c>
      <c r="CG214" s="123"/>
      <c r="CH214" s="120" t="e">
        <v>#N/A</v>
      </c>
      <c r="CI214" s="120" t="e">
        <v>#N/A</v>
      </c>
      <c r="CJ214" s="123"/>
    </row>
    <row r="215" spans="1:88" ht="57.95" hidden="1">
      <c r="A215" s="145" t="s">
        <v>526</v>
      </c>
      <c r="B215" s="107">
        <v>0</v>
      </c>
      <c r="C215" s="49" t="e">
        <v>#N/A</v>
      </c>
      <c r="D215" s="130">
        <v>0</v>
      </c>
      <c r="E215" s="108"/>
      <c r="F215" s="108"/>
      <c r="G215" s="121"/>
      <c r="H215" s="154">
        <v>13151019</v>
      </c>
      <c r="I215" s="135">
        <f>Tracker6[[#This Row],[DCR ID - PTC]]</f>
        <v>13151019</v>
      </c>
      <c r="J215" s="276" t="s">
        <v>544</v>
      </c>
      <c r="K215" s="108"/>
      <c r="L215" s="108" t="s">
        <v>332</v>
      </c>
      <c r="M215" s="108"/>
      <c r="N215" s="108"/>
      <c r="O215" s="111"/>
      <c r="P215" s="111"/>
      <c r="Q215" s="111"/>
      <c r="R215" s="111"/>
      <c r="S215" s="111"/>
      <c r="T215" s="111"/>
      <c r="U215" s="108"/>
      <c r="V215" s="108"/>
      <c r="W215" s="108"/>
      <c r="X215" s="108"/>
      <c r="Y215" s="108"/>
      <c r="Z215" s="108"/>
      <c r="AA215" s="108"/>
      <c r="AB215" s="112"/>
      <c r="AC215" s="108" t="s">
        <v>332</v>
      </c>
      <c r="AD215" s="108" t="s">
        <v>146</v>
      </c>
      <c r="AE215" s="107"/>
      <c r="AF215" s="115"/>
      <c r="AG215" s="115"/>
      <c r="AH215" s="108" t="s">
        <v>109</v>
      </c>
      <c r="AI215" s="108" t="s">
        <v>95</v>
      </c>
      <c r="AJ215" s="114">
        <v>45412</v>
      </c>
      <c r="AK215" s="108" t="s">
        <v>96</v>
      </c>
      <c r="AL215" s="115">
        <v>45336.427673611113</v>
      </c>
      <c r="AM215" s="116"/>
      <c r="AN215" s="116"/>
      <c r="AO215" s="116" t="e">
        <v>#N/A</v>
      </c>
      <c r="AP215" s="108"/>
      <c r="AQ215" s="107"/>
      <c r="AR215" s="107"/>
      <c r="AS215" s="116"/>
      <c r="AT215" s="114"/>
      <c r="AU215" s="114"/>
      <c r="AV215" s="108"/>
      <c r="AW215" s="108"/>
      <c r="AX215" s="108" t="s">
        <v>97</v>
      </c>
      <c r="AY215" s="108" t="s">
        <v>98</v>
      </c>
      <c r="AZ215" s="108"/>
      <c r="BA215" s="108"/>
      <c r="BB215" s="108"/>
      <c r="BC215" s="108"/>
      <c r="BD215" s="111"/>
      <c r="BE215" s="111"/>
      <c r="BF215" s="111"/>
      <c r="BG215" s="111"/>
      <c r="BH215" s="111"/>
      <c r="BI215" s="111"/>
      <c r="BJ215" s="111"/>
      <c r="BK215" s="111"/>
      <c r="BL215" s="111"/>
      <c r="BM215" s="117" t="e">
        <v>#N/A</v>
      </c>
      <c r="BN215" s="111"/>
      <c r="BO215" s="117"/>
      <c r="BP215" s="117"/>
      <c r="BQ215" s="117"/>
      <c r="BR215" s="111"/>
      <c r="BS215" s="118"/>
      <c r="BT215" s="111"/>
      <c r="BU215" s="118"/>
      <c r="BV215" s="111"/>
      <c r="BW215" s="111"/>
      <c r="BX215" s="111"/>
      <c r="BY215" s="111"/>
      <c r="BZ215" s="111"/>
      <c r="CA215" s="111"/>
      <c r="CB215" s="119"/>
      <c r="CC215" s="117"/>
      <c r="CD215" s="120" t="e">
        <v>#N/A</v>
      </c>
      <c r="CE215" s="120" t="e">
        <v>#N/A</v>
      </c>
      <c r="CF215" s="120" t="e">
        <v>#N/A</v>
      </c>
      <c r="CG215" s="111"/>
      <c r="CH215" s="120" t="e">
        <v>#N/A</v>
      </c>
      <c r="CI215" s="120" t="e">
        <v>#N/A</v>
      </c>
      <c r="CJ215" s="111"/>
    </row>
    <row r="216" spans="1:88" ht="57.95" hidden="1">
      <c r="A216" s="145" t="s">
        <v>526</v>
      </c>
      <c r="B216" s="107">
        <v>0</v>
      </c>
      <c r="C216" s="49" t="e">
        <v>#N/A</v>
      </c>
      <c r="D216" s="107">
        <v>0</v>
      </c>
      <c r="E216" s="108"/>
      <c r="F216" s="108"/>
      <c r="G216" s="121"/>
      <c r="H216" s="155">
        <v>13173306</v>
      </c>
      <c r="I216" s="127">
        <f>Tracker6[[#This Row],[DCR ID - PTC]]</f>
        <v>13173306</v>
      </c>
      <c r="J216" s="290" t="s">
        <v>545</v>
      </c>
      <c r="K216" s="108"/>
      <c r="L216" s="108"/>
      <c r="M216" s="108"/>
      <c r="N216" s="110"/>
      <c r="O216" s="111"/>
      <c r="P216" s="111"/>
      <c r="Q216" s="111"/>
      <c r="R216" s="111"/>
      <c r="S216" s="111"/>
      <c r="T216" s="111"/>
      <c r="U216" s="108"/>
      <c r="V216" s="108"/>
      <c r="W216" s="108"/>
      <c r="X216" s="108"/>
      <c r="Y216" s="108"/>
      <c r="Z216" s="108"/>
      <c r="AA216" s="108"/>
      <c r="AB216" s="112"/>
      <c r="AC216" s="108"/>
      <c r="AD216" s="108" t="s">
        <v>93</v>
      </c>
      <c r="AE216" s="107"/>
      <c r="AF216" s="113"/>
      <c r="AG216" s="115"/>
      <c r="AH216" s="108" t="s">
        <v>109</v>
      </c>
      <c r="AI216" s="108" t="s">
        <v>95</v>
      </c>
      <c r="AJ216" s="114">
        <v>45565</v>
      </c>
      <c r="AK216" s="108" t="s">
        <v>96</v>
      </c>
      <c r="AL216" s="115">
        <v>45341.643483796295</v>
      </c>
      <c r="AM216" s="116"/>
      <c r="AN216" s="116"/>
      <c r="AO216" s="116" t="e">
        <v>#N/A</v>
      </c>
      <c r="AP216" s="108"/>
      <c r="AQ216" s="107"/>
      <c r="AR216" s="107"/>
      <c r="AS216" s="116"/>
      <c r="AT216" s="114"/>
      <c r="AU216" s="114"/>
      <c r="AV216" s="108"/>
      <c r="AW216" s="108"/>
      <c r="AX216" s="108" t="s">
        <v>97</v>
      </c>
      <c r="AY216" s="108" t="s">
        <v>98</v>
      </c>
      <c r="AZ216" s="108"/>
      <c r="BA216" s="108"/>
      <c r="BB216" s="108"/>
      <c r="BC216" s="108"/>
      <c r="BD216" s="111"/>
      <c r="BE216" s="111"/>
      <c r="BF216" s="111"/>
      <c r="BG216" s="111"/>
      <c r="BH216" s="111"/>
      <c r="BI216" s="111"/>
      <c r="BJ216" s="111"/>
      <c r="BK216" s="111"/>
      <c r="BL216" s="111"/>
      <c r="BM216" s="117" t="e">
        <v>#N/A</v>
      </c>
      <c r="BN216" s="111"/>
      <c r="BO216" s="117"/>
      <c r="BP216" s="117"/>
      <c r="BQ216" s="117"/>
      <c r="BR216" s="111"/>
      <c r="BS216" s="118"/>
      <c r="BT216" s="111"/>
      <c r="BU216" s="118"/>
      <c r="BV216" s="111"/>
      <c r="BW216" s="111"/>
      <c r="BX216" s="111"/>
      <c r="BY216" s="111"/>
      <c r="BZ216" s="111"/>
      <c r="CA216" s="111"/>
      <c r="CB216" s="119"/>
      <c r="CC216" s="117"/>
      <c r="CD216" s="120" t="e">
        <v>#N/A</v>
      </c>
      <c r="CE216" s="120" t="e">
        <v>#N/A</v>
      </c>
      <c r="CF216" s="120" t="e">
        <v>#N/A</v>
      </c>
      <c r="CG216" s="111"/>
      <c r="CH216" s="120" t="e">
        <v>#N/A</v>
      </c>
      <c r="CI216" s="120" t="e">
        <v>#N/A</v>
      </c>
      <c r="CJ216" s="111"/>
    </row>
    <row r="217" spans="1:88" ht="72.599999999999994" hidden="1">
      <c r="A217" s="106" t="s">
        <v>526</v>
      </c>
      <c r="B217" s="107">
        <v>0</v>
      </c>
      <c r="C217" s="49" t="e">
        <v>#N/A</v>
      </c>
      <c r="D217" s="107">
        <v>0</v>
      </c>
      <c r="E217" s="108"/>
      <c r="F217" s="108"/>
      <c r="G217" s="121"/>
      <c r="H217" s="151">
        <v>13318844</v>
      </c>
      <c r="I217" s="127">
        <f>Tracker6[[#This Row],[DCR ID - PTC]]</f>
        <v>13318844</v>
      </c>
      <c r="J217" s="108" t="s">
        <v>546</v>
      </c>
      <c r="K217" s="108"/>
      <c r="L217" s="108" t="s">
        <v>531</v>
      </c>
      <c r="M217" s="108"/>
      <c r="N217" s="128"/>
      <c r="O217" s="111"/>
      <c r="P217" s="111"/>
      <c r="Q217" s="111"/>
      <c r="R217" s="111"/>
      <c r="S217" s="111"/>
      <c r="T217" s="111"/>
      <c r="U217" s="108"/>
      <c r="V217" s="108"/>
      <c r="W217" s="108"/>
      <c r="X217" s="108"/>
      <c r="Y217" s="108"/>
      <c r="Z217" s="108"/>
      <c r="AA217" s="108"/>
      <c r="AB217" s="112"/>
      <c r="AC217" s="108" t="s">
        <v>531</v>
      </c>
      <c r="AD217" s="108" t="s">
        <v>93</v>
      </c>
      <c r="AE217" s="107"/>
      <c r="AF217" s="113"/>
      <c r="AG217" s="115"/>
      <c r="AH217" s="108" t="s">
        <v>109</v>
      </c>
      <c r="AI217" s="108" t="s">
        <v>95</v>
      </c>
      <c r="AJ217" s="114">
        <v>44685</v>
      </c>
      <c r="AK217" s="108" t="s">
        <v>96</v>
      </c>
      <c r="AL217" s="115">
        <v>45364.987951388888</v>
      </c>
      <c r="AM217" s="116"/>
      <c r="AN217" s="116"/>
      <c r="AO217" s="116" t="e">
        <v>#N/A</v>
      </c>
      <c r="AP217" s="108"/>
      <c r="AQ217" s="107"/>
      <c r="AR217" s="107"/>
      <c r="AS217" s="116"/>
      <c r="AT217" s="114"/>
      <c r="AU217" s="114"/>
      <c r="AV217" s="108"/>
      <c r="AW217" s="108"/>
      <c r="AX217" s="108" t="s">
        <v>97</v>
      </c>
      <c r="AY217" s="108" t="s">
        <v>98</v>
      </c>
      <c r="AZ217" s="108"/>
      <c r="BA217" s="108"/>
      <c r="BB217" s="108"/>
      <c r="BC217" s="108"/>
      <c r="BD217" s="111"/>
      <c r="BE217" s="111"/>
      <c r="BF217" s="111"/>
      <c r="BG217" s="111"/>
      <c r="BH217" s="111"/>
      <c r="BI217" s="111"/>
      <c r="BJ217" s="111"/>
      <c r="BK217" s="111"/>
      <c r="BL217" s="111"/>
      <c r="BM217" s="117" t="e">
        <v>#N/A</v>
      </c>
      <c r="BN217" s="111"/>
      <c r="BO217" s="117"/>
      <c r="BP217" s="117"/>
      <c r="BQ217" s="117"/>
      <c r="BR217" s="111"/>
      <c r="BS217" s="118"/>
      <c r="BT217" s="111"/>
      <c r="BU217" s="118"/>
      <c r="BV217" s="111"/>
      <c r="BW217" s="111"/>
      <c r="BX217" s="111"/>
      <c r="BY217" s="111"/>
      <c r="BZ217" s="111"/>
      <c r="CA217" s="111"/>
      <c r="CB217" s="119"/>
      <c r="CC217" s="117"/>
      <c r="CD217" s="120" t="e">
        <v>#N/A</v>
      </c>
      <c r="CE217" s="120" t="e">
        <v>#N/A</v>
      </c>
      <c r="CF217" s="120" t="e">
        <v>#N/A</v>
      </c>
      <c r="CG217" s="111"/>
      <c r="CH217" s="120" t="e">
        <v>#N/A</v>
      </c>
      <c r="CI217" s="120" t="e">
        <v>#N/A</v>
      </c>
      <c r="CJ217" s="111"/>
    </row>
    <row r="218" spans="1:88" ht="57.95" hidden="1" customHeight="1">
      <c r="A218" s="106" t="s">
        <v>547</v>
      </c>
      <c r="B218" s="107"/>
      <c r="C218" s="49" t="e">
        <v>#N/A</v>
      </c>
      <c r="D218" s="107">
        <v>0</v>
      </c>
      <c r="E218" s="108"/>
      <c r="F218" s="108"/>
      <c r="G218" s="121"/>
      <c r="H218" s="151">
        <v>17936998</v>
      </c>
      <c r="I218" s="127">
        <f>Tracker6[[#This Row],[DCR ID - PTC]]</f>
        <v>17936998</v>
      </c>
      <c r="J218" s="108" t="s">
        <v>548</v>
      </c>
      <c r="K218" s="108" t="s">
        <v>101</v>
      </c>
      <c r="L218" s="108"/>
      <c r="M218" s="108"/>
      <c r="N218" s="110"/>
      <c r="O218" s="111" t="s">
        <v>122</v>
      </c>
      <c r="P218" s="116"/>
      <c r="Q218" s="111"/>
      <c r="R218" s="111"/>
      <c r="S218" s="111"/>
      <c r="T218" s="111"/>
      <c r="U218" s="108"/>
      <c r="V218" s="108"/>
      <c r="W218" s="108"/>
      <c r="X218" s="108"/>
      <c r="Y218" s="108"/>
      <c r="Z218" s="108"/>
      <c r="AA218" s="108" t="s">
        <v>253</v>
      </c>
      <c r="AB218" s="112"/>
      <c r="AC218" s="108"/>
      <c r="AD218" s="108" t="s">
        <v>93</v>
      </c>
      <c r="AE218" s="107"/>
      <c r="AF218" s="113"/>
      <c r="AG218" s="115"/>
      <c r="AH218" s="108" t="s">
        <v>100</v>
      </c>
      <c r="AI218" s="108" t="s">
        <v>101</v>
      </c>
      <c r="AJ218" s="114">
        <v>46053.452488425923</v>
      </c>
      <c r="AK218" s="108" t="s">
        <v>96</v>
      </c>
      <c r="AL218" s="115">
        <v>45975.453148148146</v>
      </c>
      <c r="AM218" s="116"/>
      <c r="AN218" s="116"/>
      <c r="AO218" s="116" t="e">
        <v>#N/A</v>
      </c>
      <c r="AP218" s="108"/>
      <c r="AQ218" s="107"/>
      <c r="AR218" s="107"/>
      <c r="AS218" s="116"/>
      <c r="AT218" s="114"/>
      <c r="AU218" s="114"/>
      <c r="AV218" s="108"/>
      <c r="AW218" s="108"/>
      <c r="AX218" s="108" t="s">
        <v>97</v>
      </c>
      <c r="AY218" s="108" t="s">
        <v>98</v>
      </c>
      <c r="AZ218" s="108"/>
      <c r="BA218" s="108"/>
      <c r="BB218" s="108"/>
      <c r="BC218" s="108"/>
      <c r="BD218" s="111"/>
      <c r="BE218" s="111"/>
      <c r="BF218" s="111"/>
      <c r="BG218" s="111"/>
      <c r="BH218" s="111"/>
      <c r="BI218" s="111"/>
      <c r="BJ218" s="111"/>
      <c r="BK218" s="111"/>
      <c r="BL218" s="111"/>
      <c r="BM218" s="117" t="e">
        <v>#N/A</v>
      </c>
      <c r="BN218" s="111"/>
      <c r="BO218" s="117"/>
      <c r="BP218" s="117"/>
      <c r="BQ218" s="117"/>
      <c r="BR218" s="111"/>
      <c r="BS218" s="118"/>
      <c r="BT218" s="111"/>
      <c r="BU218" s="118"/>
      <c r="BV218" s="111"/>
      <c r="BW218" s="111"/>
      <c r="BX218" s="111"/>
      <c r="BY218" s="111"/>
      <c r="BZ218" s="111"/>
      <c r="CA218" s="111"/>
      <c r="CB218" s="119"/>
      <c r="CC218" s="117"/>
      <c r="CD218" s="120" t="e">
        <v>#N/A</v>
      </c>
      <c r="CE218" s="120" t="e">
        <v>#N/A</v>
      </c>
      <c r="CF218" s="120" t="e">
        <v>#N/A</v>
      </c>
      <c r="CG218" s="111"/>
      <c r="CH218" s="120" t="e">
        <v>#N/A</v>
      </c>
      <c r="CI218" s="120" t="e">
        <v>#N/A</v>
      </c>
      <c r="CJ218" s="277"/>
    </row>
    <row r="219" spans="1:88" ht="62.45" hidden="1" customHeight="1">
      <c r="A219" s="106" t="s">
        <v>549</v>
      </c>
      <c r="B219" s="107">
        <v>0</v>
      </c>
      <c r="C219" s="49">
        <v>51</v>
      </c>
      <c r="D219" s="107">
        <f>Tracker6[[#This Row],[Estimated Hrs]]-Tracker6[[#This Row],[Actual Efforts (Hrs)]]</f>
        <v>51</v>
      </c>
      <c r="E219" s="108"/>
      <c r="F219" s="108" t="s">
        <v>127</v>
      </c>
      <c r="G219" s="269"/>
      <c r="H219" s="272">
        <v>17728181</v>
      </c>
      <c r="I219" s="135">
        <f>Tracker6[[#This Row],[DCR ID - PTC]]</f>
        <v>17728181</v>
      </c>
      <c r="J219" s="147" t="s">
        <v>550</v>
      </c>
      <c r="K219" s="108" t="s">
        <v>101</v>
      </c>
      <c r="L219" s="108" t="s">
        <v>131</v>
      </c>
      <c r="M219" s="108"/>
      <c r="N219" s="108"/>
      <c r="O219" s="111" t="s">
        <v>122</v>
      </c>
      <c r="P219" s="111"/>
      <c r="Q219" s="111"/>
      <c r="R219" s="111"/>
      <c r="S219" s="111"/>
      <c r="T219" s="111"/>
      <c r="U219" s="108"/>
      <c r="V219" s="108"/>
      <c r="W219" s="108"/>
      <c r="X219" s="108"/>
      <c r="Y219" s="108"/>
      <c r="Z219" s="108"/>
      <c r="AA219" s="108" t="s">
        <v>130</v>
      </c>
      <c r="AB219" s="112"/>
      <c r="AC219" s="108" t="s">
        <v>131</v>
      </c>
      <c r="AD219" s="108" t="s">
        <v>93</v>
      </c>
      <c r="AE219" s="107"/>
      <c r="AF219" s="113"/>
      <c r="AG219" s="115">
        <v>45996.721550925926</v>
      </c>
      <c r="AH219" s="108" t="s">
        <v>94</v>
      </c>
      <c r="AI219" s="108" t="s">
        <v>95</v>
      </c>
      <c r="AJ219" s="114">
        <v>45976.395833333336</v>
      </c>
      <c r="AK219" s="108" t="s">
        <v>96</v>
      </c>
      <c r="AL219" s="115">
        <v>45947.7034375</v>
      </c>
      <c r="AM219" s="116"/>
      <c r="AN219" s="116"/>
      <c r="AO219" s="116" t="e">
        <v>#N/A</v>
      </c>
      <c r="AP219" s="108"/>
      <c r="AQ219" s="107"/>
      <c r="AR219" s="107"/>
      <c r="AS219" s="116"/>
      <c r="AT219" s="114"/>
      <c r="AU219" s="114"/>
      <c r="AV219" s="108"/>
      <c r="AW219" s="108"/>
      <c r="AX219" s="108" t="s">
        <v>97</v>
      </c>
      <c r="AY219" s="108" t="s">
        <v>98</v>
      </c>
      <c r="AZ219" s="108"/>
      <c r="BA219" s="108"/>
      <c r="BB219" s="108"/>
      <c r="BC219" s="108"/>
      <c r="BD219" s="111"/>
      <c r="BE219" s="111"/>
      <c r="BF219" s="111"/>
      <c r="BG219" s="111"/>
      <c r="BH219" s="111"/>
      <c r="BI219" s="111"/>
      <c r="BJ219" s="111"/>
      <c r="BK219" s="111"/>
      <c r="BL219" s="111"/>
      <c r="BM219" s="117" t="e">
        <v>#N/A</v>
      </c>
      <c r="BN219" s="111"/>
      <c r="BO219" s="117"/>
      <c r="BP219" s="117"/>
      <c r="BQ219" s="117"/>
      <c r="BR219" s="111"/>
      <c r="BS219" s="118"/>
      <c r="BT219" s="111"/>
      <c r="BU219" s="118"/>
      <c r="BV219" s="111"/>
      <c r="BW219" s="111"/>
      <c r="BX219" s="111"/>
      <c r="BY219" s="111"/>
      <c r="BZ219" s="111"/>
      <c r="CA219" s="111"/>
      <c r="CB219" s="119"/>
      <c r="CC219" s="117"/>
      <c r="CD219" s="120" t="e">
        <v>#N/A</v>
      </c>
      <c r="CE219" s="120" t="e">
        <v>#N/A</v>
      </c>
      <c r="CF219" s="120" t="e">
        <v>#N/A</v>
      </c>
      <c r="CG219" s="111"/>
      <c r="CH219" s="120" t="e">
        <v>#N/A</v>
      </c>
      <c r="CI219" s="120" t="e">
        <v>#N/A</v>
      </c>
      <c r="CJ219" s="111"/>
    </row>
    <row r="220" spans="1:88" ht="57.95" hidden="1" customHeight="1">
      <c r="A220" s="106" t="s">
        <v>551</v>
      </c>
      <c r="B220" s="107">
        <f>2.5+3+3.5+4.5+4+4.5+5+6.5+7.5+10.5+7+5+2+4+7+7+7+7.5+8+6.5</f>
        <v>112.5</v>
      </c>
      <c r="C220" s="49" t="e">
        <v>#N/A</v>
      </c>
      <c r="D220" s="107"/>
      <c r="E220" s="108"/>
      <c r="F220" s="108"/>
      <c r="G220" s="121"/>
      <c r="H220" s="154">
        <v>17808035</v>
      </c>
      <c r="I220" s="135">
        <f>Tracker6[[#This Row],[DCR ID - PTC]]</f>
        <v>17808035</v>
      </c>
      <c r="J220" s="147" t="s">
        <v>552</v>
      </c>
      <c r="K220" s="108" t="s">
        <v>101</v>
      </c>
      <c r="L220" s="108"/>
      <c r="M220" s="108"/>
      <c r="N220" s="110" t="s">
        <v>553</v>
      </c>
      <c r="O220" s="111" t="s">
        <v>115</v>
      </c>
      <c r="P220" s="111"/>
      <c r="Q220" s="111"/>
      <c r="R220" s="111"/>
      <c r="S220" s="111"/>
      <c r="T220" s="111"/>
      <c r="U220" s="108"/>
      <c r="V220" s="108"/>
      <c r="W220" s="108"/>
      <c r="X220" s="108"/>
      <c r="Y220" s="108"/>
      <c r="Z220" s="108"/>
      <c r="AA220" s="108" t="s">
        <v>253</v>
      </c>
      <c r="AB220" s="112"/>
      <c r="AC220" s="108"/>
      <c r="AD220" s="108" t="s">
        <v>93</v>
      </c>
      <c r="AE220" s="107"/>
      <c r="AF220" s="113"/>
      <c r="AG220" s="115"/>
      <c r="AH220" s="108" t="s">
        <v>100</v>
      </c>
      <c r="AI220" s="108" t="s">
        <v>101</v>
      </c>
      <c r="AJ220" s="114">
        <v>46053.473229166666</v>
      </c>
      <c r="AK220" s="108" t="s">
        <v>96</v>
      </c>
      <c r="AL220" s="115">
        <v>45965.475497685184</v>
      </c>
      <c r="AM220" s="116"/>
      <c r="AN220" s="116"/>
      <c r="AO220" s="116" t="e">
        <v>#N/A</v>
      </c>
      <c r="AP220" s="108"/>
      <c r="AQ220" s="107"/>
      <c r="AR220" s="107"/>
      <c r="AS220" s="116"/>
      <c r="AT220" s="114"/>
      <c r="AU220" s="114"/>
      <c r="AV220" s="108"/>
      <c r="AW220" s="108"/>
      <c r="AX220" s="108" t="s">
        <v>97</v>
      </c>
      <c r="AY220" s="108" t="s">
        <v>98</v>
      </c>
      <c r="AZ220" s="108"/>
      <c r="BA220" s="108"/>
      <c r="BB220" s="108"/>
      <c r="BC220" s="108"/>
      <c r="BD220" s="111"/>
      <c r="BE220" s="111"/>
      <c r="BF220" s="111"/>
      <c r="BG220" s="111"/>
      <c r="BH220" s="111"/>
      <c r="BI220" s="111"/>
      <c r="BJ220" s="111"/>
      <c r="BK220" s="111"/>
      <c r="BL220" s="111"/>
      <c r="BM220" s="117" t="e">
        <v>#N/A</v>
      </c>
      <c r="BN220" s="111"/>
      <c r="BO220" s="117"/>
      <c r="BP220" s="117"/>
      <c r="BQ220" s="117"/>
      <c r="BR220" s="111"/>
      <c r="BS220" s="118"/>
      <c r="BT220" s="111"/>
      <c r="BU220" s="118"/>
      <c r="BV220" s="111"/>
      <c r="BW220" s="111"/>
      <c r="BX220" s="111"/>
      <c r="BY220" s="111"/>
      <c r="BZ220" s="111"/>
      <c r="CA220" s="111"/>
      <c r="CB220" s="119"/>
      <c r="CC220" s="117"/>
      <c r="CD220" s="120" t="e">
        <v>#N/A</v>
      </c>
      <c r="CE220" s="120" t="e">
        <v>#N/A</v>
      </c>
      <c r="CF220" s="120" t="e">
        <v>#N/A</v>
      </c>
      <c r="CG220" s="111"/>
      <c r="CH220" s="120" t="e">
        <v>#N/A</v>
      </c>
      <c r="CI220" s="120" t="e">
        <v>#N/A</v>
      </c>
      <c r="CJ220" s="111"/>
    </row>
    <row r="221" spans="1:88" ht="409.5" hidden="1">
      <c r="A221" s="106" t="s">
        <v>554</v>
      </c>
      <c r="B221" s="107">
        <f>7+6.5+7+6.5+4+7+7+3+7+7+5+4+3+4+3+3.5+2.5+4.5+3+2</f>
        <v>96.5</v>
      </c>
      <c r="C221" s="49">
        <v>37</v>
      </c>
      <c r="D221" s="107">
        <f>Tracker6[[#This Row],[Estimated Hrs]]-Tracker6[[#This Row],[Actual Efforts (Hrs)]]</f>
        <v>-59.5</v>
      </c>
      <c r="E221" s="108"/>
      <c r="F221" s="108"/>
      <c r="G221" s="121"/>
      <c r="H221" s="127">
        <v>18638081</v>
      </c>
      <c r="I221" s="127">
        <v>18638081</v>
      </c>
      <c r="J221" s="108" t="s">
        <v>555</v>
      </c>
      <c r="K221" s="108" t="s">
        <v>118</v>
      </c>
      <c r="L221" s="108"/>
      <c r="M221" s="108"/>
      <c r="N221" s="110" t="s">
        <v>556</v>
      </c>
      <c r="O221" s="111" t="s">
        <v>115</v>
      </c>
      <c r="P221" s="111"/>
      <c r="Q221" s="111"/>
      <c r="R221" s="111"/>
      <c r="S221" s="111"/>
      <c r="T221" s="111"/>
      <c r="U221" s="108"/>
      <c r="V221" s="108"/>
      <c r="W221" s="108"/>
      <c r="X221" s="108"/>
      <c r="Y221" s="108"/>
      <c r="Z221" s="108"/>
      <c r="AA221" s="108"/>
      <c r="AB221" s="112"/>
      <c r="AC221" s="108"/>
      <c r="AD221" s="108"/>
      <c r="AE221" s="107"/>
      <c r="AF221" s="113"/>
      <c r="AG221" s="115"/>
      <c r="AH221" s="108"/>
      <c r="AI221" s="108"/>
      <c r="AJ221" s="114"/>
      <c r="AK221" s="108"/>
      <c r="AL221" s="115"/>
      <c r="AM221" s="116"/>
      <c r="AN221" s="116"/>
      <c r="AO221" s="116">
        <v>46115</v>
      </c>
      <c r="AP221" s="108"/>
      <c r="AQ221" s="107"/>
      <c r="AR221" s="107"/>
      <c r="AS221" s="116"/>
      <c r="AT221" s="114"/>
      <c r="AU221" s="114"/>
      <c r="AV221" s="108"/>
      <c r="AW221" s="108"/>
      <c r="AX221" s="108" t="s">
        <v>97</v>
      </c>
      <c r="AY221" s="108" t="s">
        <v>98</v>
      </c>
      <c r="AZ221" s="108"/>
      <c r="BA221" s="108"/>
      <c r="BB221" s="108"/>
      <c r="BC221" s="108"/>
      <c r="BD221" s="111"/>
      <c r="BE221" s="111"/>
      <c r="BF221" s="111"/>
      <c r="BG221" s="111"/>
      <c r="BH221" s="111"/>
      <c r="BI221" s="111"/>
      <c r="BJ221" s="111"/>
      <c r="BK221" s="111"/>
      <c r="BL221" s="111"/>
      <c r="BM221" s="117" t="s">
        <v>557</v>
      </c>
      <c r="BN221" s="111"/>
      <c r="BO221" s="117"/>
      <c r="BP221" s="117"/>
      <c r="BQ221" s="117"/>
      <c r="BR221" s="111"/>
      <c r="BS221" s="118"/>
      <c r="BT221" s="111"/>
      <c r="BU221" s="118"/>
      <c r="BV221" s="111"/>
      <c r="BW221" s="111"/>
      <c r="BX221" s="111"/>
      <c r="BY221" s="111"/>
      <c r="BZ221" s="111"/>
      <c r="CA221" s="111"/>
      <c r="CB221" s="119">
        <v>0.96499999999999997</v>
      </c>
      <c r="CC221" s="117"/>
      <c r="CD221" s="120">
        <v>46086</v>
      </c>
      <c r="CE221" s="323" t="s">
        <v>558</v>
      </c>
      <c r="CF221" s="120">
        <v>46092</v>
      </c>
      <c r="CG221" s="111"/>
      <c r="CH221" s="120" t="s">
        <v>265</v>
      </c>
      <c r="CI221" s="120" t="s">
        <v>125</v>
      </c>
      <c r="CJ221" s="111"/>
    </row>
    <row r="222" spans="1:88" ht="87.6" hidden="1" customHeight="1">
      <c r="A222" s="106" t="s">
        <v>554</v>
      </c>
      <c r="B222" s="107">
        <f>3+4+3+3+4.5+4+3+3+2.5+3.5+2.5+4+1+2.5+2+7+5.5+5.5+7+1+1+1</f>
        <v>73.5</v>
      </c>
      <c r="C222" s="49">
        <v>65</v>
      </c>
      <c r="D222" s="107">
        <f>Tracker6[[#This Row],[Estimated Hrs]]-Tracker6[[#This Row],[Actual Efforts (Hrs)]]</f>
        <v>-8.5</v>
      </c>
      <c r="E222" s="108"/>
      <c r="F222" s="108"/>
      <c r="G222" s="121"/>
      <c r="H222" s="135">
        <v>18638085</v>
      </c>
      <c r="I222" s="135">
        <v>18638085</v>
      </c>
      <c r="J222" s="147" t="s">
        <v>559</v>
      </c>
      <c r="K222" s="108" t="s">
        <v>118</v>
      </c>
      <c r="L222" s="108"/>
      <c r="M222" s="108"/>
      <c r="N222" s="110" t="s">
        <v>560</v>
      </c>
      <c r="O222" s="111" t="s">
        <v>115</v>
      </c>
      <c r="P222" s="111"/>
      <c r="Q222" s="111"/>
      <c r="R222" s="111"/>
      <c r="S222" s="111"/>
      <c r="T222" s="111"/>
      <c r="U222" s="108"/>
      <c r="V222" s="108"/>
      <c r="W222" s="108"/>
      <c r="X222" s="108"/>
      <c r="Y222" s="108"/>
      <c r="Z222" s="108"/>
      <c r="AA222" s="108"/>
      <c r="AB222" s="112"/>
      <c r="AC222" s="108"/>
      <c r="AD222" s="108"/>
      <c r="AE222" s="107"/>
      <c r="AF222" s="113"/>
      <c r="AG222" s="115"/>
      <c r="AH222" s="108"/>
      <c r="AI222" s="108"/>
      <c r="AJ222" s="114"/>
      <c r="AK222" s="108"/>
      <c r="AL222" s="115"/>
      <c r="AM222" s="116"/>
      <c r="AN222" s="116"/>
      <c r="AO222" s="116">
        <v>46115</v>
      </c>
      <c r="AP222" s="108"/>
      <c r="AQ222" s="107"/>
      <c r="AR222" s="107"/>
      <c r="AS222" s="116"/>
      <c r="AT222" s="114"/>
      <c r="AU222" s="114"/>
      <c r="AV222" s="108"/>
      <c r="AW222" s="108"/>
      <c r="AX222" s="108" t="s">
        <v>97</v>
      </c>
      <c r="AY222" s="108" t="s">
        <v>98</v>
      </c>
      <c r="AZ222" s="108"/>
      <c r="BA222" s="108"/>
      <c r="BB222" s="108"/>
      <c r="BC222" s="108"/>
      <c r="BD222" s="111"/>
      <c r="BE222" s="111"/>
      <c r="BF222" s="111"/>
      <c r="BG222" s="111"/>
      <c r="BH222" s="111"/>
      <c r="BI222" s="111"/>
      <c r="BJ222" s="111"/>
      <c r="BK222" s="111"/>
      <c r="BL222" s="111"/>
      <c r="BM222" s="117" t="s">
        <v>557</v>
      </c>
      <c r="BN222" s="111"/>
      <c r="BO222" s="117"/>
      <c r="BP222" s="117"/>
      <c r="BQ222" s="117"/>
      <c r="BR222" s="111"/>
      <c r="BS222" s="118"/>
      <c r="BT222" s="111"/>
      <c r="BU222" s="118"/>
      <c r="BV222" s="111"/>
      <c r="BW222" s="111"/>
      <c r="BX222" s="111"/>
      <c r="BY222" s="111"/>
      <c r="BZ222" s="111"/>
      <c r="CA222" s="111"/>
      <c r="CB222" s="119">
        <v>0.96499999999999997</v>
      </c>
      <c r="CC222" s="117"/>
      <c r="CD222" s="120">
        <v>46086</v>
      </c>
      <c r="CE222" s="120">
        <v>46090</v>
      </c>
      <c r="CF222" s="120">
        <v>46092</v>
      </c>
      <c r="CG222" s="111"/>
      <c r="CH222" s="120" t="s">
        <v>265</v>
      </c>
      <c r="CI222" s="120" t="s">
        <v>125</v>
      </c>
      <c r="CJ222" s="111"/>
    </row>
    <row r="223" spans="1:88" ht="130.5" hidden="1">
      <c r="A223" s="252" t="s">
        <v>554</v>
      </c>
      <c r="B223" s="49">
        <f>1.5</f>
        <v>1.5</v>
      </c>
      <c r="C223" s="49">
        <v>75</v>
      </c>
      <c r="D223" s="107">
        <f>Tracker6[[#This Row],[Estimated Hrs]]-Tracker6[[#This Row],[Actual Efforts (Hrs)]]</f>
        <v>73.5</v>
      </c>
      <c r="E223" s="134"/>
      <c r="F223" s="134"/>
      <c r="G223" s="150"/>
      <c r="H223" s="149">
        <v>18644553</v>
      </c>
      <c r="I223" s="149">
        <v>18644553</v>
      </c>
      <c r="J223" s="49" t="s">
        <v>561</v>
      </c>
      <c r="K223" s="134" t="s">
        <v>118</v>
      </c>
      <c r="L223" s="134"/>
      <c r="M223" s="134"/>
      <c r="N223" s="134" t="s">
        <v>562</v>
      </c>
      <c r="O223" s="111" t="s">
        <v>115</v>
      </c>
      <c r="P223" s="123"/>
      <c r="Q223" s="123"/>
      <c r="R223" s="123"/>
      <c r="S223" s="123"/>
      <c r="T223" s="123"/>
      <c r="U223" s="134"/>
      <c r="V223" s="134"/>
      <c r="W223" s="134"/>
      <c r="X223" s="134"/>
      <c r="Y223" s="134"/>
      <c r="Z223" s="134"/>
      <c r="AA223" s="134"/>
      <c r="AC223" s="134"/>
      <c r="AD223" s="134"/>
      <c r="AE223" s="49"/>
      <c r="AF223" s="136"/>
      <c r="AG223" s="137"/>
      <c r="AH223" s="134"/>
      <c r="AI223" s="134"/>
      <c r="AJ223" s="138"/>
      <c r="AK223" s="134"/>
      <c r="AL223" s="137"/>
      <c r="AM223" s="139"/>
      <c r="AN223" s="139"/>
      <c r="AO223" s="338" t="s">
        <v>563</v>
      </c>
      <c r="AP223" s="134"/>
      <c r="AQ223" s="49"/>
      <c r="AR223" s="49"/>
      <c r="AS223" s="139"/>
      <c r="AT223" s="138"/>
      <c r="AU223" s="138"/>
      <c r="AV223" s="134"/>
      <c r="AW223" s="134"/>
      <c r="AX223" s="108" t="s">
        <v>97</v>
      </c>
      <c r="AY223" s="108" t="s">
        <v>98</v>
      </c>
      <c r="AZ223" s="134"/>
      <c r="BA223" s="134"/>
      <c r="BB223" s="134"/>
      <c r="BC223" s="134"/>
      <c r="BD223" s="123"/>
      <c r="BE223" s="123"/>
      <c r="BF223" s="123"/>
      <c r="BG223" s="123"/>
      <c r="BH223" s="123"/>
      <c r="BI223" s="123"/>
      <c r="BJ223" s="123"/>
      <c r="BK223" s="123"/>
      <c r="BL223" s="123"/>
      <c r="BM223" s="117" t="s">
        <v>564</v>
      </c>
      <c r="BN223" s="123"/>
      <c r="BO223" s="140"/>
      <c r="BP223" s="140"/>
      <c r="BQ223" s="140"/>
      <c r="BR223" s="123"/>
      <c r="BS223" s="141"/>
      <c r="BT223" s="123"/>
      <c r="BU223" s="141"/>
      <c r="BV223" s="123"/>
      <c r="BW223" s="123"/>
      <c r="BX223" s="123"/>
      <c r="BY223" s="123"/>
      <c r="BZ223" s="123"/>
      <c r="CA223" s="123"/>
      <c r="CB223" s="143">
        <v>0.01</v>
      </c>
      <c r="CC223" s="140"/>
      <c r="CD223" s="120">
        <v>46112</v>
      </c>
      <c r="CE223" s="120">
        <v>46114</v>
      </c>
      <c r="CF223" s="120">
        <v>46118</v>
      </c>
      <c r="CG223" s="123"/>
      <c r="CH223" s="120" t="s">
        <v>265</v>
      </c>
      <c r="CI223" s="120" t="s">
        <v>125</v>
      </c>
      <c r="CJ223" s="123"/>
    </row>
    <row r="224" spans="1:88" ht="409.5" hidden="1">
      <c r="A224" s="310" t="s">
        <v>554</v>
      </c>
      <c r="B224" s="49">
        <f>4+2.5+7+6+4+2.5+2+1+1+0.5+1+1+0.5+1.5+1+1+1</f>
        <v>37.5</v>
      </c>
      <c r="C224" s="49">
        <v>37</v>
      </c>
      <c r="D224" s="107">
        <f>Tracker6[[#This Row],[Estimated Hrs]]-Tracker6[[#This Row],[Actual Efforts (Hrs)]]</f>
        <v>-0.5</v>
      </c>
      <c r="E224" s="134"/>
      <c r="F224" s="134"/>
      <c r="G224" s="149">
        <v>18644099</v>
      </c>
      <c r="H224" s="149">
        <v>18644099</v>
      </c>
      <c r="I224" s="149">
        <v>18644099</v>
      </c>
      <c r="J224" s="49" t="s">
        <v>565</v>
      </c>
      <c r="K224" s="134" t="s">
        <v>118</v>
      </c>
      <c r="L224" s="134"/>
      <c r="M224" s="134"/>
      <c r="N224" s="280" t="s">
        <v>566</v>
      </c>
      <c r="O224" s="111" t="s">
        <v>115</v>
      </c>
      <c r="P224" s="123"/>
      <c r="Q224" s="123"/>
      <c r="R224" s="123"/>
      <c r="S224" s="123"/>
      <c r="T224" s="123"/>
      <c r="U224" s="134"/>
      <c r="V224" s="134"/>
      <c r="W224" s="134"/>
      <c r="X224" s="134"/>
      <c r="Y224" s="134"/>
      <c r="Z224" s="134"/>
      <c r="AA224" s="134"/>
      <c r="AC224" s="134"/>
      <c r="AD224" s="134"/>
      <c r="AE224" s="49"/>
      <c r="AF224" s="136"/>
      <c r="AG224" s="137"/>
      <c r="AH224" s="134"/>
      <c r="AI224" s="134"/>
      <c r="AJ224" s="138"/>
      <c r="AK224" s="134"/>
      <c r="AL224" s="137"/>
      <c r="AM224" s="139"/>
      <c r="AN224" s="139"/>
      <c r="AO224" s="116">
        <v>46122</v>
      </c>
      <c r="AP224" s="134"/>
      <c r="AQ224" s="49"/>
      <c r="AR224" s="49"/>
      <c r="AS224" s="139"/>
      <c r="AT224" s="138"/>
      <c r="AU224" s="138"/>
      <c r="AV224" s="134"/>
      <c r="AW224" s="134"/>
      <c r="AX224" s="108" t="s">
        <v>97</v>
      </c>
      <c r="AY224" s="108" t="s">
        <v>98</v>
      </c>
      <c r="AZ224" s="134"/>
      <c r="BA224" s="134"/>
      <c r="BB224" s="134"/>
      <c r="BC224" s="134"/>
      <c r="BD224" s="123"/>
      <c r="BE224" s="123"/>
      <c r="BF224" s="123"/>
      <c r="BG224" s="123"/>
      <c r="BH224" s="123"/>
      <c r="BI224" s="123"/>
      <c r="BJ224" s="123"/>
      <c r="BK224" s="123"/>
      <c r="BL224" s="123"/>
      <c r="BM224" s="117" t="s">
        <v>564</v>
      </c>
      <c r="BN224" s="123"/>
      <c r="BO224" s="140"/>
      <c r="BP224" s="140"/>
      <c r="BQ224" s="140"/>
      <c r="BR224" s="123"/>
      <c r="BS224" s="141"/>
      <c r="BT224" s="123"/>
      <c r="BU224" s="141"/>
      <c r="BV224" s="123"/>
      <c r="BW224" s="123"/>
      <c r="BX224" s="123"/>
      <c r="BY224" s="123"/>
      <c r="BZ224" s="123"/>
      <c r="CA224" s="123"/>
      <c r="CB224" s="143">
        <v>0.4</v>
      </c>
      <c r="CC224" s="140"/>
      <c r="CD224" s="120">
        <v>46112</v>
      </c>
      <c r="CE224" s="120">
        <v>46114</v>
      </c>
      <c r="CF224" s="120">
        <v>46118</v>
      </c>
      <c r="CG224" s="123"/>
      <c r="CH224" s="120" t="s">
        <v>265</v>
      </c>
      <c r="CI224" s="120" t="s">
        <v>125</v>
      </c>
      <c r="CJ224" s="123"/>
    </row>
    <row r="225" spans="1:88" ht="188.45" hidden="1">
      <c r="A225" s="252" t="s">
        <v>554</v>
      </c>
      <c r="B225" s="49">
        <f>5.5+4+5+7+6</f>
        <v>27.5</v>
      </c>
      <c r="C225" s="49">
        <v>30</v>
      </c>
      <c r="D225" s="107">
        <f>Tracker6[[#This Row],[Estimated Hrs]]-Tracker6[[#This Row],[Actual Efforts (Hrs)]]</f>
        <v>2.5</v>
      </c>
      <c r="E225" s="134"/>
      <c r="F225" s="134"/>
      <c r="G225" s="150"/>
      <c r="H225" s="149">
        <v>18491042</v>
      </c>
      <c r="I225" s="149">
        <v>18491042</v>
      </c>
      <c r="J225" s="49" t="s">
        <v>567</v>
      </c>
      <c r="K225" s="134" t="s">
        <v>118</v>
      </c>
      <c r="L225" s="134"/>
      <c r="M225" s="134"/>
      <c r="N225" s="134" t="s">
        <v>568</v>
      </c>
      <c r="O225" s="111" t="s">
        <v>115</v>
      </c>
      <c r="P225" s="123"/>
      <c r="Q225" s="123"/>
      <c r="R225" s="123"/>
      <c r="S225" s="123"/>
      <c r="T225" s="123"/>
      <c r="U225" s="134"/>
      <c r="V225" s="134"/>
      <c r="W225" s="134"/>
      <c r="X225" s="134"/>
      <c r="Y225" s="134"/>
      <c r="Z225" s="134"/>
      <c r="AA225" s="134"/>
      <c r="AC225" s="134"/>
      <c r="AD225" s="134"/>
      <c r="AE225" s="49"/>
      <c r="AF225" s="136"/>
      <c r="AG225" s="137"/>
      <c r="AH225" s="134"/>
      <c r="AI225" s="134"/>
      <c r="AJ225" s="138"/>
      <c r="AK225" s="134"/>
      <c r="AL225" s="137"/>
      <c r="AM225" s="139"/>
      <c r="AN225" s="139"/>
      <c r="AO225" s="116">
        <v>46129</v>
      </c>
      <c r="AP225" s="134"/>
      <c r="AQ225" s="49"/>
      <c r="AR225" s="49"/>
      <c r="AS225" s="139"/>
      <c r="AT225" s="138"/>
      <c r="AU225" s="138"/>
      <c r="AV225" s="134"/>
      <c r="AW225" s="134"/>
      <c r="AX225" s="108" t="s">
        <v>97</v>
      </c>
      <c r="AY225" s="108" t="s">
        <v>98</v>
      </c>
      <c r="AZ225" s="134"/>
      <c r="BA225" s="134"/>
      <c r="BB225" s="134"/>
      <c r="BC225" s="134"/>
      <c r="BD225" s="123"/>
      <c r="BE225" s="123"/>
      <c r="BF225" s="123"/>
      <c r="BG225" s="123"/>
      <c r="BH225" s="123"/>
      <c r="BI225" s="123"/>
      <c r="BJ225" s="123"/>
      <c r="BK225" s="123"/>
      <c r="BL225" s="123"/>
      <c r="BM225" s="117" t="s">
        <v>569</v>
      </c>
      <c r="BN225" s="123"/>
      <c r="BO225" s="140"/>
      <c r="BP225" s="140"/>
      <c r="BQ225" s="140"/>
      <c r="BR225" s="123"/>
      <c r="BS225" s="141"/>
      <c r="BT225" s="123"/>
      <c r="BU225" s="141"/>
      <c r="BV225" s="123"/>
      <c r="BW225" s="123"/>
      <c r="BX225" s="123"/>
      <c r="BY225" s="123"/>
      <c r="BZ225" s="123"/>
      <c r="CA225" s="123"/>
      <c r="CB225" s="143">
        <v>0.94499999999999995</v>
      </c>
      <c r="CC225" s="140"/>
      <c r="CD225" s="120">
        <v>46120</v>
      </c>
      <c r="CE225" s="120">
        <v>46122</v>
      </c>
      <c r="CF225" s="120">
        <v>46126</v>
      </c>
      <c r="CG225" s="123"/>
      <c r="CH225" s="120" t="s">
        <v>265</v>
      </c>
      <c r="CI225" s="120" t="s">
        <v>125</v>
      </c>
      <c r="CJ225" s="123"/>
    </row>
    <row r="226" spans="1:88" ht="130.5" hidden="1">
      <c r="A226" s="252" t="s">
        <v>554</v>
      </c>
      <c r="B226" s="49">
        <f>1.5</f>
        <v>1.5</v>
      </c>
      <c r="C226" s="49">
        <v>20</v>
      </c>
      <c r="D226" s="107">
        <f>Tracker6[[#This Row],[Estimated Hrs]]-Tracker6[[#This Row],[Actual Efforts (Hrs)]]</f>
        <v>18.5</v>
      </c>
      <c r="E226" s="134"/>
      <c r="F226" s="134"/>
      <c r="G226" s="150"/>
      <c r="H226" s="149">
        <v>18388314</v>
      </c>
      <c r="I226" s="149">
        <v>18388314</v>
      </c>
      <c r="J226" s="49" t="s">
        <v>570</v>
      </c>
      <c r="K226" s="134" t="s">
        <v>118</v>
      </c>
      <c r="L226" s="134"/>
      <c r="M226" s="134"/>
      <c r="N226" s="134" t="s">
        <v>571</v>
      </c>
      <c r="O226" s="111" t="s">
        <v>115</v>
      </c>
      <c r="P226" s="123"/>
      <c r="Q226" s="123"/>
      <c r="R226" s="123"/>
      <c r="S226" s="123"/>
      <c r="T226" s="123"/>
      <c r="U226" s="134"/>
      <c r="V226" s="134"/>
      <c r="W226" s="134"/>
      <c r="X226" s="134"/>
      <c r="Y226" s="134"/>
      <c r="Z226" s="134"/>
      <c r="AA226" s="134"/>
      <c r="AC226" s="134"/>
      <c r="AD226" s="134"/>
      <c r="AE226" s="49"/>
      <c r="AF226" s="136"/>
      <c r="AG226" s="137"/>
      <c r="AH226" s="134"/>
      <c r="AI226" s="134"/>
      <c r="AJ226" s="138"/>
      <c r="AK226" s="134"/>
      <c r="AL226" s="137"/>
      <c r="AM226" s="139"/>
      <c r="AN226" s="139"/>
      <c r="AO226" s="116">
        <v>46129</v>
      </c>
      <c r="AP226" s="134"/>
      <c r="AQ226" s="49"/>
      <c r="AR226" s="49"/>
      <c r="AS226" s="139"/>
      <c r="AT226" s="138"/>
      <c r="AU226" s="138"/>
      <c r="AV226" s="134"/>
      <c r="AW226" s="134"/>
      <c r="AX226" s="108" t="s">
        <v>97</v>
      </c>
      <c r="AY226" s="108" t="s">
        <v>98</v>
      </c>
      <c r="AZ226" s="134"/>
      <c r="BA226" s="134"/>
      <c r="BB226" s="134"/>
      <c r="BC226" s="134"/>
      <c r="BD226" s="123"/>
      <c r="BE226" s="123"/>
      <c r="BF226" s="123"/>
      <c r="BG226" s="123"/>
      <c r="BH226" s="123"/>
      <c r="BI226" s="123"/>
      <c r="BJ226" s="123"/>
      <c r="BK226" s="123"/>
      <c r="BL226" s="123"/>
      <c r="BM226" s="117" t="s">
        <v>569</v>
      </c>
      <c r="BN226" s="123"/>
      <c r="BO226" s="140"/>
      <c r="BP226" s="140"/>
      <c r="BQ226" s="140"/>
      <c r="BR226" s="123"/>
      <c r="BS226" s="141"/>
      <c r="BT226" s="123"/>
      <c r="BU226" s="141"/>
      <c r="BV226" s="123"/>
      <c r="BW226" s="123"/>
      <c r="BX226" s="123"/>
      <c r="BY226" s="123"/>
      <c r="BZ226" s="123"/>
      <c r="CA226" s="123"/>
      <c r="CB226" s="143">
        <v>0</v>
      </c>
      <c r="CC226" s="140"/>
      <c r="CD226" s="120">
        <v>46120</v>
      </c>
      <c r="CE226" s="120">
        <v>46122</v>
      </c>
      <c r="CF226" s="120">
        <v>46126</v>
      </c>
      <c r="CG226" s="123"/>
      <c r="CH226" s="120" t="s">
        <v>265</v>
      </c>
      <c r="CI226" s="120" t="s">
        <v>125</v>
      </c>
      <c r="CJ226" s="123"/>
    </row>
    <row r="227" spans="1:88" ht="57.95" hidden="1">
      <c r="A227" s="252" t="s">
        <v>554</v>
      </c>
      <c r="B227" s="49"/>
      <c r="C227" s="49">
        <v>44</v>
      </c>
      <c r="D227" s="107">
        <f>Tracker6[[#This Row],[Estimated Hrs]]-Tracker6[[#This Row],[Actual Efforts (Hrs)]]</f>
        <v>44</v>
      </c>
      <c r="E227" s="134"/>
      <c r="F227" s="134"/>
      <c r="G227" s="150"/>
      <c r="H227" s="149">
        <v>17625104</v>
      </c>
      <c r="I227" s="149">
        <v>17625104</v>
      </c>
      <c r="J227" s="49" t="s">
        <v>572</v>
      </c>
      <c r="K227" s="134" t="s">
        <v>118</v>
      </c>
      <c r="L227" s="134"/>
      <c r="M227" s="134"/>
      <c r="N227" s="134"/>
      <c r="O227" s="111" t="s">
        <v>122</v>
      </c>
      <c r="P227" s="123"/>
      <c r="Q227" s="123"/>
      <c r="R227" s="123"/>
      <c r="S227" s="123"/>
      <c r="T227" s="123"/>
      <c r="U227" s="134"/>
      <c r="V227" s="134"/>
      <c r="W227" s="134"/>
      <c r="X227" s="134"/>
      <c r="Y227" s="134"/>
      <c r="Z227" s="134"/>
      <c r="AA227" s="134"/>
      <c r="AC227" s="134"/>
      <c r="AD227" s="134"/>
      <c r="AE227" s="49"/>
      <c r="AF227" s="136"/>
      <c r="AG227" s="137"/>
      <c r="AH227" s="134"/>
      <c r="AI227" s="134"/>
      <c r="AJ227" s="138"/>
      <c r="AK227" s="134"/>
      <c r="AL227" s="137"/>
      <c r="AM227" s="139"/>
      <c r="AN227" s="139"/>
      <c r="AO227" s="116">
        <v>46142</v>
      </c>
      <c r="AP227" s="134"/>
      <c r="AQ227" s="49"/>
      <c r="AR227" s="49"/>
      <c r="AS227" s="139"/>
      <c r="AT227" s="138"/>
      <c r="AU227" s="138"/>
      <c r="AV227" s="134"/>
      <c r="AW227" s="134"/>
      <c r="AX227" s="108" t="s">
        <v>97</v>
      </c>
      <c r="AY227" s="108" t="s">
        <v>98</v>
      </c>
      <c r="AZ227" s="134"/>
      <c r="BA227" s="134"/>
      <c r="BB227" s="134"/>
      <c r="BC227" s="134"/>
      <c r="BD227" s="123"/>
      <c r="BE227" s="123"/>
      <c r="BF227" s="123"/>
      <c r="BG227" s="123"/>
      <c r="BH227" s="123"/>
      <c r="BI227" s="123"/>
      <c r="BJ227" s="123"/>
      <c r="BK227" s="123"/>
      <c r="BL227" s="123"/>
      <c r="BM227" s="117" t="s">
        <v>573</v>
      </c>
      <c r="BN227" s="123"/>
      <c r="BO227" s="140"/>
      <c r="BP227" s="140"/>
      <c r="BQ227" s="140"/>
      <c r="BR227" s="123"/>
      <c r="BS227" s="141"/>
      <c r="BT227" s="123"/>
      <c r="BU227" s="141"/>
      <c r="BV227" s="123"/>
      <c r="BW227" s="123"/>
      <c r="BX227" s="123"/>
      <c r="BY227" s="123"/>
      <c r="BZ227" s="123"/>
      <c r="CA227" s="123"/>
      <c r="CB227" s="143">
        <v>0</v>
      </c>
      <c r="CC227" s="140"/>
      <c r="CD227" s="120">
        <v>46133</v>
      </c>
      <c r="CE227" s="120">
        <v>46135</v>
      </c>
      <c r="CF227" s="120">
        <v>46136</v>
      </c>
      <c r="CG227" s="123"/>
      <c r="CH227" s="120" t="s">
        <v>182</v>
      </c>
      <c r="CI227" s="120" t="s">
        <v>125</v>
      </c>
      <c r="CJ227" s="123"/>
    </row>
    <row r="228" spans="1:88" ht="130.5" hidden="1">
      <c r="A228" s="252" t="s">
        <v>554</v>
      </c>
      <c r="B228" s="49"/>
      <c r="C228" s="49">
        <v>44</v>
      </c>
      <c r="D228" s="107">
        <f>Tracker6[[#This Row],[Estimated Hrs]]-Tracker6[[#This Row],[Actual Efforts (Hrs)]]</f>
        <v>44</v>
      </c>
      <c r="E228" s="134"/>
      <c r="F228" s="134"/>
      <c r="G228" s="150"/>
      <c r="H228" s="149">
        <v>17625100</v>
      </c>
      <c r="I228" s="149">
        <v>17625100</v>
      </c>
      <c r="J228" s="49" t="s">
        <v>574</v>
      </c>
      <c r="K228" s="134" t="s">
        <v>118</v>
      </c>
      <c r="L228" s="134"/>
      <c r="M228" s="134"/>
      <c r="N228" s="134"/>
      <c r="O228" s="111" t="s">
        <v>122</v>
      </c>
      <c r="P228" s="123"/>
      <c r="Q228" s="123"/>
      <c r="R228" s="123"/>
      <c r="S228" s="123"/>
      <c r="T228" s="123"/>
      <c r="U228" s="134"/>
      <c r="V228" s="134"/>
      <c r="W228" s="134"/>
      <c r="X228" s="134"/>
      <c r="Y228" s="134"/>
      <c r="Z228" s="134"/>
      <c r="AA228" s="134"/>
      <c r="AC228" s="134"/>
      <c r="AD228" s="134"/>
      <c r="AE228" s="49"/>
      <c r="AF228" s="136"/>
      <c r="AG228" s="137"/>
      <c r="AH228" s="134"/>
      <c r="AI228" s="134"/>
      <c r="AJ228" s="138"/>
      <c r="AK228" s="134"/>
      <c r="AL228" s="137"/>
      <c r="AM228" s="139"/>
      <c r="AN228" s="139"/>
      <c r="AO228" s="116">
        <v>46142</v>
      </c>
      <c r="AP228" s="134"/>
      <c r="AQ228" s="49"/>
      <c r="AR228" s="49"/>
      <c r="AS228" s="139"/>
      <c r="AT228" s="138"/>
      <c r="AU228" s="138"/>
      <c r="AV228" s="134"/>
      <c r="AW228" s="134"/>
      <c r="AX228" s="108" t="s">
        <v>97</v>
      </c>
      <c r="AY228" s="108" t="s">
        <v>98</v>
      </c>
      <c r="AZ228" s="134"/>
      <c r="BA228" s="134"/>
      <c r="BB228" s="134"/>
      <c r="BC228" s="134"/>
      <c r="BD228" s="123"/>
      <c r="BE228" s="123"/>
      <c r="BF228" s="123"/>
      <c r="BG228" s="123"/>
      <c r="BH228" s="123"/>
      <c r="BI228" s="123"/>
      <c r="BJ228" s="123"/>
      <c r="BK228" s="123"/>
      <c r="BL228" s="123"/>
      <c r="BM228" s="117" t="s">
        <v>573</v>
      </c>
      <c r="BN228" s="123"/>
      <c r="BO228" s="140"/>
      <c r="BP228" s="140"/>
      <c r="BQ228" s="140"/>
      <c r="BR228" s="123"/>
      <c r="BS228" s="141"/>
      <c r="BT228" s="123"/>
      <c r="BU228" s="141"/>
      <c r="BV228" s="123"/>
      <c r="BW228" s="123"/>
      <c r="BX228" s="123"/>
      <c r="BY228" s="123"/>
      <c r="BZ228" s="123"/>
      <c r="CA228" s="123"/>
      <c r="CB228" s="143">
        <v>0</v>
      </c>
      <c r="CC228" s="140"/>
      <c r="CD228" s="120">
        <v>46133</v>
      </c>
      <c r="CE228" s="120">
        <v>46135</v>
      </c>
      <c r="CF228" s="120">
        <v>46136</v>
      </c>
      <c r="CG228" s="123"/>
      <c r="CH228" s="120" t="s">
        <v>182</v>
      </c>
      <c r="CI228" s="120" t="s">
        <v>125</v>
      </c>
      <c r="CJ228" s="123"/>
    </row>
    <row r="229" spans="1:88" ht="116.1" hidden="1">
      <c r="A229" s="252" t="s">
        <v>554</v>
      </c>
      <c r="B229" s="107">
        <f>2</f>
        <v>2</v>
      </c>
      <c r="C229" s="49">
        <v>27</v>
      </c>
      <c r="D229" s="107">
        <f>Tracker6[[#This Row],[Estimated Hrs]]-Tracker6[[#This Row],[Actual Efforts (Hrs)]]</f>
        <v>25</v>
      </c>
      <c r="E229" s="108"/>
      <c r="F229" s="108"/>
      <c r="G229" s="121"/>
      <c r="H229" s="127">
        <v>17625097</v>
      </c>
      <c r="I229" s="127">
        <v>17625097</v>
      </c>
      <c r="J229" s="107" t="s">
        <v>575</v>
      </c>
      <c r="K229" s="134" t="s">
        <v>118</v>
      </c>
      <c r="L229" s="108"/>
      <c r="M229" s="108"/>
      <c r="N229" s="108" t="s">
        <v>576</v>
      </c>
      <c r="O229" s="111" t="s">
        <v>115</v>
      </c>
      <c r="P229" s="111"/>
      <c r="Q229" s="111"/>
      <c r="R229" s="111"/>
      <c r="S229" s="111"/>
      <c r="T229" s="111"/>
      <c r="U229" s="108"/>
      <c r="V229" s="108"/>
      <c r="W229" s="108"/>
      <c r="X229" s="108"/>
      <c r="Y229" s="108"/>
      <c r="Z229" s="108"/>
      <c r="AA229" s="108"/>
      <c r="AB229" s="112"/>
      <c r="AC229" s="108"/>
      <c r="AD229" s="108"/>
      <c r="AE229" s="107"/>
      <c r="AF229" s="113"/>
      <c r="AG229" s="115"/>
      <c r="AH229" s="108"/>
      <c r="AI229" s="108"/>
      <c r="AJ229" s="114"/>
      <c r="AK229" s="108"/>
      <c r="AL229" s="115"/>
      <c r="AM229" s="116"/>
      <c r="AN229" s="116"/>
      <c r="AO229" s="116">
        <v>46142</v>
      </c>
      <c r="AP229" s="108"/>
      <c r="AQ229" s="107"/>
      <c r="AR229" s="107"/>
      <c r="AS229" s="116"/>
      <c r="AT229" s="114"/>
      <c r="AU229" s="114"/>
      <c r="AV229" s="108"/>
      <c r="AW229" s="108"/>
      <c r="AX229" s="108" t="s">
        <v>97</v>
      </c>
      <c r="AY229" s="108" t="s">
        <v>98</v>
      </c>
      <c r="AZ229" s="108"/>
      <c r="BA229" s="108"/>
      <c r="BB229" s="108"/>
      <c r="BC229" s="108"/>
      <c r="BD229" s="111"/>
      <c r="BE229" s="111"/>
      <c r="BF229" s="111"/>
      <c r="BG229" s="111"/>
      <c r="BH229" s="111"/>
      <c r="BI229" s="111"/>
      <c r="BJ229" s="111"/>
      <c r="BK229" s="111"/>
      <c r="BL229" s="111"/>
      <c r="BM229" s="117" t="s">
        <v>573</v>
      </c>
      <c r="BN229" s="111"/>
      <c r="BO229" s="117"/>
      <c r="BP229" s="117"/>
      <c r="BQ229" s="117"/>
      <c r="BR229" s="111"/>
      <c r="BS229" s="118"/>
      <c r="BT229" s="111"/>
      <c r="BU229" s="118"/>
      <c r="BV229" s="111"/>
      <c r="BW229" s="111"/>
      <c r="BX229" s="111"/>
      <c r="BY229" s="111"/>
      <c r="BZ229" s="111"/>
      <c r="CA229" s="111"/>
      <c r="CB229" s="119">
        <v>0.01</v>
      </c>
      <c r="CC229" s="117"/>
      <c r="CD229" s="120">
        <v>46133</v>
      </c>
      <c r="CE229" s="120">
        <v>46135</v>
      </c>
      <c r="CF229" s="120">
        <v>46136</v>
      </c>
      <c r="CG229" s="111"/>
      <c r="CH229" s="120" t="s">
        <v>182</v>
      </c>
      <c r="CI229" s="120" t="s">
        <v>125</v>
      </c>
      <c r="CJ229" s="111"/>
    </row>
    <row r="230" spans="1:88" ht="144.94999999999999" hidden="1">
      <c r="A230" s="106" t="s">
        <v>577</v>
      </c>
      <c r="B230" s="107">
        <f>7+4+7+4+2</f>
        <v>24</v>
      </c>
      <c r="C230" s="49">
        <v>10</v>
      </c>
      <c r="D230" s="107">
        <f>Tracker6[[#This Row],[Estimated Hrs]]-Tracker6[[#This Row],[Actual Efforts (Hrs)]]</f>
        <v>-14</v>
      </c>
      <c r="E230" s="108"/>
      <c r="F230" s="108" t="s">
        <v>243</v>
      </c>
      <c r="G230" s="121" t="s">
        <v>243</v>
      </c>
      <c r="H230" s="153">
        <v>18348469</v>
      </c>
      <c r="I230" s="127">
        <f>Tracker6[[#This Row],[DCR ID - PTC]]</f>
        <v>18348469</v>
      </c>
      <c r="J230" s="133" t="s">
        <v>578</v>
      </c>
      <c r="K230" s="108" t="s">
        <v>118</v>
      </c>
      <c r="L230" s="108"/>
      <c r="M230" s="108"/>
      <c r="N230" s="108" t="s">
        <v>579</v>
      </c>
      <c r="O230" s="111" t="s">
        <v>106</v>
      </c>
      <c r="P230" s="116"/>
      <c r="Q230" s="108"/>
      <c r="R230" s="107"/>
      <c r="S230" s="107"/>
      <c r="T230" s="116"/>
      <c r="U230" s="114"/>
      <c r="V230" s="114"/>
      <c r="W230" s="108"/>
      <c r="X230" s="108"/>
      <c r="Y230" s="108"/>
      <c r="Z230" s="108"/>
      <c r="AA230" s="108" t="s">
        <v>107</v>
      </c>
      <c r="AB230" s="108">
        <v>46171</v>
      </c>
      <c r="AC230" s="108"/>
      <c r="AD230" s="108" t="s">
        <v>116</v>
      </c>
      <c r="AE230" s="111"/>
      <c r="AF230" s="111"/>
      <c r="AG230" s="152">
        <v>46057.895729166667</v>
      </c>
      <c r="AH230" s="111" t="s">
        <v>100</v>
      </c>
      <c r="AI230" s="111" t="s">
        <v>95</v>
      </c>
      <c r="AJ230" s="111">
        <v>46037.4375</v>
      </c>
      <c r="AK230" s="111" t="s">
        <v>321</v>
      </c>
      <c r="AL230" s="152">
        <v>46031.076562499999</v>
      </c>
      <c r="AM230" s="111"/>
      <c r="AN230" s="117"/>
      <c r="AO230" s="116">
        <v>46056</v>
      </c>
      <c r="AP230" s="117"/>
      <c r="AQ230" s="117"/>
      <c r="AR230" s="117"/>
      <c r="AS230" s="111">
        <v>46059</v>
      </c>
      <c r="AT230" s="118">
        <v>46058</v>
      </c>
      <c r="AU230" s="111">
        <v>46059</v>
      </c>
      <c r="AV230" s="118"/>
      <c r="AW230" s="111"/>
      <c r="AX230" s="108" t="s">
        <v>97</v>
      </c>
      <c r="AY230" s="108" t="s">
        <v>98</v>
      </c>
      <c r="AZ230" s="111"/>
      <c r="BA230" s="111"/>
      <c r="BB230" s="111"/>
      <c r="BC230" s="119"/>
      <c r="BD230" s="117"/>
      <c r="BE230" s="126"/>
      <c r="BF230" s="126"/>
      <c r="BG230" s="126"/>
      <c r="BH230" s="126"/>
      <c r="BI230" s="126"/>
      <c r="BJ230" s="126"/>
      <c r="BK230" s="126"/>
      <c r="BL230" s="126"/>
      <c r="BM230" s="117" t="s">
        <v>125</v>
      </c>
      <c r="BN230" s="126"/>
      <c r="BO230" s="126"/>
      <c r="BP230" s="126"/>
      <c r="BQ230" s="126"/>
      <c r="BR230" s="126"/>
      <c r="BS230" s="126"/>
      <c r="BT230" s="126"/>
      <c r="BU230" s="126"/>
      <c r="BV230" s="126"/>
      <c r="BW230" s="126"/>
      <c r="BX230" s="126"/>
      <c r="BY230" s="126"/>
      <c r="BZ230" s="126"/>
      <c r="CA230" s="126"/>
      <c r="CB230" s="119">
        <v>1</v>
      </c>
      <c r="CC230" s="126"/>
      <c r="CD230" s="120">
        <v>46057</v>
      </c>
      <c r="CE230" s="120">
        <v>46058</v>
      </c>
      <c r="CF230" s="120">
        <v>46059</v>
      </c>
      <c r="CG230" s="111"/>
      <c r="CH230" s="120" t="s">
        <v>265</v>
      </c>
      <c r="CI230" s="120" t="s">
        <v>125</v>
      </c>
      <c r="CJ230" s="111"/>
    </row>
    <row r="231" spans="1:88" ht="409.5" hidden="1">
      <c r="A231" s="134" t="s">
        <v>577</v>
      </c>
      <c r="B231" s="49">
        <f>3+2+4+1+2+7.5+2+1+7+3+3+2.5</f>
        <v>38</v>
      </c>
      <c r="C231" s="49">
        <v>25</v>
      </c>
      <c r="D231" s="107">
        <f>Tracker6[[#This Row],[Estimated Hrs]]-Tracker6[[#This Row],[Actual Efforts (Hrs)]]</f>
        <v>-13</v>
      </c>
      <c r="E231" s="134"/>
      <c r="F231" s="134" t="s">
        <v>243</v>
      </c>
      <c r="G231" s="150" t="s">
        <v>243</v>
      </c>
      <c r="H231" s="271">
        <v>18622572</v>
      </c>
      <c r="I231" s="149">
        <f>Tracker6[[#This Row],[DCR ID - PTC]]</f>
        <v>18622572</v>
      </c>
      <c r="J231" s="134" t="s">
        <v>580</v>
      </c>
      <c r="K231" s="134" t="s">
        <v>118</v>
      </c>
      <c r="L231" s="134"/>
      <c r="M231" s="134"/>
      <c r="N231" s="280" t="s">
        <v>581</v>
      </c>
      <c r="O231" s="123" t="s">
        <v>106</v>
      </c>
      <c r="P231" s="123"/>
      <c r="Q231" s="123"/>
      <c r="R231" s="123"/>
      <c r="S231" s="123"/>
      <c r="T231" s="123"/>
      <c r="U231" s="134"/>
      <c r="V231" s="134"/>
      <c r="W231" s="134"/>
      <c r="X231" s="134"/>
      <c r="Y231" s="134"/>
      <c r="Z231" s="134"/>
      <c r="AA231" s="134"/>
      <c r="AC231" s="134"/>
      <c r="AD231" s="134" t="s">
        <v>93</v>
      </c>
      <c r="AE231" s="49"/>
      <c r="AF231" s="136"/>
      <c r="AG231" s="137">
        <v>46058.837731481479</v>
      </c>
      <c r="AH231" s="134" t="s">
        <v>319</v>
      </c>
      <c r="AI231" s="134" t="s">
        <v>95</v>
      </c>
      <c r="AJ231" s="138">
        <v>46052.4375</v>
      </c>
      <c r="AK231" s="134" t="s">
        <v>528</v>
      </c>
      <c r="AL231" s="137">
        <v>46053.052384259259</v>
      </c>
      <c r="AM231" s="139"/>
      <c r="AN231" s="139"/>
      <c r="AO231" s="116">
        <v>46080</v>
      </c>
      <c r="AP231" s="134"/>
      <c r="AQ231" s="49"/>
      <c r="AR231" s="49"/>
      <c r="AS231" s="139">
        <v>46077</v>
      </c>
      <c r="AT231" s="139">
        <v>46066</v>
      </c>
      <c r="AU231" s="139">
        <v>46076</v>
      </c>
      <c r="AV231" s="134"/>
      <c r="AW231" s="134"/>
      <c r="AX231" s="108" t="s">
        <v>97</v>
      </c>
      <c r="AY231" s="108" t="s">
        <v>98</v>
      </c>
      <c r="AZ231" s="134"/>
      <c r="BA231" s="134"/>
      <c r="BB231" s="134"/>
      <c r="BC231" s="134"/>
      <c r="BD231" s="123"/>
      <c r="BE231" s="123"/>
      <c r="BF231" s="123"/>
      <c r="BG231" s="123"/>
      <c r="BH231" s="123"/>
      <c r="BI231" s="123"/>
      <c r="BJ231" s="123"/>
      <c r="BK231" s="123"/>
      <c r="BL231" s="123"/>
      <c r="BM231" s="117" t="s">
        <v>582</v>
      </c>
      <c r="BN231" s="123"/>
      <c r="BO231" s="140"/>
      <c r="BP231" s="140"/>
      <c r="BQ231" s="140"/>
      <c r="BR231" s="123"/>
      <c r="BS231" s="141"/>
      <c r="BT231" s="123"/>
      <c r="BU231" s="141"/>
      <c r="BV231" s="123"/>
      <c r="BW231" s="123"/>
      <c r="BX231" s="123"/>
      <c r="BY231" s="123"/>
      <c r="BZ231" s="123"/>
      <c r="CA231" s="123"/>
      <c r="CB231" s="143">
        <v>1</v>
      </c>
      <c r="CC231" s="140"/>
      <c r="CD231" s="120" t="s">
        <v>583</v>
      </c>
      <c r="CE231" s="120" t="s">
        <v>583</v>
      </c>
      <c r="CF231" s="120" t="s">
        <v>583</v>
      </c>
      <c r="CG231" s="123"/>
      <c r="CH231" s="120" t="s">
        <v>584</v>
      </c>
      <c r="CI231" s="120" t="s">
        <v>125</v>
      </c>
      <c r="CJ231" s="123"/>
    </row>
    <row r="232" spans="1:88" ht="57.95" hidden="1">
      <c r="A232" s="268" t="s">
        <v>577</v>
      </c>
      <c r="B232" s="49">
        <v>0</v>
      </c>
      <c r="C232" s="49">
        <v>10</v>
      </c>
      <c r="D232" s="107">
        <f>Tracker6[[#This Row],[Estimated Hrs]]-Tracker6[[#This Row],[Actual Efforts (Hrs)]]</f>
        <v>10</v>
      </c>
      <c r="E232" s="134"/>
      <c r="F232" s="134" t="s">
        <v>585</v>
      </c>
      <c r="G232" s="150" t="s">
        <v>585</v>
      </c>
      <c r="H232" s="271">
        <v>18655739</v>
      </c>
      <c r="I232" s="149">
        <f>Tracker6[[#This Row],[DCR ID - PTC]]</f>
        <v>18655739</v>
      </c>
      <c r="J232" s="134" t="s">
        <v>586</v>
      </c>
      <c r="K232" s="134" t="s">
        <v>118</v>
      </c>
      <c r="L232" s="134"/>
      <c r="M232" s="134"/>
      <c r="N232" s="134" t="s">
        <v>587</v>
      </c>
      <c r="O232" s="111" t="s">
        <v>106</v>
      </c>
      <c r="P232" s="123"/>
      <c r="Q232" s="123"/>
      <c r="R232" s="123"/>
      <c r="S232" s="123"/>
      <c r="T232" s="123"/>
      <c r="U232" s="134"/>
      <c r="V232" s="134"/>
      <c r="W232" s="134"/>
      <c r="X232" s="134"/>
      <c r="Y232" s="134"/>
      <c r="Z232" s="134"/>
      <c r="AA232" s="134" t="s">
        <v>130</v>
      </c>
      <c r="AB232" s="29">
        <v>46052</v>
      </c>
      <c r="AC232" s="134"/>
      <c r="AD232" s="134" t="s">
        <v>93</v>
      </c>
      <c r="AE232" s="49"/>
      <c r="AF232" s="136"/>
      <c r="AG232" s="137">
        <v>46056</v>
      </c>
      <c r="AH232" s="134" t="s">
        <v>100</v>
      </c>
      <c r="AI232" s="134" t="s">
        <v>101</v>
      </c>
      <c r="AJ232" s="138">
        <v>45899</v>
      </c>
      <c r="AK232" s="134" t="s">
        <v>528</v>
      </c>
      <c r="AL232" s="137">
        <v>46056.66302083333</v>
      </c>
      <c r="AM232" s="139"/>
      <c r="AN232" s="139"/>
      <c r="AO232" s="116">
        <v>46065</v>
      </c>
      <c r="AP232" s="134"/>
      <c r="AQ232" s="49"/>
      <c r="AR232" s="49"/>
      <c r="AS232" s="139">
        <v>46062</v>
      </c>
      <c r="AT232" s="138" t="s">
        <v>125</v>
      </c>
      <c r="AU232" s="138" t="s">
        <v>125</v>
      </c>
      <c r="AV232" s="134"/>
      <c r="AW232" s="134"/>
      <c r="AX232" s="108" t="s">
        <v>97</v>
      </c>
      <c r="AY232" s="108" t="s">
        <v>98</v>
      </c>
      <c r="AZ232" s="134"/>
      <c r="BA232" s="134"/>
      <c r="BB232" s="134"/>
      <c r="BC232" s="134"/>
      <c r="BD232" s="123"/>
      <c r="BE232" s="123"/>
      <c r="BF232" s="123"/>
      <c r="BG232" s="123"/>
      <c r="BH232" s="123"/>
      <c r="BI232" s="123"/>
      <c r="BJ232" s="123"/>
      <c r="BK232" s="123"/>
      <c r="BL232" s="123"/>
      <c r="BM232" s="117" t="s">
        <v>270</v>
      </c>
      <c r="BN232" s="123"/>
      <c r="BO232" s="140"/>
      <c r="BP232" s="140"/>
      <c r="BQ232" s="140"/>
      <c r="BR232" s="123"/>
      <c r="BS232" s="141"/>
      <c r="BT232" s="123"/>
      <c r="BU232" s="141"/>
      <c r="BV232" s="123"/>
      <c r="BW232" s="123"/>
      <c r="BX232" s="123"/>
      <c r="BY232" s="123"/>
      <c r="BZ232" s="123"/>
      <c r="CA232" s="123"/>
      <c r="CB232" s="143">
        <v>1</v>
      </c>
      <c r="CC232" s="140"/>
      <c r="CD232" s="120">
        <v>46056</v>
      </c>
      <c r="CE232" s="120">
        <v>46056</v>
      </c>
      <c r="CF232" s="120">
        <v>46056</v>
      </c>
      <c r="CG232" s="123"/>
      <c r="CH232" s="120" t="s">
        <v>270</v>
      </c>
      <c r="CI232" s="120" t="s">
        <v>125</v>
      </c>
      <c r="CJ232" s="123"/>
    </row>
    <row r="233" spans="1:88" ht="57.95" hidden="1">
      <c r="A233" s="268" t="s">
        <v>577</v>
      </c>
      <c r="B233" s="49"/>
      <c r="C233" s="49">
        <v>50</v>
      </c>
      <c r="D233" s="49">
        <f>Tracker6[[#This Row],[Estimated Hrs]]-Tracker6[[#This Row],[Actual Efforts (Hrs)]]</f>
        <v>50</v>
      </c>
      <c r="E233" s="134"/>
      <c r="F233" s="134"/>
      <c r="G233" s="150"/>
      <c r="H233" s="149" t="s">
        <v>588</v>
      </c>
      <c r="I233" s="149">
        <v>15605848</v>
      </c>
      <c r="J233" s="134" t="s">
        <v>239</v>
      </c>
      <c r="K233" s="134" t="s">
        <v>118</v>
      </c>
      <c r="L233" s="134"/>
      <c r="M233" s="134"/>
      <c r="N233" s="134"/>
      <c r="O233" s="111" t="s">
        <v>231</v>
      </c>
      <c r="P233" s="137"/>
      <c r="Q233" s="139"/>
      <c r="R233" s="139"/>
      <c r="S233" s="138"/>
      <c r="T233" s="138"/>
      <c r="U233" s="134"/>
      <c r="V233" s="134"/>
      <c r="W233" s="134"/>
      <c r="X233" s="134"/>
      <c r="Y233" s="134"/>
      <c r="Z233" s="134"/>
      <c r="AA233" s="123"/>
      <c r="AB233" s="123"/>
      <c r="AC233" s="123"/>
      <c r="AD233" s="123"/>
      <c r="AE233" s="123"/>
      <c r="AF233" s="123"/>
      <c r="AG233" s="123"/>
      <c r="AH233" s="123"/>
      <c r="AI233" s="123"/>
      <c r="AJ233" s="140"/>
      <c r="AK233" s="123"/>
      <c r="AL233" s="140"/>
      <c r="AM233" s="140"/>
      <c r="AN233" s="140"/>
      <c r="AO233" s="116">
        <v>46139</v>
      </c>
      <c r="AP233" s="141"/>
      <c r="AQ233" s="123"/>
      <c r="AR233" s="141"/>
      <c r="AS233" s="123"/>
      <c r="AT233" s="123"/>
      <c r="AU233" s="123"/>
      <c r="AV233" s="123"/>
      <c r="AW233" s="123"/>
      <c r="AX233" s="108" t="s">
        <v>97</v>
      </c>
      <c r="AY233" s="108" t="s">
        <v>98</v>
      </c>
      <c r="AZ233" s="140"/>
      <c r="BA233" s="123"/>
      <c r="BB233" s="123"/>
      <c r="BC233" s="123"/>
      <c r="BD233" s="123"/>
      <c r="BE233" s="123"/>
      <c r="BF233" s="123"/>
      <c r="BG233" s="123"/>
      <c r="BH233" s="123"/>
      <c r="BI233" s="123"/>
      <c r="BJ233" s="123"/>
      <c r="BK233" s="123"/>
      <c r="BL233" s="123"/>
      <c r="BM233" s="117" t="e">
        <v>#N/A</v>
      </c>
      <c r="BN233" s="123"/>
      <c r="BO233" s="140"/>
      <c r="BP233" s="140"/>
      <c r="BQ233" s="140"/>
      <c r="BR233" s="123"/>
      <c r="BS233" s="141"/>
      <c r="BT233" s="123"/>
      <c r="BU233" s="141"/>
      <c r="BV233" s="123"/>
      <c r="BW233" s="123"/>
      <c r="BX233" s="123"/>
      <c r="BY233" s="123"/>
      <c r="BZ233" s="123"/>
      <c r="CA233" s="123"/>
      <c r="CB233" s="143"/>
      <c r="CC233" s="140"/>
      <c r="CD233" s="120" t="e">
        <v>#N/A</v>
      </c>
      <c r="CE233" s="120" t="e">
        <v>#N/A</v>
      </c>
      <c r="CF233" s="120" t="e">
        <v>#N/A</v>
      </c>
      <c r="CG233" s="123"/>
      <c r="CH233" s="120" t="e">
        <v>#N/A</v>
      </c>
      <c r="CI233" s="120" t="e">
        <v>#N/A</v>
      </c>
      <c r="CJ233" s="123"/>
    </row>
    <row r="234" spans="1:88" ht="409.5" hidden="1">
      <c r="A234" s="268" t="s">
        <v>577</v>
      </c>
      <c r="B234" s="49">
        <f>3.5+3+4+1+4+3+1.5+1.5+3.5+2.5</f>
        <v>27.5</v>
      </c>
      <c r="C234" s="49">
        <v>15</v>
      </c>
      <c r="D234" s="107">
        <f>Tracker6[[#This Row],[Estimated Hrs]]-Tracker6[[#This Row],[Actual Efforts (Hrs)]]</f>
        <v>-12.5</v>
      </c>
      <c r="E234" s="134"/>
      <c r="F234" s="134"/>
      <c r="G234" s="150"/>
      <c r="H234" s="149">
        <v>17044818</v>
      </c>
      <c r="I234" s="149">
        <v>17044818</v>
      </c>
      <c r="J234" s="134" t="s">
        <v>589</v>
      </c>
      <c r="K234" s="134" t="s">
        <v>118</v>
      </c>
      <c r="L234" s="134"/>
      <c r="M234" s="134"/>
      <c r="N234" s="280" t="s">
        <v>590</v>
      </c>
      <c r="O234" s="111" t="s">
        <v>106</v>
      </c>
      <c r="P234" s="123"/>
      <c r="Q234" s="123"/>
      <c r="R234" s="123"/>
      <c r="S234" s="123"/>
      <c r="T234" s="123"/>
      <c r="U234" s="134"/>
      <c r="V234" s="134"/>
      <c r="W234" s="134"/>
      <c r="X234" s="134"/>
      <c r="Y234" s="134"/>
      <c r="Z234" s="134"/>
      <c r="AA234" s="134"/>
      <c r="AC234" s="134"/>
      <c r="AD234" s="134"/>
      <c r="AE234" s="49"/>
      <c r="AF234" s="136"/>
      <c r="AG234" s="137"/>
      <c r="AH234" s="134"/>
      <c r="AI234" s="134"/>
      <c r="AJ234" s="138"/>
      <c r="AK234" s="134"/>
      <c r="AL234" s="137"/>
      <c r="AM234" s="139"/>
      <c r="AN234" s="139"/>
      <c r="AO234" s="116">
        <v>46080</v>
      </c>
      <c r="AP234" s="134"/>
      <c r="AQ234" s="49"/>
      <c r="AR234" s="49"/>
      <c r="AS234" s="116">
        <v>46084</v>
      </c>
      <c r="AT234" s="138"/>
      <c r="AU234" s="138"/>
      <c r="AV234" s="134"/>
      <c r="AW234" s="134"/>
      <c r="AX234" s="108" t="s">
        <v>97</v>
      </c>
      <c r="AY234" s="108" t="s">
        <v>98</v>
      </c>
      <c r="AZ234" s="134"/>
      <c r="BA234" s="134"/>
      <c r="BB234" s="134"/>
      <c r="BC234" s="134"/>
      <c r="BD234" s="123"/>
      <c r="BE234" s="123"/>
      <c r="BF234" s="123"/>
      <c r="BG234" s="123"/>
      <c r="BH234" s="123"/>
      <c r="BI234" s="123"/>
      <c r="BJ234" s="123"/>
      <c r="BK234" s="123"/>
      <c r="BL234" s="123"/>
      <c r="BM234" s="117">
        <v>0</v>
      </c>
      <c r="BN234" s="123"/>
      <c r="BO234" s="140"/>
      <c r="BP234" s="140"/>
      <c r="BQ234" s="140"/>
      <c r="BR234" s="123"/>
      <c r="BS234" s="141"/>
      <c r="BT234" s="123"/>
      <c r="BU234" s="141"/>
      <c r="BV234" s="123"/>
      <c r="BW234" s="123"/>
      <c r="BX234" s="123"/>
      <c r="BY234" s="123"/>
      <c r="BZ234" s="123"/>
      <c r="CA234" s="123"/>
      <c r="CB234" s="143">
        <v>1</v>
      </c>
      <c r="CC234" s="140"/>
      <c r="CD234" s="120">
        <v>46071</v>
      </c>
      <c r="CE234" s="120">
        <v>46072</v>
      </c>
      <c r="CF234" s="120">
        <v>46072</v>
      </c>
      <c r="CG234" s="123"/>
      <c r="CH234" s="120">
        <v>0</v>
      </c>
      <c r="CI234" s="120" t="s">
        <v>125</v>
      </c>
      <c r="CJ234" s="123"/>
    </row>
    <row r="235" spans="1:88" ht="57.95" hidden="1">
      <c r="A235" s="268" t="s">
        <v>577</v>
      </c>
      <c r="B235" s="49">
        <f>2</f>
        <v>2</v>
      </c>
      <c r="C235" s="49">
        <v>2</v>
      </c>
      <c r="D235" s="49">
        <f>Tracker6[[#This Row],[Estimated Hrs]]-Tracker6[[#This Row],[Actual Efforts (Hrs)]]</f>
        <v>0</v>
      </c>
      <c r="E235" s="134"/>
      <c r="F235" s="134"/>
      <c r="G235" s="150"/>
      <c r="H235" s="149">
        <v>17236546</v>
      </c>
      <c r="I235" s="149">
        <v>17236546</v>
      </c>
      <c r="J235" s="134" t="s">
        <v>591</v>
      </c>
      <c r="K235" s="134" t="s">
        <v>118</v>
      </c>
      <c r="L235" s="134"/>
      <c r="M235" s="134"/>
      <c r="N235" s="134" t="s">
        <v>592</v>
      </c>
      <c r="O235" s="111" t="s">
        <v>231</v>
      </c>
      <c r="P235" s="123"/>
      <c r="Q235" s="123"/>
      <c r="R235" s="123"/>
      <c r="S235" s="123"/>
      <c r="T235" s="123"/>
      <c r="U235" s="134"/>
      <c r="V235" s="134"/>
      <c r="W235" s="134"/>
      <c r="X235" s="134"/>
      <c r="Y235" s="134"/>
      <c r="Z235" s="134"/>
      <c r="AA235" s="134"/>
      <c r="AC235" s="134"/>
      <c r="AD235" s="134"/>
      <c r="AE235" s="49"/>
      <c r="AF235" s="136"/>
      <c r="AG235" s="137"/>
      <c r="AH235" s="134"/>
      <c r="AI235" s="134"/>
      <c r="AJ235" s="138"/>
      <c r="AK235" s="134"/>
      <c r="AL235" s="137"/>
      <c r="AM235" s="139"/>
      <c r="AN235" s="139"/>
      <c r="AO235" s="116">
        <v>46066</v>
      </c>
      <c r="AP235" s="134"/>
      <c r="AQ235" s="49"/>
      <c r="AR235" s="49"/>
      <c r="AS235" s="139"/>
      <c r="AT235" s="138"/>
      <c r="AU235" s="138"/>
      <c r="AV235" s="134"/>
      <c r="AW235" s="134"/>
      <c r="AX235" s="108" t="s">
        <v>97</v>
      </c>
      <c r="AY235" s="108" t="s">
        <v>98</v>
      </c>
      <c r="AZ235" s="134"/>
      <c r="BA235" s="134"/>
      <c r="BB235" s="134"/>
      <c r="BC235" s="134"/>
      <c r="BD235" s="123"/>
      <c r="BE235" s="123"/>
      <c r="BF235" s="123"/>
      <c r="BG235" s="123"/>
      <c r="BH235" s="123"/>
      <c r="BI235" s="123"/>
      <c r="BJ235" s="123"/>
      <c r="BK235" s="123"/>
      <c r="BL235" s="123"/>
      <c r="BM235" s="117" t="s">
        <v>125</v>
      </c>
      <c r="BN235" s="123"/>
      <c r="BO235" s="140"/>
      <c r="BP235" s="140"/>
      <c r="BQ235" s="140"/>
      <c r="BR235" s="123"/>
      <c r="BS235" s="141"/>
      <c r="BT235" s="123"/>
      <c r="BU235" s="141"/>
      <c r="BV235" s="123"/>
      <c r="BW235" s="123"/>
      <c r="BX235" s="123"/>
      <c r="BY235" s="123"/>
      <c r="BZ235" s="123"/>
      <c r="CA235" s="123"/>
      <c r="CB235" s="143"/>
      <c r="CC235" s="140"/>
      <c r="CD235" s="120" t="s">
        <v>125</v>
      </c>
      <c r="CE235" s="120" t="s">
        <v>125</v>
      </c>
      <c r="CF235" s="120" t="s">
        <v>125</v>
      </c>
      <c r="CG235" s="123"/>
      <c r="CH235" s="120" t="s">
        <v>125</v>
      </c>
      <c r="CI235" s="120" t="s">
        <v>125</v>
      </c>
      <c r="CJ235" s="123"/>
    </row>
    <row r="236" spans="1:88" ht="174" hidden="1">
      <c r="A236" s="268" t="s">
        <v>577</v>
      </c>
      <c r="B236" s="49">
        <f>3.5+3+6.5+6.5+2+1</f>
        <v>22.5</v>
      </c>
      <c r="C236" s="49">
        <v>20</v>
      </c>
      <c r="D236" s="107">
        <f>Tracker6[[#This Row],[Estimated Hrs]]-Tracker6[[#This Row],[Actual Efforts (Hrs)]]</f>
        <v>-2.5</v>
      </c>
      <c r="E236" s="134"/>
      <c r="F236" s="134"/>
      <c r="G236" s="150"/>
      <c r="H236" s="149" t="s">
        <v>593</v>
      </c>
      <c r="I236" s="149" t="s">
        <v>593</v>
      </c>
      <c r="J236" s="134" t="s">
        <v>594</v>
      </c>
      <c r="K236" s="134" t="s">
        <v>118</v>
      </c>
      <c r="L236" s="134"/>
      <c r="M236" s="134"/>
      <c r="N236" s="134" t="s">
        <v>595</v>
      </c>
      <c r="O236" s="111" t="s">
        <v>231</v>
      </c>
      <c r="P236" s="123"/>
      <c r="Q236" s="123"/>
      <c r="R236" s="123"/>
      <c r="S236" s="123"/>
      <c r="T236" s="123"/>
      <c r="U236" s="134"/>
      <c r="V236" s="134"/>
      <c r="W236" s="134"/>
      <c r="X236" s="134"/>
      <c r="Y236" s="134"/>
      <c r="Z236" s="134"/>
      <c r="AA236" s="134"/>
      <c r="AC236" s="134"/>
      <c r="AD236" s="134"/>
      <c r="AE236" s="49"/>
      <c r="AF236" s="136"/>
      <c r="AG236" s="137"/>
      <c r="AH236" s="134"/>
      <c r="AI236" s="134"/>
      <c r="AJ236" s="138"/>
      <c r="AK236" s="134"/>
      <c r="AL236" s="137"/>
      <c r="AM236" s="139"/>
      <c r="AN236" s="139"/>
      <c r="AO236" s="116">
        <v>46100</v>
      </c>
      <c r="AP236" s="134"/>
      <c r="AQ236" s="49"/>
      <c r="AR236" s="49"/>
      <c r="AS236" s="139"/>
      <c r="AT236" s="138"/>
      <c r="AU236" s="138"/>
      <c r="AV236" s="134"/>
      <c r="AW236" s="134"/>
      <c r="AX236" s="108" t="s">
        <v>97</v>
      </c>
      <c r="AY236" s="108" t="s">
        <v>98</v>
      </c>
      <c r="AZ236" s="134"/>
      <c r="BA236" s="134"/>
      <c r="BB236" s="134"/>
      <c r="BC236" s="134"/>
      <c r="BD236" s="123"/>
      <c r="BE236" s="123"/>
      <c r="BF236" s="123"/>
      <c r="BG236" s="123"/>
      <c r="BH236" s="123"/>
      <c r="BI236" s="123"/>
      <c r="BJ236" s="123"/>
      <c r="BK236" s="123"/>
      <c r="BL236" s="123"/>
      <c r="BM236" s="117" t="e">
        <v>#N/A</v>
      </c>
      <c r="BN236" s="123"/>
      <c r="BO236" s="140"/>
      <c r="BP236" s="140"/>
      <c r="BQ236" s="140"/>
      <c r="BR236" s="123"/>
      <c r="BS236" s="141"/>
      <c r="BT236" s="123"/>
      <c r="BU236" s="141"/>
      <c r="BV236" s="123"/>
      <c r="BW236" s="123"/>
      <c r="BX236" s="123"/>
      <c r="BY236" s="123"/>
      <c r="BZ236" s="123"/>
      <c r="CA236" s="123"/>
      <c r="CB236" s="143">
        <v>0.05</v>
      </c>
      <c r="CC236" s="140"/>
      <c r="CD236" s="120" t="e">
        <v>#N/A</v>
      </c>
      <c r="CE236" s="120" t="e">
        <v>#N/A</v>
      </c>
      <c r="CF236" s="120" t="e">
        <v>#N/A</v>
      </c>
      <c r="CG236" s="123"/>
      <c r="CH236" s="120" t="e">
        <v>#N/A</v>
      </c>
      <c r="CI236" s="120" t="e">
        <v>#N/A</v>
      </c>
      <c r="CJ236" s="123"/>
    </row>
    <row r="237" spans="1:88" ht="409.5" hidden="1">
      <c r="A237" s="268" t="s">
        <v>577</v>
      </c>
      <c r="B237" s="49">
        <f>3+6+1.5+3+1+3+5+3+1+3+3.5+4.5</f>
        <v>37.5</v>
      </c>
      <c r="C237" s="49">
        <v>15</v>
      </c>
      <c r="D237" s="49">
        <f>Tracker6[[#This Row],[Estimated Hrs]]-Tracker6[[#This Row],[Actual Efforts (Hrs)]]</f>
        <v>-22.5</v>
      </c>
      <c r="E237" s="134"/>
      <c r="F237" s="134"/>
      <c r="G237" s="150"/>
      <c r="H237" s="149">
        <v>17629257</v>
      </c>
      <c r="I237" s="149">
        <v>17629257</v>
      </c>
      <c r="J237" s="134" t="s">
        <v>596</v>
      </c>
      <c r="K237" s="134" t="s">
        <v>104</v>
      </c>
      <c r="L237" s="134"/>
      <c r="M237" s="134"/>
      <c r="N237" s="280" t="s">
        <v>597</v>
      </c>
      <c r="O237" s="111" t="s">
        <v>106</v>
      </c>
      <c r="P237" s="123"/>
      <c r="Q237" s="123"/>
      <c r="R237" s="123"/>
      <c r="S237" s="123"/>
      <c r="T237" s="123"/>
      <c r="U237" s="134"/>
      <c r="V237" s="134"/>
      <c r="W237" s="134"/>
      <c r="X237" s="134"/>
      <c r="Y237" s="134"/>
      <c r="Z237" s="134"/>
      <c r="AA237" s="134"/>
      <c r="AC237" s="134"/>
      <c r="AD237" s="134"/>
      <c r="AE237" s="49"/>
      <c r="AF237" s="136"/>
      <c r="AG237" s="137"/>
      <c r="AH237" s="134"/>
      <c r="AI237" s="134"/>
      <c r="AJ237" s="138"/>
      <c r="AK237" s="134"/>
      <c r="AL237" s="137"/>
      <c r="AM237" s="139"/>
      <c r="AN237" s="139"/>
      <c r="AO237" s="116">
        <v>46091</v>
      </c>
      <c r="AP237" s="134"/>
      <c r="AQ237" s="49"/>
      <c r="AR237" s="49"/>
      <c r="AS237" s="139"/>
      <c r="AT237" s="138"/>
      <c r="AU237" s="138"/>
      <c r="AV237" s="134"/>
      <c r="AW237" s="134"/>
      <c r="AX237" s="108" t="s">
        <v>97</v>
      </c>
      <c r="AY237" s="108" t="s">
        <v>98</v>
      </c>
      <c r="AZ237" s="134"/>
      <c r="BA237" s="134"/>
      <c r="BB237" s="134"/>
      <c r="BC237" s="134"/>
      <c r="BD237" s="123"/>
      <c r="BE237" s="123"/>
      <c r="BF237" s="123"/>
      <c r="BG237" s="123"/>
      <c r="BH237" s="123"/>
      <c r="BI237" s="123"/>
      <c r="BJ237" s="123"/>
      <c r="BK237" s="123"/>
      <c r="BL237" s="123"/>
      <c r="BM237" s="117">
        <v>0</v>
      </c>
      <c r="BN237" s="123"/>
      <c r="BO237" s="140"/>
      <c r="BP237" s="140"/>
      <c r="BQ237" s="140"/>
      <c r="BR237" s="123"/>
      <c r="BS237" s="141"/>
      <c r="BT237" s="123"/>
      <c r="BU237" s="141"/>
      <c r="BV237" s="123"/>
      <c r="BW237" s="123"/>
      <c r="BX237" s="123"/>
      <c r="BY237" s="123"/>
      <c r="BZ237" s="123"/>
      <c r="CA237" s="123"/>
      <c r="CB237" s="143">
        <v>0.92500000000000004</v>
      </c>
      <c r="CC237" s="140"/>
      <c r="CD237" s="120">
        <v>46077</v>
      </c>
      <c r="CE237" s="120">
        <v>46078</v>
      </c>
      <c r="CF237" s="120">
        <v>46078</v>
      </c>
      <c r="CG237" s="123"/>
      <c r="CH237" s="120">
        <v>0</v>
      </c>
      <c r="CI237" s="120" t="s">
        <v>125</v>
      </c>
      <c r="CJ237" s="123"/>
    </row>
    <row r="238" spans="1:88" ht="116.1" hidden="1">
      <c r="A238" s="131" t="s">
        <v>577</v>
      </c>
      <c r="B238" s="49">
        <f>4+5+5+5+4.5</f>
        <v>23.5</v>
      </c>
      <c r="C238" s="49">
        <v>25</v>
      </c>
      <c r="D238" s="107">
        <f>Tracker6[[#This Row],[Estimated Hrs]]-Tracker6[[#This Row],[Actual Efforts (Hrs)]]</f>
        <v>1.5</v>
      </c>
      <c r="E238" s="134"/>
      <c r="F238" s="134"/>
      <c r="G238" s="150"/>
      <c r="H238" s="149">
        <v>17629257</v>
      </c>
      <c r="I238" s="149">
        <v>17629257</v>
      </c>
      <c r="J238" s="134" t="s">
        <v>596</v>
      </c>
      <c r="K238" s="134" t="s">
        <v>118</v>
      </c>
      <c r="L238" s="134"/>
      <c r="M238" s="134"/>
      <c r="N238" s="280" t="s">
        <v>598</v>
      </c>
      <c r="O238" s="111" t="s">
        <v>115</v>
      </c>
      <c r="P238" s="123"/>
      <c r="Q238" s="123"/>
      <c r="R238" s="123"/>
      <c r="S238" s="123"/>
      <c r="T238" s="123"/>
      <c r="U238" s="134"/>
      <c r="V238" s="134"/>
      <c r="W238" s="134"/>
      <c r="X238" s="134"/>
      <c r="Y238" s="134"/>
      <c r="Z238" s="134"/>
      <c r="AA238" s="134"/>
      <c r="AC238" s="134"/>
      <c r="AD238" s="134"/>
      <c r="AE238" s="49"/>
      <c r="AF238" s="136"/>
      <c r="AG238" s="137"/>
      <c r="AH238" s="134"/>
      <c r="AI238" s="134"/>
      <c r="AJ238" s="138"/>
      <c r="AK238" s="134"/>
      <c r="AL238" s="137"/>
      <c r="AM238" s="139"/>
      <c r="AN238" s="139"/>
      <c r="AO238" s="116">
        <v>46125</v>
      </c>
      <c r="AP238" s="134"/>
      <c r="AQ238" s="49"/>
      <c r="AR238" s="49"/>
      <c r="AS238" s="139"/>
      <c r="AT238" s="138"/>
      <c r="AU238" s="138"/>
      <c r="AV238" s="134"/>
      <c r="AW238" s="134"/>
      <c r="AX238" s="108" t="s">
        <v>97</v>
      </c>
      <c r="AY238" s="108" t="s">
        <v>98</v>
      </c>
      <c r="AZ238" s="134"/>
      <c r="BA238" s="134"/>
      <c r="BB238" s="134"/>
      <c r="BC238" s="134"/>
      <c r="BD238" s="123"/>
      <c r="BE238" s="123"/>
      <c r="BF238" s="123"/>
      <c r="BG238" s="123"/>
      <c r="BH238" s="123"/>
      <c r="BI238" s="123"/>
      <c r="BJ238" s="123"/>
      <c r="BK238" s="123"/>
      <c r="BL238" s="123"/>
      <c r="BM238" s="117">
        <v>0</v>
      </c>
      <c r="BN238" s="123"/>
      <c r="BO238" s="140"/>
      <c r="BP238" s="140"/>
      <c r="BQ238" s="140"/>
      <c r="BR238" s="123"/>
      <c r="BS238" s="141"/>
      <c r="BT238" s="123"/>
      <c r="BU238" s="141"/>
      <c r="BV238" s="123"/>
      <c r="BW238" s="123"/>
      <c r="BX238" s="123"/>
      <c r="BY238" s="123"/>
      <c r="BZ238" s="123"/>
      <c r="CA238" s="123"/>
      <c r="CB238" s="143">
        <v>0.5</v>
      </c>
      <c r="CC238" s="140"/>
      <c r="CD238" s="120">
        <v>46090</v>
      </c>
      <c r="CE238" s="120">
        <v>46091</v>
      </c>
      <c r="CF238" s="120">
        <v>46092</v>
      </c>
      <c r="CG238" s="123"/>
      <c r="CH238" s="120">
        <v>0</v>
      </c>
      <c r="CI238" s="120" t="s">
        <v>125</v>
      </c>
      <c r="CJ238" s="123" t="s">
        <v>599</v>
      </c>
    </row>
    <row r="239" spans="1:88" ht="377.1" hidden="1">
      <c r="A239" s="146" t="s">
        <v>577</v>
      </c>
      <c r="B239" s="49">
        <f>7.5+2+3+2+1+2+2+4.5</f>
        <v>24</v>
      </c>
      <c r="C239" s="49">
        <v>20</v>
      </c>
      <c r="D239" s="107">
        <f>Tracker6[[#This Row],[Estimated Hrs]]-Tracker6[[#This Row],[Actual Efforts (Hrs)]]</f>
        <v>-4</v>
      </c>
      <c r="E239" s="134"/>
      <c r="F239" s="134"/>
      <c r="G239" s="150"/>
      <c r="H239" s="149">
        <v>15733974</v>
      </c>
      <c r="I239" s="149">
        <v>15733974</v>
      </c>
      <c r="J239" s="49" t="s">
        <v>600</v>
      </c>
      <c r="K239" s="134" t="s">
        <v>118</v>
      </c>
      <c r="L239" s="134"/>
      <c r="M239" s="134"/>
      <c r="N239" s="134" t="s">
        <v>601</v>
      </c>
      <c r="O239" s="111" t="s">
        <v>115</v>
      </c>
      <c r="P239" s="123"/>
      <c r="Q239" s="123"/>
      <c r="R239" s="123"/>
      <c r="S239" s="123"/>
      <c r="T239" s="123"/>
      <c r="U239" s="134"/>
      <c r="V239" s="134"/>
      <c r="W239" s="134"/>
      <c r="X239" s="134"/>
      <c r="Y239" s="134"/>
      <c r="Z239" s="134"/>
      <c r="AA239" s="134"/>
      <c r="AC239" s="134"/>
      <c r="AD239" s="134"/>
      <c r="AE239" s="49"/>
      <c r="AF239" s="136"/>
      <c r="AG239" s="137"/>
      <c r="AH239" s="134"/>
      <c r="AI239" s="134"/>
      <c r="AJ239" s="138"/>
      <c r="AK239" s="134"/>
      <c r="AL239" s="137"/>
      <c r="AM239" s="139"/>
      <c r="AN239" s="139"/>
      <c r="AO239" s="116">
        <v>46115</v>
      </c>
      <c r="AP239" s="134"/>
      <c r="AQ239" s="49"/>
      <c r="AR239" s="49"/>
      <c r="AS239" s="139"/>
      <c r="AT239" s="138"/>
      <c r="AU239" s="138"/>
      <c r="AV239" s="134"/>
      <c r="AW239" s="134"/>
      <c r="AX239" s="108" t="s">
        <v>97</v>
      </c>
      <c r="AY239" s="108" t="s">
        <v>98</v>
      </c>
      <c r="AZ239" s="134"/>
      <c r="BA239" s="134"/>
      <c r="BB239" s="134"/>
      <c r="BC239" s="134"/>
      <c r="BD239" s="123"/>
      <c r="BE239" s="123"/>
      <c r="BF239" s="123"/>
      <c r="BG239" s="123"/>
      <c r="BH239" s="123"/>
      <c r="BI239" s="123"/>
      <c r="BJ239" s="123"/>
      <c r="BK239" s="123"/>
      <c r="BL239" s="123"/>
      <c r="BM239" s="117">
        <v>0</v>
      </c>
      <c r="BN239" s="123"/>
      <c r="BO239" s="140"/>
      <c r="BP239" s="140"/>
      <c r="BQ239" s="140"/>
      <c r="BR239" s="123"/>
      <c r="BS239" s="141"/>
      <c r="BT239" s="123"/>
      <c r="BU239" s="141"/>
      <c r="BV239" s="123"/>
      <c r="BW239" s="123"/>
      <c r="BX239" s="123"/>
      <c r="BY239" s="123"/>
      <c r="BZ239" s="123"/>
      <c r="CA239" s="123"/>
      <c r="CB239" s="143">
        <v>0.94499999999999995</v>
      </c>
      <c r="CC239" s="140"/>
      <c r="CD239" s="120">
        <v>46080</v>
      </c>
      <c r="CE239" s="120">
        <v>46083</v>
      </c>
      <c r="CF239" s="120">
        <v>46084</v>
      </c>
      <c r="CG239" s="123"/>
      <c r="CH239" s="120">
        <v>0</v>
      </c>
      <c r="CI239" s="120" t="s">
        <v>125</v>
      </c>
      <c r="CJ239" s="123" t="s">
        <v>599</v>
      </c>
    </row>
    <row r="240" spans="1:88" ht="130.5" hidden="1" customHeight="1">
      <c r="A240" s="268" t="s">
        <v>577</v>
      </c>
      <c r="B240" s="49"/>
      <c r="C240" s="49">
        <v>20</v>
      </c>
      <c r="D240" s="49">
        <f>Tracker6[[#This Row],[Estimated Hrs]]-Tracker6[[#This Row],[Actual Efforts (Hrs)]]</f>
        <v>20</v>
      </c>
      <c r="E240" s="134"/>
      <c r="F240" s="134"/>
      <c r="G240" s="150"/>
      <c r="H240" s="287">
        <v>14885841</v>
      </c>
      <c r="I240" s="287">
        <v>14885841</v>
      </c>
      <c r="J240" s="291" t="s">
        <v>602</v>
      </c>
      <c r="K240" s="134" t="s">
        <v>118</v>
      </c>
      <c r="L240" s="134"/>
      <c r="M240" s="134"/>
      <c r="N240" s="134"/>
      <c r="O240" s="111" t="s">
        <v>231</v>
      </c>
      <c r="P240" s="123"/>
      <c r="Q240" s="123"/>
      <c r="R240" s="123"/>
      <c r="S240" s="123"/>
      <c r="T240" s="123"/>
      <c r="U240" s="134"/>
      <c r="V240" s="134"/>
      <c r="W240" s="134"/>
      <c r="X240" s="134"/>
      <c r="Y240" s="134"/>
      <c r="Z240" s="134"/>
      <c r="AA240" s="134"/>
      <c r="AC240" s="134"/>
      <c r="AD240" s="134"/>
      <c r="AE240" s="49"/>
      <c r="AF240" s="136"/>
      <c r="AG240" s="137"/>
      <c r="AH240" s="134"/>
      <c r="AI240" s="134"/>
      <c r="AJ240" s="138"/>
      <c r="AK240" s="134"/>
      <c r="AL240" s="137"/>
      <c r="AM240" s="139"/>
      <c r="AN240" s="139"/>
      <c r="AO240" s="116">
        <v>46094</v>
      </c>
      <c r="AP240" s="134"/>
      <c r="AQ240" s="49"/>
      <c r="AR240" s="49"/>
      <c r="AS240" s="139"/>
      <c r="AT240" s="138"/>
      <c r="AU240" s="138"/>
      <c r="AV240" s="134"/>
      <c r="AW240" s="134"/>
      <c r="AX240" s="108" t="s">
        <v>97</v>
      </c>
      <c r="AY240" s="108" t="s">
        <v>98</v>
      </c>
      <c r="AZ240" s="134"/>
      <c r="BA240" s="134"/>
      <c r="BB240" s="134"/>
      <c r="BC240" s="134"/>
      <c r="BD240" s="123"/>
      <c r="BE240" s="123"/>
      <c r="BF240" s="123"/>
      <c r="BG240" s="123"/>
      <c r="BH240" s="123"/>
      <c r="BI240" s="123"/>
      <c r="BJ240" s="123"/>
      <c r="BK240" s="123"/>
      <c r="BL240" s="123"/>
      <c r="BM240" s="117">
        <v>0</v>
      </c>
      <c r="BN240" s="123"/>
      <c r="BO240" s="140"/>
      <c r="BP240" s="140"/>
      <c r="BQ240" s="140"/>
      <c r="BR240" s="123"/>
      <c r="BS240" s="141"/>
      <c r="BT240" s="123"/>
      <c r="BU240" s="141"/>
      <c r="BV240" s="123"/>
      <c r="BW240" s="123"/>
      <c r="BX240" s="123"/>
      <c r="BY240" s="123"/>
      <c r="BZ240" s="123"/>
      <c r="CA240" s="123"/>
      <c r="CB240" s="143"/>
      <c r="CC240" s="140"/>
      <c r="CD240" s="120">
        <v>46086</v>
      </c>
      <c r="CE240" s="120">
        <v>46087</v>
      </c>
      <c r="CF240" s="120">
        <v>46090</v>
      </c>
      <c r="CG240" s="123"/>
      <c r="CH240" s="120">
        <v>0</v>
      </c>
      <c r="CI240" s="120" t="s">
        <v>125</v>
      </c>
      <c r="CJ240" s="123"/>
    </row>
    <row r="241" spans="1:88" ht="116.1" hidden="1">
      <c r="A241" s="268" t="s">
        <v>577</v>
      </c>
      <c r="B241" s="49"/>
      <c r="C241" s="49">
        <v>20</v>
      </c>
      <c r="D241" s="49">
        <f>Tracker6[[#This Row],[Estimated Hrs]]-Tracker6[[#This Row],[Actual Efforts (Hrs)]]</f>
        <v>20</v>
      </c>
      <c r="E241" s="134"/>
      <c r="F241" s="134"/>
      <c r="G241" s="150"/>
      <c r="H241" s="149">
        <v>14885836</v>
      </c>
      <c r="I241" s="149">
        <v>14885836</v>
      </c>
      <c r="J241" s="49" t="s">
        <v>594</v>
      </c>
      <c r="K241" s="134" t="s">
        <v>118</v>
      </c>
      <c r="L241" s="134"/>
      <c r="M241" s="134"/>
      <c r="N241" s="134"/>
      <c r="O241" s="111" t="s">
        <v>231</v>
      </c>
      <c r="P241" s="123"/>
      <c r="Q241" s="123"/>
      <c r="R241" s="123"/>
      <c r="S241" s="123"/>
      <c r="T241" s="123"/>
      <c r="U241" s="134"/>
      <c r="V241" s="134"/>
      <c r="W241" s="134"/>
      <c r="X241" s="134"/>
      <c r="Y241" s="134"/>
      <c r="Z241" s="134"/>
      <c r="AA241" s="134"/>
      <c r="AC241" s="134"/>
      <c r="AD241" s="134"/>
      <c r="AE241" s="49"/>
      <c r="AF241" s="136"/>
      <c r="AG241" s="137"/>
      <c r="AH241" s="134"/>
      <c r="AI241" s="134"/>
      <c r="AJ241" s="138"/>
      <c r="AK241" s="134"/>
      <c r="AL241" s="137"/>
      <c r="AM241" s="139"/>
      <c r="AN241" s="139"/>
      <c r="AO241" s="116">
        <v>46100</v>
      </c>
      <c r="AP241" s="134"/>
      <c r="AQ241" s="49"/>
      <c r="AR241" s="49"/>
      <c r="AS241" s="139"/>
      <c r="AT241" s="138"/>
      <c r="AU241" s="138"/>
      <c r="AV241" s="134"/>
      <c r="AW241" s="134"/>
      <c r="AX241" s="108" t="s">
        <v>97</v>
      </c>
      <c r="AY241" s="108" t="s">
        <v>98</v>
      </c>
      <c r="AZ241" s="134"/>
      <c r="BA241" s="134"/>
      <c r="BB241" s="134"/>
      <c r="BC241" s="134"/>
      <c r="BD241" s="123"/>
      <c r="BE241" s="123"/>
      <c r="BF241" s="123"/>
      <c r="BG241" s="123"/>
      <c r="BH241" s="123"/>
      <c r="BI241" s="123"/>
      <c r="BJ241" s="123"/>
      <c r="BK241" s="123"/>
      <c r="BL241" s="123"/>
      <c r="BM241" s="117">
        <v>0</v>
      </c>
      <c r="BN241" s="123"/>
      <c r="BO241" s="140"/>
      <c r="BP241" s="140"/>
      <c r="BQ241" s="140"/>
      <c r="BR241" s="123"/>
      <c r="BS241" s="141"/>
      <c r="BT241" s="123"/>
      <c r="BU241" s="141"/>
      <c r="BV241" s="123"/>
      <c r="BW241" s="123"/>
      <c r="BX241" s="123"/>
      <c r="BY241" s="123"/>
      <c r="BZ241" s="123"/>
      <c r="CA241" s="123"/>
      <c r="CB241" s="143"/>
      <c r="CC241" s="140"/>
      <c r="CD241" s="120">
        <v>46092</v>
      </c>
      <c r="CE241" s="120">
        <v>46093</v>
      </c>
      <c r="CF241" s="120">
        <v>46094</v>
      </c>
      <c r="CG241" s="123"/>
      <c r="CH241" s="120">
        <v>0</v>
      </c>
      <c r="CI241" s="120" t="s">
        <v>125</v>
      </c>
      <c r="CJ241" s="123"/>
    </row>
    <row r="242" spans="1:88" ht="116.1" hidden="1">
      <c r="A242" s="131" t="s">
        <v>577</v>
      </c>
      <c r="B242" s="49"/>
      <c r="C242" s="49">
        <v>20</v>
      </c>
      <c r="D242" s="107">
        <f>Tracker6[[#This Row],[Estimated Hrs]]-Tracker6[[#This Row],[Actual Efforts (Hrs)]]</f>
        <v>20</v>
      </c>
      <c r="E242" s="134"/>
      <c r="F242" s="134"/>
      <c r="G242" s="150"/>
      <c r="H242" s="149">
        <v>14885834</v>
      </c>
      <c r="I242" s="149">
        <v>14885834</v>
      </c>
      <c r="J242" s="49" t="s">
        <v>603</v>
      </c>
      <c r="K242" s="134" t="s">
        <v>118</v>
      </c>
      <c r="L242" s="134"/>
      <c r="M242" s="134"/>
      <c r="N242" s="134"/>
      <c r="O242" s="111" t="s">
        <v>231</v>
      </c>
      <c r="P242" s="123"/>
      <c r="Q242" s="123"/>
      <c r="R242" s="123"/>
      <c r="S242" s="123"/>
      <c r="T242" s="123"/>
      <c r="U242" s="134"/>
      <c r="V242" s="134"/>
      <c r="W242" s="134"/>
      <c r="X242" s="134"/>
      <c r="Y242" s="134"/>
      <c r="Z242" s="134"/>
      <c r="AA242" s="134"/>
      <c r="AC242" s="134"/>
      <c r="AD242" s="134"/>
      <c r="AE242" s="49"/>
      <c r="AF242" s="136"/>
      <c r="AG242" s="137"/>
      <c r="AH242" s="134"/>
      <c r="AI242" s="134"/>
      <c r="AJ242" s="138"/>
      <c r="AK242" s="134"/>
      <c r="AL242" s="137"/>
      <c r="AM242" s="139"/>
      <c r="AN242" s="139"/>
      <c r="AO242" s="116">
        <v>46106</v>
      </c>
      <c r="AP242" s="134"/>
      <c r="AQ242" s="49"/>
      <c r="AR242" s="49"/>
      <c r="AS242" s="139"/>
      <c r="AT242" s="138"/>
      <c r="AU242" s="138"/>
      <c r="AV242" s="134"/>
      <c r="AW242" s="134"/>
      <c r="AX242" s="108" t="s">
        <v>97</v>
      </c>
      <c r="AY242" s="108" t="s">
        <v>98</v>
      </c>
      <c r="AZ242" s="134"/>
      <c r="BA242" s="134"/>
      <c r="BB242" s="134"/>
      <c r="BC242" s="134"/>
      <c r="BD242" s="123"/>
      <c r="BE242" s="123"/>
      <c r="BF242" s="123"/>
      <c r="BG242" s="123"/>
      <c r="BH242" s="123"/>
      <c r="BI242" s="123"/>
      <c r="BJ242" s="123"/>
      <c r="BK242" s="123"/>
      <c r="BL242" s="123"/>
      <c r="BM242" s="117">
        <v>0</v>
      </c>
      <c r="BN242" s="123"/>
      <c r="BO242" s="140"/>
      <c r="BP242" s="140"/>
      <c r="BQ242" s="140"/>
      <c r="BR242" s="123"/>
      <c r="BS242" s="141"/>
      <c r="BT242" s="123"/>
      <c r="BU242" s="141"/>
      <c r="BV242" s="123"/>
      <c r="BW242" s="123"/>
      <c r="BX242" s="123"/>
      <c r="BY242" s="123"/>
      <c r="BZ242" s="123"/>
      <c r="CA242" s="123"/>
      <c r="CB242" s="143"/>
      <c r="CC242" s="140"/>
      <c r="CD242" s="120">
        <v>46098</v>
      </c>
      <c r="CE242" s="120">
        <v>46099</v>
      </c>
      <c r="CF242" s="120">
        <v>46100</v>
      </c>
      <c r="CG242" s="123"/>
      <c r="CH242" s="120">
        <v>0</v>
      </c>
      <c r="CI242" s="120" t="s">
        <v>125</v>
      </c>
      <c r="CJ242" s="123"/>
    </row>
    <row r="243" spans="1:88" ht="57.95" hidden="1">
      <c r="A243" s="146" t="s">
        <v>577</v>
      </c>
      <c r="B243" s="49">
        <f>4</f>
        <v>4</v>
      </c>
      <c r="C243" s="49">
        <v>20</v>
      </c>
      <c r="D243" s="49">
        <f>Tracker6[[#This Row],[Estimated Hrs]]-Tracker6[[#This Row],[Actual Efforts (Hrs)]]</f>
        <v>16</v>
      </c>
      <c r="E243" s="134"/>
      <c r="F243" s="134"/>
      <c r="G243" s="150"/>
      <c r="H243" s="149">
        <v>14885801</v>
      </c>
      <c r="I243" s="149">
        <v>14885801</v>
      </c>
      <c r="J243" s="49" t="s">
        <v>604</v>
      </c>
      <c r="K243" s="134" t="s">
        <v>118</v>
      </c>
      <c r="L243" s="134"/>
      <c r="M243" s="134"/>
      <c r="N243" s="134" t="s">
        <v>605</v>
      </c>
      <c r="O243" s="111" t="s">
        <v>231</v>
      </c>
      <c r="P243" s="123"/>
      <c r="Q243" s="123"/>
      <c r="R243" s="123"/>
      <c r="S243" s="123"/>
      <c r="T243" s="123"/>
      <c r="U243" s="134"/>
      <c r="V243" s="134"/>
      <c r="W243" s="134"/>
      <c r="X243" s="134"/>
      <c r="Y243" s="134"/>
      <c r="Z243" s="134"/>
      <c r="AA243" s="134"/>
      <c r="AC243" s="134"/>
      <c r="AD243" s="134"/>
      <c r="AE243" s="49"/>
      <c r="AF243" s="136"/>
      <c r="AG243" s="137"/>
      <c r="AH243" s="134"/>
      <c r="AI243" s="134"/>
      <c r="AJ243" s="138"/>
      <c r="AK243" s="134"/>
      <c r="AL243" s="137"/>
      <c r="AM243" s="139"/>
      <c r="AN243" s="139"/>
      <c r="AO243" s="116">
        <v>46113</v>
      </c>
      <c r="AP243" s="134"/>
      <c r="AQ243" s="49"/>
      <c r="AR243" s="49"/>
      <c r="AS243" s="139"/>
      <c r="AT243" s="138"/>
      <c r="AU243" s="138"/>
      <c r="AV243" s="134"/>
      <c r="AW243" s="134"/>
      <c r="AX243" s="108" t="s">
        <v>97</v>
      </c>
      <c r="AY243" s="108" t="s">
        <v>98</v>
      </c>
      <c r="AZ243" s="134"/>
      <c r="BA243" s="134"/>
      <c r="BB243" s="134"/>
      <c r="BC243" s="134"/>
      <c r="BD243" s="123"/>
      <c r="BE243" s="123"/>
      <c r="BF243" s="123"/>
      <c r="BG243" s="123"/>
      <c r="BH243" s="123"/>
      <c r="BI243" s="123"/>
      <c r="BJ243" s="123"/>
      <c r="BK243" s="123"/>
      <c r="BL243" s="123"/>
      <c r="BM243" s="117">
        <v>0</v>
      </c>
      <c r="BN243" s="123"/>
      <c r="BO243" s="140"/>
      <c r="BP243" s="140"/>
      <c r="BQ243" s="140"/>
      <c r="BR243" s="123"/>
      <c r="BS243" s="141"/>
      <c r="BT243" s="123"/>
      <c r="BU243" s="141"/>
      <c r="BV243" s="123"/>
      <c r="BW243" s="123"/>
      <c r="BX243" s="123"/>
      <c r="BY243" s="123"/>
      <c r="BZ243" s="123"/>
      <c r="CA243" s="123"/>
      <c r="CB243" s="143">
        <v>0.02</v>
      </c>
      <c r="CC243" s="140"/>
      <c r="CD243" s="120">
        <v>46104</v>
      </c>
      <c r="CE243" s="120">
        <v>46105</v>
      </c>
      <c r="CF243" s="120">
        <v>46106</v>
      </c>
      <c r="CG243" s="123"/>
      <c r="CH243" s="120">
        <v>0</v>
      </c>
      <c r="CI243" s="120" t="s">
        <v>125</v>
      </c>
      <c r="CJ243" s="123"/>
    </row>
    <row r="244" spans="1:88" ht="57.95" hidden="1">
      <c r="A244" s="146" t="s">
        <v>577</v>
      </c>
      <c r="B244" s="49"/>
      <c r="C244" s="49">
        <v>20</v>
      </c>
      <c r="D244" s="49">
        <f>Tracker6[[#This Row],[Estimated Hrs]]-Tracker6[[#This Row],[Actual Efforts (Hrs)]]</f>
        <v>20</v>
      </c>
      <c r="E244" s="134"/>
      <c r="F244" s="134"/>
      <c r="G244" s="150"/>
      <c r="H244" s="149">
        <v>14885790</v>
      </c>
      <c r="I244" s="149">
        <v>14885790</v>
      </c>
      <c r="J244" s="49" t="s">
        <v>606</v>
      </c>
      <c r="K244" s="134" t="s">
        <v>118</v>
      </c>
      <c r="L244" s="134"/>
      <c r="M244" s="134"/>
      <c r="N244" s="134"/>
      <c r="O244" s="111" t="s">
        <v>231</v>
      </c>
      <c r="P244" s="123"/>
      <c r="Q244" s="123"/>
      <c r="R244" s="123"/>
      <c r="S244" s="123"/>
      <c r="T244" s="123"/>
      <c r="U244" s="134"/>
      <c r="V244" s="134"/>
      <c r="W244" s="134"/>
      <c r="X244" s="134"/>
      <c r="Y244" s="134"/>
      <c r="Z244" s="134"/>
      <c r="AA244" s="134"/>
      <c r="AC244" s="134"/>
      <c r="AD244" s="134"/>
      <c r="AE244" s="49"/>
      <c r="AF244" s="136"/>
      <c r="AG244" s="137"/>
      <c r="AH244" s="134"/>
      <c r="AI244" s="134"/>
      <c r="AJ244" s="138"/>
      <c r="AK244" s="134"/>
      <c r="AL244" s="137"/>
      <c r="AM244" s="139"/>
      <c r="AN244" s="139"/>
      <c r="AO244" s="116">
        <v>46115</v>
      </c>
      <c r="AP244" s="134"/>
      <c r="AQ244" s="49"/>
      <c r="AR244" s="49"/>
      <c r="AS244" s="139"/>
      <c r="AT244" s="138"/>
      <c r="AU244" s="138"/>
      <c r="AV244" s="134"/>
      <c r="AW244" s="134"/>
      <c r="AX244" s="108" t="s">
        <v>97</v>
      </c>
      <c r="AY244" s="108" t="s">
        <v>98</v>
      </c>
      <c r="AZ244" s="134"/>
      <c r="BA244" s="134"/>
      <c r="BB244" s="134"/>
      <c r="BC244" s="134"/>
      <c r="BD244" s="123"/>
      <c r="BE244" s="123"/>
      <c r="BF244" s="123"/>
      <c r="BG244" s="123"/>
      <c r="BH244" s="123"/>
      <c r="BI244" s="123"/>
      <c r="BJ244" s="123"/>
      <c r="BK244" s="123"/>
      <c r="BL244" s="123"/>
      <c r="BM244" s="117">
        <v>0</v>
      </c>
      <c r="BN244" s="123"/>
      <c r="BO244" s="140"/>
      <c r="BP244" s="140"/>
      <c r="BQ244" s="140"/>
      <c r="BR244" s="123"/>
      <c r="BS244" s="141"/>
      <c r="BT244" s="123"/>
      <c r="BU244" s="141"/>
      <c r="BV244" s="123"/>
      <c r="BW244" s="123"/>
      <c r="BX244" s="123"/>
      <c r="BY244" s="123"/>
      <c r="BZ244" s="123"/>
      <c r="CA244" s="123"/>
      <c r="CB244" s="143"/>
      <c r="CC244" s="140"/>
      <c r="CD244" s="120">
        <v>46107</v>
      </c>
      <c r="CE244" s="120">
        <v>46108</v>
      </c>
      <c r="CF244" s="120">
        <v>46111</v>
      </c>
      <c r="CG244" s="123"/>
      <c r="CH244" s="120">
        <v>0</v>
      </c>
      <c r="CI244" s="120" t="s">
        <v>125</v>
      </c>
      <c r="CJ244" s="123"/>
    </row>
    <row r="245" spans="1:88" ht="57.95" hidden="1">
      <c r="A245" s="108" t="s">
        <v>577</v>
      </c>
      <c r="B245" s="49"/>
      <c r="C245" s="49">
        <v>20</v>
      </c>
      <c r="D245" s="107">
        <f>Tracker6[[#This Row],[Estimated Hrs]]-Tracker6[[#This Row],[Actual Efforts (Hrs)]]</f>
        <v>20</v>
      </c>
      <c r="E245" s="134"/>
      <c r="F245" s="134"/>
      <c r="G245" s="150"/>
      <c r="H245" s="149">
        <v>14885767</v>
      </c>
      <c r="I245" s="149">
        <v>14885767</v>
      </c>
      <c r="J245" s="49" t="s">
        <v>607</v>
      </c>
      <c r="K245" s="134" t="s">
        <v>118</v>
      </c>
      <c r="L245" s="134"/>
      <c r="M245" s="134"/>
      <c r="N245" s="134"/>
      <c r="O245" s="111" t="s">
        <v>231</v>
      </c>
      <c r="P245" s="123"/>
      <c r="Q245" s="123"/>
      <c r="R245" s="123"/>
      <c r="S245" s="123"/>
      <c r="T245" s="123"/>
      <c r="U245" s="134"/>
      <c r="V245" s="134"/>
      <c r="W245" s="134"/>
      <c r="X245" s="134"/>
      <c r="Y245" s="134"/>
      <c r="Z245" s="134"/>
      <c r="AA245" s="134"/>
      <c r="AC245" s="134"/>
      <c r="AD245" s="134"/>
      <c r="AE245" s="49"/>
      <c r="AF245" s="136"/>
      <c r="AG245" s="137"/>
      <c r="AH245" s="134"/>
      <c r="AI245" s="134"/>
      <c r="AJ245" s="138"/>
      <c r="AK245" s="134"/>
      <c r="AL245" s="137"/>
      <c r="AM245" s="139"/>
      <c r="AN245" s="139"/>
      <c r="AO245" s="116">
        <v>46119</v>
      </c>
      <c r="AP245" s="134"/>
      <c r="AQ245" s="49"/>
      <c r="AR245" s="49"/>
      <c r="AS245" s="139"/>
      <c r="AT245" s="138"/>
      <c r="AU245" s="138"/>
      <c r="AV245" s="134"/>
      <c r="AW245" s="134"/>
      <c r="AX245" s="108" t="s">
        <v>97</v>
      </c>
      <c r="AY245" s="108" t="s">
        <v>98</v>
      </c>
      <c r="AZ245" s="134"/>
      <c r="BA245" s="134"/>
      <c r="BB245" s="134"/>
      <c r="BC245" s="134"/>
      <c r="BD245" s="123"/>
      <c r="BE245" s="123"/>
      <c r="BF245" s="123"/>
      <c r="BG245" s="123"/>
      <c r="BH245" s="123"/>
      <c r="BI245" s="123"/>
      <c r="BJ245" s="123"/>
      <c r="BK245" s="123"/>
      <c r="BL245" s="123"/>
      <c r="BM245" s="117">
        <v>0</v>
      </c>
      <c r="BN245" s="123"/>
      <c r="BO245" s="140"/>
      <c r="BP245" s="140"/>
      <c r="BQ245" s="140"/>
      <c r="BR245" s="123"/>
      <c r="BS245" s="141"/>
      <c r="BT245" s="123"/>
      <c r="BU245" s="141"/>
      <c r="BV245" s="123"/>
      <c r="BW245" s="123"/>
      <c r="BX245" s="123"/>
      <c r="BY245" s="123"/>
      <c r="BZ245" s="123"/>
      <c r="CA245" s="123"/>
      <c r="CB245" s="143"/>
      <c r="CC245" s="140"/>
      <c r="CD245" s="120">
        <v>46112</v>
      </c>
      <c r="CE245" s="120">
        <v>46113</v>
      </c>
      <c r="CF245" s="120">
        <v>46113</v>
      </c>
      <c r="CG245" s="123"/>
      <c r="CH245" s="120">
        <v>0</v>
      </c>
      <c r="CI245" s="120" t="s">
        <v>125</v>
      </c>
      <c r="CJ245" s="123"/>
    </row>
    <row r="246" spans="1:88" ht="246.6" hidden="1">
      <c r="A246" s="108" t="s">
        <v>577</v>
      </c>
      <c r="B246" s="49">
        <f>4+4+4+1+4+4+2</f>
        <v>23</v>
      </c>
      <c r="C246" s="49">
        <v>24</v>
      </c>
      <c r="D246" s="107">
        <f>Tracker6[[#This Row],[Estimated Hrs]]-Tracker6[[#This Row],[Actual Efforts (Hrs)]]</f>
        <v>1</v>
      </c>
      <c r="E246" s="134"/>
      <c r="F246" s="134"/>
      <c r="G246" s="150"/>
      <c r="H246" s="149">
        <v>14623532</v>
      </c>
      <c r="I246" s="149">
        <v>14623532</v>
      </c>
      <c r="J246" s="49" t="s">
        <v>608</v>
      </c>
      <c r="K246" s="134" t="s">
        <v>118</v>
      </c>
      <c r="L246" s="134"/>
      <c r="M246" s="134"/>
      <c r="N246" s="134" t="s">
        <v>609</v>
      </c>
      <c r="O246" s="111" t="s">
        <v>106</v>
      </c>
      <c r="P246" s="123"/>
      <c r="Q246" s="123"/>
      <c r="R246" s="123"/>
      <c r="S246" s="123"/>
      <c r="T246" s="123"/>
      <c r="U246" s="134"/>
      <c r="V246" s="134"/>
      <c r="W246" s="134"/>
      <c r="X246" s="134"/>
      <c r="Y246" s="134"/>
      <c r="Z246" s="134"/>
      <c r="AA246" s="134"/>
      <c r="AC246" s="134"/>
      <c r="AD246" s="134"/>
      <c r="AE246" s="49"/>
      <c r="AF246" s="136"/>
      <c r="AG246" s="137"/>
      <c r="AH246" s="134"/>
      <c r="AI246" s="134"/>
      <c r="AJ246" s="138"/>
      <c r="AK246" s="134"/>
      <c r="AL246" s="137"/>
      <c r="AM246" s="139"/>
      <c r="AN246" s="139"/>
      <c r="AO246" s="116">
        <v>46106</v>
      </c>
      <c r="AP246" s="134"/>
      <c r="AQ246" s="49"/>
      <c r="AR246" s="49"/>
      <c r="AS246" s="139"/>
      <c r="AT246" s="138"/>
      <c r="AU246" s="138"/>
      <c r="AV246" s="134"/>
      <c r="AW246" s="134"/>
      <c r="AX246" s="108" t="s">
        <v>97</v>
      </c>
      <c r="AY246" s="108" t="s">
        <v>98</v>
      </c>
      <c r="AZ246" s="134"/>
      <c r="BA246" s="134"/>
      <c r="BB246" s="134"/>
      <c r="BC246" s="134"/>
      <c r="BD246" s="123"/>
      <c r="BE246" s="123"/>
      <c r="BF246" s="123"/>
      <c r="BG246" s="123"/>
      <c r="BH246" s="123"/>
      <c r="BI246" s="123"/>
      <c r="BJ246" s="123"/>
      <c r="BK246" s="123"/>
      <c r="BL246" s="123"/>
      <c r="BM246" s="117">
        <v>0</v>
      </c>
      <c r="BN246" s="123"/>
      <c r="BO246" s="140"/>
      <c r="BP246" s="140"/>
      <c r="BQ246" s="140"/>
      <c r="BR246" s="123"/>
      <c r="BS246" s="141"/>
      <c r="BT246" s="123"/>
      <c r="BU246" s="141"/>
      <c r="BV246" s="123"/>
      <c r="BW246" s="123"/>
      <c r="BX246" s="123"/>
      <c r="BY246" s="123"/>
      <c r="BZ246" s="123"/>
      <c r="CA246" s="123"/>
      <c r="CB246" s="143"/>
      <c r="CC246" s="140"/>
      <c r="CD246" s="120">
        <v>46118</v>
      </c>
      <c r="CE246" s="120">
        <v>46119</v>
      </c>
      <c r="CF246" s="120">
        <v>46119</v>
      </c>
      <c r="CG246" s="123"/>
      <c r="CH246" s="120">
        <v>0</v>
      </c>
      <c r="CI246" s="120" t="s">
        <v>125</v>
      </c>
      <c r="CJ246" s="123"/>
    </row>
    <row r="247" spans="1:88" ht="217.5" hidden="1">
      <c r="A247" s="108" t="s">
        <v>577</v>
      </c>
      <c r="B247" s="49">
        <f>3.5+0.5+4+2</f>
        <v>10</v>
      </c>
      <c r="C247" s="49">
        <v>40</v>
      </c>
      <c r="D247" s="107">
        <f>Tracker6[[#This Row],[Estimated Hrs]]-Tracker6[[#This Row],[Actual Efforts (Hrs)]]</f>
        <v>30</v>
      </c>
      <c r="E247" s="134"/>
      <c r="F247" s="134"/>
      <c r="G247" s="150"/>
      <c r="H247" s="149">
        <v>14311799</v>
      </c>
      <c r="I247" s="149">
        <v>14311799</v>
      </c>
      <c r="J247" s="49" t="s">
        <v>610</v>
      </c>
      <c r="K247" s="134" t="s">
        <v>118</v>
      </c>
      <c r="L247" s="134"/>
      <c r="M247" s="134"/>
      <c r="N247" s="134" t="s">
        <v>611</v>
      </c>
      <c r="O247" s="111" t="s">
        <v>106</v>
      </c>
      <c r="P247" s="123"/>
      <c r="Q247" s="123"/>
      <c r="R247" s="123"/>
      <c r="S247" s="123"/>
      <c r="T247" s="123"/>
      <c r="U247" s="134"/>
      <c r="V247" s="134"/>
      <c r="W247" s="134"/>
      <c r="X247" s="134"/>
      <c r="Y247" s="134"/>
      <c r="Z247" s="134"/>
      <c r="AA247" s="134"/>
      <c r="AC247" s="134"/>
      <c r="AD247" s="134"/>
      <c r="AE247" s="49"/>
      <c r="AF247" s="136"/>
      <c r="AG247" s="137"/>
      <c r="AH247" s="134"/>
      <c r="AI247" s="134"/>
      <c r="AJ247" s="138"/>
      <c r="AK247" s="134"/>
      <c r="AL247" s="137"/>
      <c r="AM247" s="139"/>
      <c r="AN247" s="139"/>
      <c r="AO247" s="116">
        <v>46100</v>
      </c>
      <c r="AP247" s="134"/>
      <c r="AQ247" s="49"/>
      <c r="AR247" s="49"/>
      <c r="AS247" s="139"/>
      <c r="AT247" s="138"/>
      <c r="AU247" s="138"/>
      <c r="AV247" s="134"/>
      <c r="AW247" s="134"/>
      <c r="AX247" s="108" t="s">
        <v>97</v>
      </c>
      <c r="AY247" s="108" t="s">
        <v>98</v>
      </c>
      <c r="AZ247" s="134"/>
      <c r="BA247" s="134"/>
      <c r="BB247" s="134"/>
      <c r="BC247" s="134"/>
      <c r="BD247" s="123"/>
      <c r="BE247" s="123"/>
      <c r="BF247" s="123"/>
      <c r="BG247" s="123"/>
      <c r="BH247" s="123"/>
      <c r="BI247" s="123"/>
      <c r="BJ247" s="123"/>
      <c r="BK247" s="123"/>
      <c r="BL247" s="123"/>
      <c r="BM247" s="117">
        <v>0</v>
      </c>
      <c r="BN247" s="123"/>
      <c r="BO247" s="140"/>
      <c r="BP247" s="140"/>
      <c r="BQ247" s="140"/>
      <c r="BR247" s="123"/>
      <c r="BS247" s="141"/>
      <c r="BT247" s="123"/>
      <c r="BU247" s="141"/>
      <c r="BV247" s="123"/>
      <c r="BW247" s="123"/>
      <c r="BX247" s="123"/>
      <c r="BY247" s="123"/>
      <c r="BZ247" s="123"/>
      <c r="CA247" s="123"/>
      <c r="CB247" s="143"/>
      <c r="CC247" s="140"/>
      <c r="CD247" s="120">
        <v>46125</v>
      </c>
      <c r="CE247" s="120">
        <v>46128</v>
      </c>
      <c r="CF247" s="120">
        <v>46133</v>
      </c>
      <c r="CG247" s="123"/>
      <c r="CH247" s="120">
        <v>0</v>
      </c>
      <c r="CI247" s="120" t="s">
        <v>125</v>
      </c>
      <c r="CJ247" s="123"/>
    </row>
    <row r="248" spans="1:88" ht="72.599999999999994" hidden="1">
      <c r="A248" s="146" t="s">
        <v>612</v>
      </c>
      <c r="B248" s="49"/>
      <c r="C248" s="49" t="e">
        <v>#N/A</v>
      </c>
      <c r="D248" s="49"/>
      <c r="E248" s="134"/>
      <c r="F248" s="134" t="s">
        <v>127</v>
      </c>
      <c r="G248" s="150"/>
      <c r="H248" s="271">
        <v>17649144</v>
      </c>
      <c r="I248" s="149">
        <f>Tracker6[[#This Row],[DCR ID - PTC]]</f>
        <v>17649144</v>
      </c>
      <c r="J248" s="49" t="s">
        <v>613</v>
      </c>
      <c r="K248" s="134" t="s">
        <v>101</v>
      </c>
      <c r="L248" s="134" t="s">
        <v>165</v>
      </c>
      <c r="M248" s="134"/>
      <c r="N248" s="281"/>
      <c r="O248" s="111" t="s">
        <v>122</v>
      </c>
      <c r="P248" s="123"/>
      <c r="Q248" s="123"/>
      <c r="R248" s="123"/>
      <c r="S248" s="123"/>
      <c r="T248" s="123"/>
      <c r="U248" s="134"/>
      <c r="V248" s="134"/>
      <c r="W248" s="134"/>
      <c r="X248" s="134"/>
      <c r="Y248" s="134"/>
      <c r="Z248" s="134"/>
      <c r="AA248" s="134" t="s">
        <v>139</v>
      </c>
      <c r="AC248" s="134" t="s">
        <v>165</v>
      </c>
      <c r="AD248" s="134" t="s">
        <v>93</v>
      </c>
      <c r="AE248" s="49"/>
      <c r="AF248" s="136"/>
      <c r="AG248" s="137">
        <v>46003.060347222221</v>
      </c>
      <c r="AH248" s="134" t="s">
        <v>94</v>
      </c>
      <c r="AI248" s="134" t="s">
        <v>95</v>
      </c>
      <c r="AJ248" s="138">
        <v>46034.4375</v>
      </c>
      <c r="AK248" s="134" t="s">
        <v>96</v>
      </c>
      <c r="AL248" s="137">
        <v>45939.505243055559</v>
      </c>
      <c r="AM248" s="139"/>
      <c r="AN248" s="139"/>
      <c r="AO248" s="116" t="e">
        <v>#N/A</v>
      </c>
      <c r="AP248" s="134"/>
      <c r="AQ248" s="49"/>
      <c r="AR248" s="49"/>
      <c r="AS248" s="139"/>
      <c r="AT248" s="138"/>
      <c r="AU248" s="138"/>
      <c r="AV248" s="134"/>
      <c r="AW248" s="134"/>
      <c r="AX248" s="108" t="s">
        <v>97</v>
      </c>
      <c r="AY248" s="108" t="s">
        <v>98</v>
      </c>
      <c r="AZ248" s="134"/>
      <c r="BA248" s="134"/>
      <c r="BB248" s="134"/>
      <c r="BC248" s="134"/>
      <c r="BD248" s="123"/>
      <c r="BE248" s="123"/>
      <c r="BF248" s="123"/>
      <c r="BG248" s="123"/>
      <c r="BH248" s="123"/>
      <c r="BI248" s="123"/>
      <c r="BJ248" s="123"/>
      <c r="BK248" s="123"/>
      <c r="BL248" s="123"/>
      <c r="BM248" s="117" t="e">
        <v>#N/A</v>
      </c>
      <c r="BN248" s="123"/>
      <c r="BO248" s="140"/>
      <c r="BP248" s="140"/>
      <c r="BQ248" s="140"/>
      <c r="BR248" s="123"/>
      <c r="BS248" s="141"/>
      <c r="BT248" s="123"/>
      <c r="BU248" s="141"/>
      <c r="BV248" s="123"/>
      <c r="BW248" s="123"/>
      <c r="BX248" s="123"/>
      <c r="BY248" s="123"/>
      <c r="BZ248" s="123"/>
      <c r="CA248" s="123"/>
      <c r="CB248" s="143"/>
      <c r="CC248" s="140"/>
      <c r="CD248" s="120" t="e">
        <v>#N/A</v>
      </c>
      <c r="CE248" s="120" t="e">
        <v>#N/A</v>
      </c>
      <c r="CF248" s="120" t="e">
        <v>#N/A</v>
      </c>
      <c r="CG248" s="123"/>
      <c r="CH248" s="120" t="e">
        <v>#N/A</v>
      </c>
      <c r="CI248" s="120" t="e">
        <v>#N/A</v>
      </c>
      <c r="CJ248" s="123"/>
    </row>
    <row r="249" spans="1:88" ht="409.5" hidden="1">
      <c r="A249" s="146" t="s">
        <v>612</v>
      </c>
      <c r="B249" s="49">
        <f>3+4.5+7+5.5+8+7+6.5+5+5+3+0.5+8+2+$B$30</f>
        <v>125.5</v>
      </c>
      <c r="C249" s="49">
        <v>203</v>
      </c>
      <c r="D249" s="107">
        <f>Tracker6[[#This Row],[Estimated Hrs]]-Tracker6[[#This Row],[Actual Efforts (Hrs)]]</f>
        <v>77.5</v>
      </c>
      <c r="E249" s="134"/>
      <c r="F249" s="134" t="s">
        <v>148</v>
      </c>
      <c r="G249" s="150" t="s">
        <v>148</v>
      </c>
      <c r="H249" s="271">
        <v>18137175</v>
      </c>
      <c r="I249" s="149">
        <f>Tracker6[[#This Row],[DCR ID - PTC]]</f>
        <v>18137175</v>
      </c>
      <c r="J249" s="134" t="s">
        <v>178</v>
      </c>
      <c r="K249" s="134" t="s">
        <v>118</v>
      </c>
      <c r="L249" s="134" t="s">
        <v>614</v>
      </c>
      <c r="M249" s="134"/>
      <c r="N249" s="134" t="s">
        <v>615</v>
      </c>
      <c r="O249" s="111" t="s">
        <v>106</v>
      </c>
      <c r="P249" s="123"/>
      <c r="Q249" s="123"/>
      <c r="R249" s="123"/>
      <c r="S249" s="123"/>
      <c r="T249" s="123"/>
      <c r="U249" s="134"/>
      <c r="V249" s="134"/>
      <c r="W249" s="134"/>
      <c r="X249" s="134"/>
      <c r="Y249" s="134"/>
      <c r="Z249" s="134"/>
      <c r="AA249" s="134" t="s">
        <v>107</v>
      </c>
      <c r="AC249" s="134" t="s">
        <v>614</v>
      </c>
      <c r="AD249" s="134" t="s">
        <v>93</v>
      </c>
      <c r="AE249" s="49"/>
      <c r="AF249" s="136"/>
      <c r="AG249" s="137">
        <v>46059.070023148146</v>
      </c>
      <c r="AH249" s="134" t="s">
        <v>100</v>
      </c>
      <c r="AI249" s="134" t="s">
        <v>95</v>
      </c>
      <c r="AJ249" s="138">
        <v>46052.4375</v>
      </c>
      <c r="AK249" s="134" t="s">
        <v>96</v>
      </c>
      <c r="AL249" s="137">
        <v>46000.26835648148</v>
      </c>
      <c r="AM249" s="139"/>
      <c r="AN249" s="139"/>
      <c r="AO249" s="116">
        <v>46085</v>
      </c>
      <c r="AP249" s="134"/>
      <c r="AQ249" s="49"/>
      <c r="AR249" s="49"/>
      <c r="AS249" s="139">
        <v>46086</v>
      </c>
      <c r="AT249" s="138">
        <v>46084</v>
      </c>
      <c r="AU249" s="138">
        <v>46085</v>
      </c>
      <c r="AV249" s="134"/>
      <c r="AW249" s="134"/>
      <c r="AX249" s="108" t="s">
        <v>97</v>
      </c>
      <c r="AY249" s="108" t="s">
        <v>98</v>
      </c>
      <c r="AZ249" s="134"/>
      <c r="BA249" s="134"/>
      <c r="BB249" s="134"/>
      <c r="BC249" s="134"/>
      <c r="BD249" s="123"/>
      <c r="BE249" s="123"/>
      <c r="BF249" s="123"/>
      <c r="BG249" s="123"/>
      <c r="BH249" s="123"/>
      <c r="BI249" s="123"/>
      <c r="BJ249" s="123"/>
      <c r="BK249" s="123"/>
      <c r="BL249" s="123"/>
      <c r="BM249" s="117" t="s">
        <v>181</v>
      </c>
      <c r="BN249" s="123"/>
      <c r="BO249" s="140"/>
      <c r="BP249" s="140"/>
      <c r="BQ249" s="140"/>
      <c r="BR249" s="123"/>
      <c r="BS249" s="141"/>
      <c r="BT249" s="123"/>
      <c r="BU249" s="141"/>
      <c r="BV249" s="123"/>
      <c r="BW249" s="123"/>
      <c r="BX249" s="123"/>
      <c r="BY249" s="123"/>
      <c r="BZ249" s="123"/>
      <c r="CA249" s="123"/>
      <c r="CB249" s="143">
        <v>1</v>
      </c>
      <c r="CC249" s="140"/>
      <c r="CD249" s="120">
        <v>46076</v>
      </c>
      <c r="CE249" s="120">
        <v>46077</v>
      </c>
      <c r="CF249" s="120">
        <v>46079</v>
      </c>
      <c r="CG249" s="123"/>
      <c r="CH249" s="120" t="s">
        <v>182</v>
      </c>
      <c r="CI249" s="120" t="s">
        <v>125</v>
      </c>
      <c r="CJ249" s="123"/>
    </row>
    <row r="250" spans="1:88" ht="409.5" hidden="1">
      <c r="A250" s="146" t="s">
        <v>612</v>
      </c>
      <c r="B250" s="49">
        <f>3+4+6.5+7.5+2+0.5+7.25+7+3.5+6.75+4+5.5+3+3.5+1+4</f>
        <v>69</v>
      </c>
      <c r="C250" s="49">
        <f>D249</f>
        <v>77.5</v>
      </c>
      <c r="D250" s="49">
        <f>Tracker6[[#This Row],[Estimated Hrs]]-Tracker6[[#This Row],[Actual Efforts (Hrs)]]</f>
        <v>8.5</v>
      </c>
      <c r="E250" s="134"/>
      <c r="F250" s="134"/>
      <c r="G250" s="150"/>
      <c r="H250" s="286">
        <v>18849862</v>
      </c>
      <c r="I250" s="286">
        <v>18849862</v>
      </c>
      <c r="J250" s="309" t="s">
        <v>616</v>
      </c>
      <c r="K250" s="134" t="s">
        <v>118</v>
      </c>
      <c r="L250" s="134"/>
      <c r="M250" s="298"/>
      <c r="N250" s="280" t="s">
        <v>617</v>
      </c>
      <c r="O250" s="111" t="s">
        <v>115</v>
      </c>
      <c r="P250" s="123"/>
      <c r="Q250" s="123"/>
      <c r="R250" s="123"/>
      <c r="S250" s="123"/>
      <c r="T250" s="123"/>
      <c r="U250" s="134"/>
      <c r="V250" s="134"/>
      <c r="W250" s="134"/>
      <c r="X250" s="134"/>
      <c r="Y250" s="134"/>
      <c r="Z250" s="134"/>
      <c r="AA250" s="134"/>
      <c r="AC250" s="134"/>
      <c r="AD250" s="134"/>
      <c r="AE250" s="49"/>
      <c r="AF250" s="136"/>
      <c r="AG250" s="137"/>
      <c r="AH250" s="134"/>
      <c r="AI250" s="134"/>
      <c r="AJ250" s="138"/>
      <c r="AK250" s="134"/>
      <c r="AL250" s="137"/>
      <c r="AM250" s="139"/>
      <c r="AN250" s="139"/>
      <c r="AO250" s="116">
        <v>46136</v>
      </c>
      <c r="AP250" s="134"/>
      <c r="AQ250" s="49"/>
      <c r="AR250" s="49"/>
      <c r="AS250" s="139"/>
      <c r="AT250" s="138"/>
      <c r="AU250" s="138"/>
      <c r="AV250" s="134"/>
      <c r="AW250" s="134"/>
      <c r="AX250" s="108" t="s">
        <v>97</v>
      </c>
      <c r="AY250" s="108" t="s">
        <v>98</v>
      </c>
      <c r="AZ250" s="134"/>
      <c r="BA250" s="134"/>
      <c r="BB250" s="134"/>
      <c r="BC250" s="134"/>
      <c r="BD250" s="123"/>
      <c r="BE250" s="123"/>
      <c r="BF250" s="123"/>
      <c r="BG250" s="123"/>
      <c r="BH250" s="123"/>
      <c r="BI250" s="123"/>
      <c r="BJ250" s="123"/>
      <c r="BK250" s="123"/>
      <c r="BL250" s="123"/>
      <c r="BM250" s="117" t="s">
        <v>181</v>
      </c>
      <c r="BN250" s="123"/>
      <c r="BO250" s="140"/>
      <c r="BP250" s="140"/>
      <c r="BQ250" s="140"/>
      <c r="BR250" s="123"/>
      <c r="BS250" s="141"/>
      <c r="BT250" s="123"/>
      <c r="BU250" s="141"/>
      <c r="BV250" s="123"/>
      <c r="BW250" s="123"/>
      <c r="BX250" s="123"/>
      <c r="BY250" s="123"/>
      <c r="BZ250" s="123"/>
      <c r="CA250" s="123"/>
      <c r="CB250" s="143">
        <v>0.96499999999999997</v>
      </c>
      <c r="CC250" s="140"/>
      <c r="CD250" s="120">
        <v>46080</v>
      </c>
      <c r="CE250" s="120">
        <v>46083</v>
      </c>
      <c r="CF250" s="120">
        <v>46084</v>
      </c>
      <c r="CG250" s="123"/>
      <c r="CH250" s="120" t="s">
        <v>182</v>
      </c>
      <c r="CI250" s="120" t="s">
        <v>125</v>
      </c>
      <c r="CJ250" s="123" t="s">
        <v>618</v>
      </c>
    </row>
    <row r="251" spans="1:88" ht="116.1" hidden="1" customHeight="1">
      <c r="A251" s="146" t="s">
        <v>612</v>
      </c>
      <c r="B251" s="107">
        <f>3+3+6+3.5+10.75+10+8.5+6.75+8+6.75+3+4.5+6.5+2</f>
        <v>82.25</v>
      </c>
      <c r="C251" s="49">
        <v>200</v>
      </c>
      <c r="D251" s="107">
        <f>Tracker6[[#This Row],[Estimated Hrs]]-Tracker6[[#This Row],[Actual Efforts (Hrs)]]</f>
        <v>117.75</v>
      </c>
      <c r="E251" s="108"/>
      <c r="F251" s="108"/>
      <c r="G251" s="121"/>
      <c r="H251" s="127">
        <v>16826540</v>
      </c>
      <c r="I251" s="127">
        <v>16826540</v>
      </c>
      <c r="J251" s="107" t="s">
        <v>619</v>
      </c>
      <c r="K251" s="134" t="s">
        <v>101</v>
      </c>
      <c r="L251" s="108"/>
      <c r="M251" s="108"/>
      <c r="N251" s="110" t="s">
        <v>620</v>
      </c>
      <c r="O251" s="111" t="s">
        <v>115</v>
      </c>
      <c r="P251" s="111"/>
      <c r="Q251" s="111"/>
      <c r="R251" s="111"/>
      <c r="S251" s="111"/>
      <c r="T251" s="111"/>
      <c r="U251" s="108"/>
      <c r="V251" s="108"/>
      <c r="W251" s="108"/>
      <c r="X251" s="108"/>
      <c r="Y251" s="108"/>
      <c r="Z251" s="108"/>
      <c r="AA251" s="108"/>
      <c r="AB251" s="112"/>
      <c r="AC251" s="108"/>
      <c r="AD251" s="108"/>
      <c r="AE251" s="107"/>
      <c r="AF251" s="113"/>
      <c r="AG251" s="115"/>
      <c r="AH251" s="108"/>
      <c r="AI251" s="108"/>
      <c r="AJ251" s="114"/>
      <c r="AK251" s="108"/>
      <c r="AL251" s="115"/>
      <c r="AM251" s="116"/>
      <c r="AN251" s="116"/>
      <c r="AO251" s="116" t="s">
        <v>621</v>
      </c>
      <c r="AP251" s="108"/>
      <c r="AQ251" s="107"/>
      <c r="AR251" s="107"/>
      <c r="AS251" s="116"/>
      <c r="AT251" s="114"/>
      <c r="AU251" s="114"/>
      <c r="AV251" s="108"/>
      <c r="AW251" s="108"/>
      <c r="AX251" s="108" t="s">
        <v>97</v>
      </c>
      <c r="AY251" s="108" t="s">
        <v>98</v>
      </c>
      <c r="AZ251" s="108"/>
      <c r="BA251" s="108"/>
      <c r="BB251" s="108"/>
      <c r="BC251" s="108"/>
      <c r="BD251" s="111"/>
      <c r="BE251" s="111"/>
      <c r="BF251" s="111"/>
      <c r="BG251" s="111"/>
      <c r="BH251" s="111"/>
      <c r="BI251" s="111"/>
      <c r="BJ251" s="111"/>
      <c r="BK251" s="111"/>
      <c r="BL251" s="111"/>
      <c r="BM251" s="117" t="s">
        <v>400</v>
      </c>
      <c r="BN251" s="111"/>
      <c r="BO251" s="117"/>
      <c r="BP251" s="117"/>
      <c r="BQ251" s="117"/>
      <c r="BR251" s="111"/>
      <c r="BS251" s="118"/>
      <c r="BT251" s="111"/>
      <c r="BU251" s="118"/>
      <c r="BV251" s="111"/>
      <c r="BW251" s="111"/>
      <c r="BX251" s="111"/>
      <c r="BY251" s="111"/>
      <c r="BZ251" s="111"/>
      <c r="CA251" s="111"/>
      <c r="CB251" s="119"/>
      <c r="CC251" s="117"/>
      <c r="CD251" s="120">
        <v>0</v>
      </c>
      <c r="CE251" s="120">
        <v>0</v>
      </c>
      <c r="CF251" s="120">
        <v>0</v>
      </c>
      <c r="CG251" s="111"/>
      <c r="CH251" s="120" t="s">
        <v>182</v>
      </c>
      <c r="CI251" s="120">
        <v>0</v>
      </c>
      <c r="CJ251" s="111"/>
    </row>
    <row r="252" spans="1:88" ht="159.6" hidden="1" customHeight="1">
      <c r="A252" s="106" t="s">
        <v>612</v>
      </c>
      <c r="B252" s="107">
        <f>6+8+6+0.5+2</f>
        <v>22.5</v>
      </c>
      <c r="C252" s="107">
        <v>24</v>
      </c>
      <c r="D252" s="107">
        <f>Tracker6[[#This Row],[Estimated Hrs]]-Tracker6[[#This Row],[Actual Efforts (Hrs)]]</f>
        <v>1.5</v>
      </c>
      <c r="E252" s="108"/>
      <c r="F252" s="108" t="s">
        <v>148</v>
      </c>
      <c r="G252" s="121" t="s">
        <v>148</v>
      </c>
      <c r="H252" s="109">
        <v>18920541</v>
      </c>
      <c r="I252" s="127">
        <v>18920541</v>
      </c>
      <c r="J252" s="108" t="s">
        <v>151</v>
      </c>
      <c r="K252" s="108" t="s">
        <v>118</v>
      </c>
      <c r="L252" s="108"/>
      <c r="M252" s="108"/>
      <c r="N252" s="110" t="s">
        <v>622</v>
      </c>
      <c r="O252" s="111" t="s">
        <v>106</v>
      </c>
      <c r="P252" s="111"/>
      <c r="Q252" s="111"/>
      <c r="R252" s="111"/>
      <c r="S252" s="111"/>
      <c r="T252" s="111"/>
      <c r="U252" s="108"/>
      <c r="V252" s="108"/>
      <c r="W252" s="108"/>
      <c r="X252" s="108"/>
      <c r="Y252" s="108"/>
      <c r="Z252" s="108"/>
      <c r="AA252" s="108"/>
      <c r="AB252" s="112"/>
      <c r="AC252" s="108"/>
      <c r="AD252" s="108"/>
      <c r="AE252" s="107"/>
      <c r="AF252" s="113"/>
      <c r="AG252" s="115"/>
      <c r="AH252" s="108"/>
      <c r="AI252" s="108"/>
      <c r="AJ252" s="114"/>
      <c r="AK252" s="108"/>
      <c r="AL252" s="115"/>
      <c r="AM252" s="116"/>
      <c r="AN252" s="116"/>
      <c r="AO252" s="116">
        <v>46085</v>
      </c>
      <c r="AP252" s="108"/>
      <c r="AQ252" s="107"/>
      <c r="AR252" s="107"/>
      <c r="AS252" s="116">
        <v>46086</v>
      </c>
      <c r="AT252" s="114">
        <v>46084</v>
      </c>
      <c r="AU252" s="114">
        <v>46085</v>
      </c>
      <c r="AV252" s="108"/>
      <c r="AW252" s="108"/>
      <c r="AX252" s="108" t="s">
        <v>97</v>
      </c>
      <c r="AY252" s="108" t="s">
        <v>98</v>
      </c>
      <c r="AZ252" s="108"/>
      <c r="BA252" s="108"/>
      <c r="BB252" s="108"/>
      <c r="BC252" s="108"/>
      <c r="BD252" s="111"/>
      <c r="BE252" s="111"/>
      <c r="BF252" s="111"/>
      <c r="BG252" s="111"/>
      <c r="BH252" s="111"/>
      <c r="BI252" s="111"/>
      <c r="BJ252" s="111"/>
      <c r="BK252" s="111"/>
      <c r="BL252" s="111"/>
      <c r="BM252" s="117"/>
      <c r="BN252" s="111"/>
      <c r="BO252" s="117"/>
      <c r="BP252" s="117"/>
      <c r="BQ252" s="117"/>
      <c r="BR252" s="111"/>
      <c r="BS252" s="118"/>
      <c r="BT252" s="111"/>
      <c r="BU252" s="118"/>
      <c r="BV252" s="111"/>
      <c r="BW252" s="111"/>
      <c r="BX252" s="111"/>
      <c r="BY252" s="111"/>
      <c r="BZ252" s="111"/>
      <c r="CA252" s="111"/>
      <c r="CB252" s="119">
        <v>1</v>
      </c>
      <c r="CC252" s="117"/>
      <c r="CD252" s="132"/>
      <c r="CE252" s="132"/>
      <c r="CF252" s="132"/>
      <c r="CG252" s="111"/>
      <c r="CH252" s="132"/>
      <c r="CI252" s="132"/>
      <c r="CJ252" s="111"/>
    </row>
    <row r="253" spans="1:88" ht="174" hidden="1" customHeight="1">
      <c r="A253" s="106" t="s">
        <v>623</v>
      </c>
      <c r="B253" s="107"/>
      <c r="C253" s="107" t="e">
        <v>#N/A</v>
      </c>
      <c r="D253" s="107"/>
      <c r="E253" s="108"/>
      <c r="F253" s="108" t="s">
        <v>89</v>
      </c>
      <c r="G253" s="284"/>
      <c r="H253" s="151">
        <v>16070942</v>
      </c>
      <c r="I253" s="127">
        <f>Tracker6[[#This Row],[DCR ID - PTC]]</f>
        <v>16070942</v>
      </c>
      <c r="J253" s="108" t="s">
        <v>624</v>
      </c>
      <c r="K253" s="108" t="s">
        <v>101</v>
      </c>
      <c r="L253" s="108" t="s">
        <v>131</v>
      </c>
      <c r="M253" s="108"/>
      <c r="N253" s="110"/>
      <c r="O253" s="111"/>
      <c r="P253" s="111"/>
      <c r="Q253" s="111"/>
      <c r="R253" s="111"/>
      <c r="S253" s="111"/>
      <c r="T253" s="111"/>
      <c r="U253" s="108"/>
      <c r="V253" s="108"/>
      <c r="W253" s="108"/>
      <c r="X253" s="108"/>
      <c r="Y253" s="108"/>
      <c r="Z253" s="108"/>
      <c r="AA253" s="108" t="s">
        <v>92</v>
      </c>
      <c r="AB253" s="112"/>
      <c r="AC253" s="108" t="s">
        <v>131</v>
      </c>
      <c r="AD253" s="108" t="s">
        <v>93</v>
      </c>
      <c r="AE253" s="107"/>
      <c r="AF253" s="113"/>
      <c r="AG253" s="115">
        <v>45882.922696759262</v>
      </c>
      <c r="AH253" s="108" t="s">
        <v>94</v>
      </c>
      <c r="AI253" s="108" t="s">
        <v>95</v>
      </c>
      <c r="AJ253" s="114">
        <v>45869.395833333336</v>
      </c>
      <c r="AK253" s="108" t="s">
        <v>96</v>
      </c>
      <c r="AL253" s="115">
        <v>45743.85355324074</v>
      </c>
      <c r="AM253" s="116"/>
      <c r="AN253" s="116"/>
      <c r="AO253" s="116" t="e">
        <v>#N/A</v>
      </c>
      <c r="AP253" s="108"/>
      <c r="AQ253" s="107"/>
      <c r="AR253" s="107"/>
      <c r="AS253" s="116"/>
      <c r="AT253" s="114"/>
      <c r="AU253" s="114"/>
      <c r="AV253" s="108"/>
      <c r="AW253" s="108"/>
      <c r="AX253" s="108" t="s">
        <v>97</v>
      </c>
      <c r="AY253" s="108" t="s">
        <v>98</v>
      </c>
      <c r="AZ253" s="294"/>
      <c r="BA253" s="108"/>
      <c r="BB253" s="108"/>
      <c r="BC253" s="108"/>
      <c r="BD253" s="111"/>
      <c r="BE253" s="111"/>
      <c r="BF253" s="111"/>
      <c r="BG253" s="111"/>
      <c r="BH253" s="111"/>
      <c r="BI253" s="111"/>
      <c r="BJ253" s="111"/>
      <c r="BK253" s="111"/>
      <c r="BL253" s="111"/>
      <c r="BM253" s="117" t="e">
        <v>#N/A</v>
      </c>
      <c r="BN253" s="111"/>
      <c r="BO253" s="117"/>
      <c r="BP253" s="117"/>
      <c r="BQ253" s="117"/>
      <c r="BR253" s="111"/>
      <c r="BS253" s="118"/>
      <c r="BT253" s="111"/>
      <c r="BU253" s="118"/>
      <c r="BV253" s="111"/>
      <c r="BW253" s="111"/>
      <c r="BX253" s="111"/>
      <c r="BY253" s="111"/>
      <c r="BZ253" s="111"/>
      <c r="CA253" s="111"/>
      <c r="CB253" s="119"/>
      <c r="CC253" s="117"/>
      <c r="CD253" s="132" t="e">
        <v>#N/A</v>
      </c>
      <c r="CE253" s="132" t="e">
        <v>#N/A</v>
      </c>
      <c r="CF253" s="132" t="e">
        <v>#N/A</v>
      </c>
      <c r="CG253" s="111"/>
      <c r="CH253" s="132" t="e">
        <v>#N/A</v>
      </c>
      <c r="CI253" s="132" t="e">
        <v>#N/A</v>
      </c>
      <c r="CJ253" s="111"/>
    </row>
    <row r="254" spans="1:88" ht="57.95" hidden="1" customHeight="1">
      <c r="A254" s="106" t="s">
        <v>171</v>
      </c>
      <c r="B254" s="49">
        <f>5+4+7.75+6.5+8+5+7.5+7.5</f>
        <v>51.25</v>
      </c>
      <c r="C254" s="49">
        <v>40</v>
      </c>
      <c r="D254" s="49">
        <f>Tracker6[[#This Row],[Estimated Hrs]]-Tracker6[[#This Row],[Actual Efforts (Hrs)]]</f>
        <v>-11.25</v>
      </c>
      <c r="E254" s="134"/>
      <c r="F254" s="134" t="s">
        <v>89</v>
      </c>
      <c r="G254" s="150"/>
      <c r="H254" s="154">
        <v>16613144</v>
      </c>
      <c r="I254" s="149">
        <f>Tracker6[[#This Row],[DCR ID - PTC]]</f>
        <v>16613144</v>
      </c>
      <c r="J254" s="134" t="s">
        <v>625</v>
      </c>
      <c r="K254" s="134" t="s">
        <v>101</v>
      </c>
      <c r="L254" s="134" t="s">
        <v>131</v>
      </c>
      <c r="M254" s="134"/>
      <c r="N254" s="110" t="s">
        <v>626</v>
      </c>
      <c r="O254" s="111" t="s">
        <v>115</v>
      </c>
      <c r="P254" s="123"/>
      <c r="Q254" s="123"/>
      <c r="R254" s="123"/>
      <c r="S254" s="123"/>
      <c r="T254" s="123"/>
      <c r="U254" s="134"/>
      <c r="V254" s="134"/>
      <c r="W254" s="134"/>
      <c r="X254" s="134"/>
      <c r="Y254" s="134"/>
      <c r="Z254" s="134"/>
      <c r="AA254" s="134" t="s">
        <v>174</v>
      </c>
      <c r="AC254" s="134" t="s">
        <v>131</v>
      </c>
      <c r="AD254" s="134" t="s">
        <v>93</v>
      </c>
      <c r="AE254" s="49"/>
      <c r="AF254" s="136"/>
      <c r="AG254" s="137">
        <v>45896.07167824074</v>
      </c>
      <c r="AH254" s="134" t="s">
        <v>94</v>
      </c>
      <c r="AI254" s="134" t="s">
        <v>95</v>
      </c>
      <c r="AJ254" s="138">
        <v>45962.395833333336</v>
      </c>
      <c r="AK254" s="134" t="s">
        <v>96</v>
      </c>
      <c r="AL254" s="137">
        <v>45817.870775462965</v>
      </c>
      <c r="AM254" s="139"/>
      <c r="AN254" s="139"/>
      <c r="AO254" s="116" t="e">
        <v>#N/A</v>
      </c>
      <c r="AP254" s="134"/>
      <c r="AQ254" s="49"/>
      <c r="AR254" s="49"/>
      <c r="AS254" s="139"/>
      <c r="AT254" s="138"/>
      <c r="AU254" s="138"/>
      <c r="AV254" s="134"/>
      <c r="AW254" s="134"/>
      <c r="AX254" s="134" t="s">
        <v>97</v>
      </c>
      <c r="AY254" s="134" t="s">
        <v>98</v>
      </c>
      <c r="AZ254" s="134"/>
      <c r="BA254" s="134"/>
      <c r="BB254" s="134"/>
      <c r="BC254" s="134"/>
      <c r="BD254" s="123"/>
      <c r="BE254" s="123"/>
      <c r="BF254" s="123"/>
      <c r="BG254" s="123"/>
      <c r="BH254" s="123"/>
      <c r="BI254" s="123"/>
      <c r="BJ254" s="123"/>
      <c r="BK254" s="123"/>
      <c r="BL254" s="123"/>
      <c r="BM254" s="117" t="e">
        <v>#N/A</v>
      </c>
      <c r="BN254" s="123"/>
      <c r="BO254" s="140"/>
      <c r="BP254" s="140"/>
      <c r="BQ254" s="140"/>
      <c r="BR254" s="123"/>
      <c r="BS254" s="141"/>
      <c r="BT254" s="123"/>
      <c r="BU254" s="141"/>
      <c r="BV254" s="123"/>
      <c r="BW254" s="123"/>
      <c r="BX254" s="123"/>
      <c r="BY254" s="123"/>
      <c r="BZ254" s="123"/>
      <c r="CA254" s="123"/>
      <c r="CB254" s="143"/>
      <c r="CC254" s="140"/>
      <c r="CD254" s="120" t="e">
        <v>#N/A</v>
      </c>
      <c r="CE254" s="120" t="e">
        <v>#N/A</v>
      </c>
      <c r="CF254" s="120" t="e">
        <v>#N/A</v>
      </c>
      <c r="CG254" s="123"/>
      <c r="CH254" s="120" t="e">
        <v>#N/A</v>
      </c>
      <c r="CI254" s="120" t="e">
        <v>#N/A</v>
      </c>
      <c r="CJ254" s="123"/>
    </row>
    <row r="255" spans="1:88" ht="101.45" hidden="1" customHeight="1">
      <c r="A255" s="147" t="s">
        <v>623</v>
      </c>
      <c r="B255" s="49"/>
      <c r="C255" s="49" t="e">
        <v>#N/A</v>
      </c>
      <c r="D255" s="107"/>
      <c r="E255" s="134"/>
      <c r="F255" s="134" t="s">
        <v>89</v>
      </c>
      <c r="G255" s="150"/>
      <c r="H255" s="154">
        <v>17305532</v>
      </c>
      <c r="I255" s="149">
        <f>Tracker6[[#This Row],[DCR ID - PTC]]</f>
        <v>17305532</v>
      </c>
      <c r="J255" s="134" t="s">
        <v>627</v>
      </c>
      <c r="K255" s="134" t="s">
        <v>101</v>
      </c>
      <c r="L255" s="134" t="s">
        <v>628</v>
      </c>
      <c r="M255" s="134"/>
      <c r="N255" s="124"/>
      <c r="O255" s="123"/>
      <c r="P255" s="123"/>
      <c r="Q255" s="123"/>
      <c r="R255" s="123"/>
      <c r="S255" s="123"/>
      <c r="T255" s="123"/>
      <c r="U255" s="134"/>
      <c r="V255" s="134"/>
      <c r="W255" s="134"/>
      <c r="X255" s="134"/>
      <c r="Y255" s="134"/>
      <c r="Z255" s="134"/>
      <c r="AA255" s="134" t="s">
        <v>92</v>
      </c>
      <c r="AB255" s="29">
        <v>45961</v>
      </c>
      <c r="AC255" s="134" t="s">
        <v>628</v>
      </c>
      <c r="AD255" s="134" t="s">
        <v>93</v>
      </c>
      <c r="AE255" s="49"/>
      <c r="AF255" s="136"/>
      <c r="AG255" s="137">
        <v>45945.04482638889</v>
      </c>
      <c r="AH255" s="134" t="s">
        <v>94</v>
      </c>
      <c r="AI255" s="134" t="s">
        <v>95</v>
      </c>
      <c r="AJ255" s="138">
        <v>45869.609027777777</v>
      </c>
      <c r="AK255" s="134" t="s">
        <v>96</v>
      </c>
      <c r="AL255" s="137">
        <v>45888.609270833331</v>
      </c>
      <c r="AM255" s="139"/>
      <c r="AN255" s="139"/>
      <c r="AO255" s="139" t="e">
        <v>#N/A</v>
      </c>
      <c r="AP255" s="134"/>
      <c r="AQ255" s="49"/>
      <c r="AR255" s="49"/>
      <c r="AS255" s="139"/>
      <c r="AT255" s="138"/>
      <c r="AU255" s="138"/>
      <c r="AV255" s="134"/>
      <c r="AW255" s="134"/>
      <c r="AX255" s="134" t="s">
        <v>97</v>
      </c>
      <c r="AY255" s="134" t="s">
        <v>98</v>
      </c>
      <c r="AZ255" s="134"/>
      <c r="BA255" s="134"/>
      <c r="BB255" s="134"/>
      <c r="BC255" s="134"/>
      <c r="BD255" s="123"/>
      <c r="BE255" s="123"/>
      <c r="BF255" s="123"/>
      <c r="BG255" s="123"/>
      <c r="BH255" s="123"/>
      <c r="BI255" s="123"/>
      <c r="BJ255" s="123"/>
      <c r="BK255" s="123"/>
      <c r="BL255" s="123"/>
      <c r="BM255" s="140" t="e">
        <v>#N/A</v>
      </c>
      <c r="BN255" s="123"/>
      <c r="BO255" s="140"/>
      <c r="BP255" s="140"/>
      <c r="BQ255" s="140"/>
      <c r="BR255" s="123"/>
      <c r="BS255" s="141"/>
      <c r="BT255" s="123"/>
      <c r="BU255" s="141"/>
      <c r="BV255" s="123"/>
      <c r="BW255" s="123"/>
      <c r="BX255" s="123"/>
      <c r="BY255" s="123"/>
      <c r="BZ255" s="123"/>
      <c r="CA255" s="123"/>
      <c r="CB255" s="143"/>
      <c r="CC255" s="140"/>
      <c r="CD255" s="132" t="e">
        <v>#N/A</v>
      </c>
      <c r="CE255" s="132" t="e">
        <v>#N/A</v>
      </c>
      <c r="CF255" s="132" t="e">
        <v>#N/A</v>
      </c>
      <c r="CG255" s="123"/>
      <c r="CH255" s="258" t="e">
        <v>#N/A</v>
      </c>
      <c r="CI255" s="132" t="e">
        <v>#N/A</v>
      </c>
      <c r="CJ255" s="123"/>
    </row>
    <row r="256" spans="1:88" ht="57.95" hidden="1">
      <c r="A256" s="106" t="s">
        <v>623</v>
      </c>
      <c r="B256" s="107"/>
      <c r="C256" s="107" t="e">
        <v>#N/A</v>
      </c>
      <c r="D256" s="107"/>
      <c r="E256" s="108"/>
      <c r="F256" s="108" t="s">
        <v>89</v>
      </c>
      <c r="G256" s="121"/>
      <c r="H256" s="151">
        <v>17445400</v>
      </c>
      <c r="I256" s="127">
        <f>Tracker6[[#This Row],[DCR ID - PTC]]</f>
        <v>17445400</v>
      </c>
      <c r="J256" s="108" t="s">
        <v>629</v>
      </c>
      <c r="K256" s="108" t="s">
        <v>101</v>
      </c>
      <c r="L256" s="108" t="s">
        <v>131</v>
      </c>
      <c r="M256" s="108"/>
      <c r="N256" s="110"/>
      <c r="O256" s="111"/>
      <c r="P256" s="111"/>
      <c r="Q256" s="111"/>
      <c r="R256" s="111"/>
      <c r="S256" s="111"/>
      <c r="T256" s="111"/>
      <c r="U256" s="108"/>
      <c r="V256" s="108"/>
      <c r="W256" s="108"/>
      <c r="X256" s="108"/>
      <c r="Y256" s="108"/>
      <c r="Z256" s="108"/>
      <c r="AA256" s="108" t="s">
        <v>92</v>
      </c>
      <c r="AB256" s="112"/>
      <c r="AC256" s="108" t="s">
        <v>131</v>
      </c>
      <c r="AD256" s="108" t="s">
        <v>146</v>
      </c>
      <c r="AE256" s="107"/>
      <c r="AF256" s="113"/>
      <c r="AG256" s="115">
        <v>45943.889328703706</v>
      </c>
      <c r="AH256" s="108" t="s">
        <v>94</v>
      </c>
      <c r="AI256" s="108" t="s">
        <v>95</v>
      </c>
      <c r="AJ256" s="114">
        <v>45961.551504629628</v>
      </c>
      <c r="AK256" s="108" t="s">
        <v>96</v>
      </c>
      <c r="AL256" s="115">
        <v>45908.552060185182</v>
      </c>
      <c r="AM256" s="116"/>
      <c r="AN256" s="116"/>
      <c r="AO256" s="116" t="e">
        <v>#N/A</v>
      </c>
      <c r="AP256" s="108"/>
      <c r="AQ256" s="107"/>
      <c r="AR256" s="107"/>
      <c r="AS256" s="116"/>
      <c r="AT256" s="114"/>
      <c r="AU256" s="114"/>
      <c r="AV256" s="108"/>
      <c r="AW256" s="108"/>
      <c r="AX256" s="108" t="s">
        <v>97</v>
      </c>
      <c r="AY256" s="108" t="s">
        <v>98</v>
      </c>
      <c r="AZ256" s="108"/>
      <c r="BA256" s="108"/>
      <c r="BB256" s="108"/>
      <c r="BC256" s="108"/>
      <c r="BD256" s="111"/>
      <c r="BE256" s="111"/>
      <c r="BF256" s="111"/>
      <c r="BG256" s="111"/>
      <c r="BH256" s="111"/>
      <c r="BI256" s="111"/>
      <c r="BJ256" s="111"/>
      <c r="BK256" s="111"/>
      <c r="BL256" s="111"/>
      <c r="BM256" s="117" t="e">
        <v>#N/A</v>
      </c>
      <c r="BN256" s="111"/>
      <c r="BO256" s="117"/>
      <c r="BP256" s="117"/>
      <c r="BQ256" s="117"/>
      <c r="BR256" s="111"/>
      <c r="BS256" s="118"/>
      <c r="BT256" s="111"/>
      <c r="BU256" s="118"/>
      <c r="BV256" s="111"/>
      <c r="BW256" s="111"/>
      <c r="BX256" s="111"/>
      <c r="BY256" s="111"/>
      <c r="BZ256" s="111"/>
      <c r="CA256" s="111"/>
      <c r="CB256" s="119"/>
      <c r="CC256" s="117"/>
      <c r="CD256" s="132" t="e">
        <v>#N/A</v>
      </c>
      <c r="CE256" s="132" t="e">
        <v>#N/A</v>
      </c>
      <c r="CF256" s="132" t="e">
        <v>#N/A</v>
      </c>
      <c r="CG256" s="111"/>
      <c r="CH256" s="259" t="e">
        <v>#N/A</v>
      </c>
      <c r="CI256" s="132" t="e">
        <v>#N/A</v>
      </c>
      <c r="CJ256" s="111"/>
    </row>
    <row r="257" spans="1:88" ht="57.95" hidden="1">
      <c r="A257" s="106" t="s">
        <v>623</v>
      </c>
      <c r="B257" s="107"/>
      <c r="C257" s="107" t="e">
        <v>#N/A</v>
      </c>
      <c r="D257" s="107"/>
      <c r="E257" s="108"/>
      <c r="F257" s="108" t="s">
        <v>89</v>
      </c>
      <c r="G257" s="121"/>
      <c r="H257" s="151">
        <v>17462586</v>
      </c>
      <c r="I257" s="127">
        <f>Tracker6[[#This Row],[DCR ID - PTC]]</f>
        <v>17462586</v>
      </c>
      <c r="J257" s="108" t="s">
        <v>630</v>
      </c>
      <c r="K257" s="108" t="s">
        <v>101</v>
      </c>
      <c r="L257" s="108" t="s">
        <v>131</v>
      </c>
      <c r="M257" s="108"/>
      <c r="N257" s="108"/>
      <c r="O257" s="111"/>
      <c r="P257" s="111"/>
      <c r="Q257" s="111"/>
      <c r="R257" s="111"/>
      <c r="S257" s="111"/>
      <c r="T257" s="111"/>
      <c r="U257" s="108"/>
      <c r="V257" s="108"/>
      <c r="W257" s="108"/>
      <c r="X257" s="108"/>
      <c r="Y257" s="108"/>
      <c r="Z257" s="108"/>
      <c r="AA257" s="108" t="s">
        <v>92</v>
      </c>
      <c r="AB257" s="112"/>
      <c r="AC257" s="108" t="s">
        <v>131</v>
      </c>
      <c r="AD257" s="108" t="s">
        <v>146</v>
      </c>
      <c r="AE257" s="107"/>
      <c r="AF257" s="113"/>
      <c r="AG257" s="115">
        <v>45943.88857638889</v>
      </c>
      <c r="AH257" s="108" t="s">
        <v>94</v>
      </c>
      <c r="AI257" s="108" t="s">
        <v>95</v>
      </c>
      <c r="AJ257" s="114">
        <v>45961.395833333336</v>
      </c>
      <c r="AK257" s="108" t="s">
        <v>96</v>
      </c>
      <c r="AL257" s="115">
        <v>45910.638923611114</v>
      </c>
      <c r="AM257" s="116"/>
      <c r="AN257" s="116"/>
      <c r="AO257" s="116" t="e">
        <v>#N/A</v>
      </c>
      <c r="AP257" s="108"/>
      <c r="AQ257" s="107"/>
      <c r="AR257" s="107"/>
      <c r="AS257" s="116"/>
      <c r="AT257" s="114"/>
      <c r="AU257" s="114"/>
      <c r="AV257" s="108"/>
      <c r="AW257" s="108"/>
      <c r="AX257" s="108" t="s">
        <v>97</v>
      </c>
      <c r="AY257" s="108" t="s">
        <v>98</v>
      </c>
      <c r="AZ257" s="108"/>
      <c r="BA257" s="108"/>
      <c r="BB257" s="108"/>
      <c r="BC257" s="108"/>
      <c r="BD257" s="111"/>
      <c r="BE257" s="111"/>
      <c r="BF257" s="111"/>
      <c r="BG257" s="111"/>
      <c r="BH257" s="111"/>
      <c r="BI257" s="111"/>
      <c r="BJ257" s="111"/>
      <c r="BK257" s="111"/>
      <c r="BL257" s="111"/>
      <c r="BM257" s="117" t="e">
        <v>#N/A</v>
      </c>
      <c r="BN257" s="111"/>
      <c r="BO257" s="117"/>
      <c r="BP257" s="117"/>
      <c r="BQ257" s="117"/>
      <c r="BR257" s="111"/>
      <c r="BS257" s="118"/>
      <c r="BT257" s="111"/>
      <c r="BU257" s="118"/>
      <c r="BV257" s="111"/>
      <c r="BW257" s="111"/>
      <c r="BX257" s="111"/>
      <c r="BY257" s="111"/>
      <c r="BZ257" s="111"/>
      <c r="CA257" s="111"/>
      <c r="CB257" s="119"/>
      <c r="CC257" s="117"/>
      <c r="CD257" s="132" t="e">
        <v>#N/A</v>
      </c>
      <c r="CE257" s="132" t="e">
        <v>#N/A</v>
      </c>
      <c r="CF257" s="132" t="e">
        <v>#N/A</v>
      </c>
      <c r="CG257" s="111"/>
      <c r="CH257" s="132" t="e">
        <v>#N/A</v>
      </c>
      <c r="CI257" s="132" t="e">
        <v>#N/A</v>
      </c>
      <c r="CJ257" s="111"/>
    </row>
    <row r="258" spans="1:88" ht="203.1" hidden="1">
      <c r="A258" s="106" t="s">
        <v>623</v>
      </c>
      <c r="B258" s="107">
        <f>15.5+0.5+0.5+0.5</f>
        <v>17</v>
      </c>
      <c r="C258" s="107">
        <v>15</v>
      </c>
      <c r="D258" s="107">
        <f>Tracker6[[#This Row],[Estimated Hrs]]-Tracker6[[#This Row],[Actual Efforts (Hrs)]]</f>
        <v>-2</v>
      </c>
      <c r="E258" s="108"/>
      <c r="F258" s="108" t="s">
        <v>148</v>
      </c>
      <c r="G258" s="121" t="s">
        <v>148</v>
      </c>
      <c r="H258" s="151">
        <v>18621409</v>
      </c>
      <c r="I258" s="127">
        <f>Tracker6[[#This Row],[DCR ID - PTC]]</f>
        <v>18621409</v>
      </c>
      <c r="J258" s="108" t="s">
        <v>631</v>
      </c>
      <c r="K258" s="108" t="s">
        <v>118</v>
      </c>
      <c r="L258" s="108"/>
      <c r="M258" s="108"/>
      <c r="N258" s="108" t="s">
        <v>632</v>
      </c>
      <c r="O258" s="111" t="s">
        <v>106</v>
      </c>
      <c r="P258" s="111"/>
      <c r="Q258" s="111"/>
      <c r="R258" s="111"/>
      <c r="S258" s="111"/>
      <c r="T258" s="111"/>
      <c r="U258" s="108"/>
      <c r="V258" s="108"/>
      <c r="W258" s="108"/>
      <c r="X258" s="108"/>
      <c r="Y258" s="108"/>
      <c r="Z258" s="108"/>
      <c r="AA258" s="108"/>
      <c r="AB258" s="112"/>
      <c r="AC258" s="108"/>
      <c r="AD258" s="108" t="s">
        <v>93</v>
      </c>
      <c r="AE258" s="107"/>
      <c r="AF258" s="113"/>
      <c r="AG258" s="115">
        <v>46059</v>
      </c>
      <c r="AH258" s="108" t="s">
        <v>109</v>
      </c>
      <c r="AI258" s="108" t="s">
        <v>95</v>
      </c>
      <c r="AJ258" s="114">
        <v>46080.849652777775</v>
      </c>
      <c r="AK258" s="108" t="s">
        <v>96</v>
      </c>
      <c r="AL258" s="115">
        <v>46052.850752314815</v>
      </c>
      <c r="AM258" s="116"/>
      <c r="AN258" s="116"/>
      <c r="AO258" s="139">
        <v>46073</v>
      </c>
      <c r="AP258" s="108"/>
      <c r="AQ258" s="107"/>
      <c r="AR258" s="107"/>
      <c r="AS258" s="116">
        <v>46080</v>
      </c>
      <c r="AT258" s="114">
        <v>46069</v>
      </c>
      <c r="AU258" s="114">
        <v>46074</v>
      </c>
      <c r="AV258" s="108"/>
      <c r="AW258" s="108"/>
      <c r="AX258" s="108" t="s">
        <v>97</v>
      </c>
      <c r="AY258" s="108" t="s">
        <v>98</v>
      </c>
      <c r="AZ258" s="108"/>
      <c r="BA258" s="108"/>
      <c r="BB258" s="108"/>
      <c r="BC258" s="108"/>
      <c r="BD258" s="111"/>
      <c r="BE258" s="111"/>
      <c r="BF258" s="111"/>
      <c r="BG258" s="111"/>
      <c r="BH258" s="111"/>
      <c r="BI258" s="111"/>
      <c r="BJ258" s="111"/>
      <c r="BK258" s="111"/>
      <c r="BL258" s="111"/>
      <c r="BM258" s="117" t="s">
        <v>633</v>
      </c>
      <c r="BN258" s="111"/>
      <c r="BO258" s="117"/>
      <c r="BP258" s="117"/>
      <c r="BQ258" s="117"/>
      <c r="BR258" s="111"/>
      <c r="BS258" s="118"/>
      <c r="BT258" s="111"/>
      <c r="BU258" s="118"/>
      <c r="BV258" s="111"/>
      <c r="BW258" s="111"/>
      <c r="BX258" s="111"/>
      <c r="BY258" s="111"/>
      <c r="BZ258" s="111"/>
      <c r="CA258" s="111"/>
      <c r="CB258" s="119">
        <v>1</v>
      </c>
      <c r="CC258" s="117"/>
      <c r="CD258" s="132">
        <v>46066</v>
      </c>
      <c r="CE258" s="132">
        <v>46069</v>
      </c>
      <c r="CF258" s="132">
        <v>46069</v>
      </c>
      <c r="CG258" s="111"/>
      <c r="CH258" s="132" t="s">
        <v>265</v>
      </c>
      <c r="CI258" s="132" t="s">
        <v>125</v>
      </c>
      <c r="CJ258" s="277"/>
    </row>
    <row r="259" spans="1:88" ht="318.95" hidden="1">
      <c r="A259" s="106" t="s">
        <v>623</v>
      </c>
      <c r="B259" s="107">
        <f>5.5+5.5+6.5+3.5+2.5+2+1+3</f>
        <v>29.5</v>
      </c>
      <c r="C259" s="107">
        <v>30</v>
      </c>
      <c r="D259" s="107">
        <f>Tracker6[[#This Row],[Estimated Hrs]]-Tracker6[[#This Row],[Actual Efforts (Hrs)]]</f>
        <v>0.5</v>
      </c>
      <c r="E259" s="108"/>
      <c r="F259" s="108" t="s">
        <v>243</v>
      </c>
      <c r="G259" s="121" t="s">
        <v>243</v>
      </c>
      <c r="H259" s="270">
        <v>18050410</v>
      </c>
      <c r="I259" s="288">
        <v>18050410</v>
      </c>
      <c r="J259" s="108" t="s">
        <v>634</v>
      </c>
      <c r="K259" s="108" t="s">
        <v>118</v>
      </c>
      <c r="L259" s="108"/>
      <c r="M259" s="108"/>
      <c r="N259" s="108" t="s">
        <v>635</v>
      </c>
      <c r="O259" s="111" t="s">
        <v>106</v>
      </c>
      <c r="P259" s="111"/>
      <c r="Q259" s="111"/>
      <c r="R259" s="111"/>
      <c r="S259" s="111"/>
      <c r="T259" s="111"/>
      <c r="U259" s="108"/>
      <c r="V259" s="108"/>
      <c r="W259" s="108"/>
      <c r="X259" s="108"/>
      <c r="Y259" s="108"/>
      <c r="Z259" s="108"/>
      <c r="AA259" s="108"/>
      <c r="AB259" s="112"/>
      <c r="AC259" s="108"/>
      <c r="AD259" s="108"/>
      <c r="AE259" s="107"/>
      <c r="AF259" s="113"/>
      <c r="AG259" s="115">
        <v>46055</v>
      </c>
      <c r="AH259" s="108"/>
      <c r="AI259" s="108"/>
      <c r="AJ259" s="114"/>
      <c r="AK259" s="108"/>
      <c r="AL259" s="115"/>
      <c r="AM259" s="116"/>
      <c r="AN259" s="116"/>
      <c r="AO259" s="116">
        <v>46066</v>
      </c>
      <c r="AP259" s="108"/>
      <c r="AQ259" s="107"/>
      <c r="AR259" s="107"/>
      <c r="AS259" s="116">
        <v>46066</v>
      </c>
      <c r="AT259" s="114">
        <v>46062</v>
      </c>
      <c r="AU259" s="114">
        <v>46066</v>
      </c>
      <c r="AV259" s="108"/>
      <c r="AW259" s="108"/>
      <c r="AX259" s="108" t="s">
        <v>97</v>
      </c>
      <c r="AY259" s="108" t="s">
        <v>98</v>
      </c>
      <c r="AZ259" s="108"/>
      <c r="BA259" s="108"/>
      <c r="BB259" s="108"/>
      <c r="BC259" s="108"/>
      <c r="BD259" s="111"/>
      <c r="BE259" s="111"/>
      <c r="BF259" s="111"/>
      <c r="BG259" s="111"/>
      <c r="BH259" s="111"/>
      <c r="BI259" s="111"/>
      <c r="BJ259" s="111"/>
      <c r="BK259" s="111"/>
      <c r="BL259" s="111"/>
      <c r="BM259" s="117" t="s">
        <v>636</v>
      </c>
      <c r="BN259" s="111"/>
      <c r="BO259" s="117"/>
      <c r="BP259" s="117"/>
      <c r="BQ259" s="117"/>
      <c r="BR259" s="111"/>
      <c r="BS259" s="118"/>
      <c r="BT259" s="111"/>
      <c r="BU259" s="118"/>
      <c r="BV259" s="111"/>
      <c r="BW259" s="111"/>
      <c r="BX259" s="111"/>
      <c r="BY259" s="111"/>
      <c r="BZ259" s="111"/>
      <c r="CA259" s="111"/>
      <c r="CB259" s="119">
        <v>1</v>
      </c>
      <c r="CC259" s="117"/>
      <c r="CD259" s="132">
        <v>46059</v>
      </c>
      <c r="CE259" s="132">
        <v>46062</v>
      </c>
      <c r="CF259" s="132">
        <v>46062</v>
      </c>
      <c r="CG259" s="111"/>
      <c r="CH259" s="132" t="s">
        <v>584</v>
      </c>
      <c r="CI259" s="132" t="s">
        <v>125</v>
      </c>
      <c r="CJ259" s="111"/>
    </row>
    <row r="260" spans="1:88" ht="290.10000000000002" hidden="1">
      <c r="A260" s="106" t="s">
        <v>623</v>
      </c>
      <c r="B260" s="107">
        <f>5+5.5+6+3.5+2+4.5+(1+4)+5+1.5+2+3+1.5+0.5+1</f>
        <v>46</v>
      </c>
      <c r="C260" s="107">
        <f>20+C265</f>
        <v>30</v>
      </c>
      <c r="D260" s="107">
        <f>Tracker6[[#This Row],[Estimated Hrs]]-Tracker6[[#This Row],[Actual Efforts (Hrs)]]</f>
        <v>-16</v>
      </c>
      <c r="E260" s="108"/>
      <c r="F260" s="108"/>
      <c r="G260" s="121"/>
      <c r="H260" s="109">
        <v>18330291</v>
      </c>
      <c r="I260" s="127">
        <v>18330291</v>
      </c>
      <c r="J260" s="108" t="s">
        <v>134</v>
      </c>
      <c r="K260" s="108" t="s">
        <v>104</v>
      </c>
      <c r="L260" s="108"/>
      <c r="M260" s="108"/>
      <c r="N260" s="108" t="s">
        <v>637</v>
      </c>
      <c r="O260" s="111" t="s">
        <v>106</v>
      </c>
      <c r="P260" s="111"/>
      <c r="Q260" s="111"/>
      <c r="R260" s="111"/>
      <c r="S260" s="111"/>
      <c r="T260" s="111"/>
      <c r="U260" s="108"/>
      <c r="V260" s="108"/>
      <c r="W260" s="108"/>
      <c r="X260" s="108"/>
      <c r="Y260" s="108"/>
      <c r="Z260" s="108"/>
      <c r="AA260" s="108"/>
      <c r="AB260" s="112"/>
      <c r="AC260" s="108"/>
      <c r="AD260" s="108"/>
      <c r="AE260" s="107"/>
      <c r="AF260" s="113"/>
      <c r="AG260" s="115"/>
      <c r="AH260" s="108"/>
      <c r="AI260" s="108"/>
      <c r="AJ260" s="114"/>
      <c r="AK260" s="108"/>
      <c r="AL260" s="115"/>
      <c r="AM260" s="116"/>
      <c r="AN260" s="116"/>
      <c r="AO260" s="116">
        <v>46086</v>
      </c>
      <c r="AP260" s="108"/>
      <c r="AQ260" s="107"/>
      <c r="AR260" s="107"/>
      <c r="AS260" s="116"/>
      <c r="AT260" s="114"/>
      <c r="AU260" s="114"/>
      <c r="AV260" s="108"/>
      <c r="AW260" s="108"/>
      <c r="AX260" s="108" t="s">
        <v>97</v>
      </c>
      <c r="AY260" s="108" t="s">
        <v>98</v>
      </c>
      <c r="AZ260" s="108"/>
      <c r="BA260" s="108"/>
      <c r="BB260" s="108"/>
      <c r="BC260" s="108"/>
      <c r="BD260" s="111"/>
      <c r="BE260" s="111"/>
      <c r="BF260" s="111"/>
      <c r="BG260" s="111"/>
      <c r="BH260" s="111"/>
      <c r="BI260" s="111"/>
      <c r="BJ260" s="111"/>
      <c r="BK260" s="111"/>
      <c r="BL260" s="111"/>
      <c r="BM260" s="117" t="s">
        <v>132</v>
      </c>
      <c r="BN260" s="111"/>
      <c r="BO260" s="117"/>
      <c r="BP260" s="117"/>
      <c r="BQ260" s="117"/>
      <c r="BR260" s="111"/>
      <c r="BS260" s="118"/>
      <c r="BT260" s="111"/>
      <c r="BU260" s="118"/>
      <c r="BV260" s="111"/>
      <c r="BW260" s="111"/>
      <c r="BX260" s="111"/>
      <c r="BY260" s="111"/>
      <c r="BZ260" s="111"/>
      <c r="CA260" s="111"/>
      <c r="CB260" s="119">
        <v>1</v>
      </c>
      <c r="CC260" s="117"/>
      <c r="CD260" s="132">
        <v>46073</v>
      </c>
      <c r="CE260" s="132">
        <v>46077</v>
      </c>
      <c r="CF260" s="132">
        <v>46079</v>
      </c>
      <c r="CG260" s="111"/>
      <c r="CH260" s="132" t="s">
        <v>112</v>
      </c>
      <c r="CI260" s="132">
        <v>46086</v>
      </c>
      <c r="CJ260" s="111"/>
    </row>
    <row r="261" spans="1:88" ht="101.45" hidden="1">
      <c r="A261" s="106" t="s">
        <v>623</v>
      </c>
      <c r="B261" s="49">
        <v>0</v>
      </c>
      <c r="C261" s="49">
        <v>10</v>
      </c>
      <c r="D261" s="49">
        <f>Tracker6[[#This Row],[Estimated Hrs]]-Tracker6[[#This Row],[Actual Efforts (Hrs)]]</f>
        <v>10</v>
      </c>
      <c r="E261" s="134"/>
      <c r="F261" s="134"/>
      <c r="G261" s="150"/>
      <c r="H261" s="149">
        <v>18850820</v>
      </c>
      <c r="I261" s="149">
        <v>18850820</v>
      </c>
      <c r="J261" s="134" t="s">
        <v>135</v>
      </c>
      <c r="K261" s="134" t="s">
        <v>104</v>
      </c>
      <c r="L261" s="134"/>
      <c r="M261" s="134"/>
      <c r="N261" s="134" t="s">
        <v>638</v>
      </c>
      <c r="O261" s="123" t="s">
        <v>106</v>
      </c>
      <c r="P261" s="123"/>
      <c r="Q261" s="123"/>
      <c r="R261" s="123"/>
      <c r="S261" s="123"/>
      <c r="T261" s="123"/>
      <c r="U261" s="134"/>
      <c r="V261" s="134"/>
      <c r="W261" s="134"/>
      <c r="X261" s="134"/>
      <c r="Y261" s="134"/>
      <c r="Z261" s="134"/>
      <c r="AA261" s="134"/>
      <c r="AC261" s="134"/>
      <c r="AD261" s="134"/>
      <c r="AE261" s="49"/>
      <c r="AF261" s="136"/>
      <c r="AG261" s="137"/>
      <c r="AH261" s="134"/>
      <c r="AI261" s="134"/>
      <c r="AJ261" s="138"/>
      <c r="AK261" s="134"/>
      <c r="AL261" s="137"/>
      <c r="AM261" s="139"/>
      <c r="AN261" s="139"/>
      <c r="AO261" s="139">
        <v>46086</v>
      </c>
      <c r="AP261" s="134"/>
      <c r="AQ261" s="49"/>
      <c r="AR261" s="49"/>
      <c r="AS261" s="139"/>
      <c r="AT261" s="138"/>
      <c r="AU261" s="138"/>
      <c r="AV261" s="134"/>
      <c r="AW261" s="134"/>
      <c r="AX261" s="134" t="s">
        <v>97</v>
      </c>
      <c r="AY261" s="134" t="s">
        <v>98</v>
      </c>
      <c r="AZ261" s="134"/>
      <c r="BA261" s="134"/>
      <c r="BB261" s="134"/>
      <c r="BC261" s="134"/>
      <c r="BD261" s="123"/>
      <c r="BE261" s="123"/>
      <c r="BF261" s="123"/>
      <c r="BG261" s="123"/>
      <c r="BH261" s="123"/>
      <c r="BI261" s="123"/>
      <c r="BJ261" s="123"/>
      <c r="BK261" s="123"/>
      <c r="BL261" s="123"/>
      <c r="BM261" s="140" t="s">
        <v>132</v>
      </c>
      <c r="BN261" s="123"/>
      <c r="BO261" s="140"/>
      <c r="BP261" s="140"/>
      <c r="BQ261" s="140"/>
      <c r="BR261" s="123"/>
      <c r="BS261" s="141"/>
      <c r="BT261" s="123"/>
      <c r="BU261" s="141"/>
      <c r="BV261" s="123"/>
      <c r="BW261" s="123"/>
      <c r="BX261" s="123"/>
      <c r="BY261" s="123"/>
      <c r="BZ261" s="123"/>
      <c r="CA261" s="123"/>
      <c r="CB261" s="143">
        <v>1</v>
      </c>
      <c r="CC261" s="140"/>
      <c r="CD261" s="132">
        <v>0</v>
      </c>
      <c r="CE261" s="132">
        <v>0</v>
      </c>
      <c r="CF261" s="132">
        <v>0</v>
      </c>
      <c r="CG261" s="123"/>
      <c r="CH261" s="263" t="s">
        <v>112</v>
      </c>
      <c r="CI261" s="132">
        <v>0</v>
      </c>
      <c r="CJ261" s="123"/>
    </row>
    <row r="262" spans="1:88" ht="246.6" hidden="1">
      <c r="A262" s="106" t="s">
        <v>623</v>
      </c>
      <c r="B262" s="49">
        <f>1.5+3+5+5+1+5+7+7+3+0.5</f>
        <v>38</v>
      </c>
      <c r="C262" s="49">
        <v>30</v>
      </c>
      <c r="D262" s="49">
        <f>Tracker6[[#This Row],[Estimated Hrs]]-Tracker6[[#This Row],[Actual Efforts (Hrs)]]</f>
        <v>-8</v>
      </c>
      <c r="E262" s="134"/>
      <c r="F262" s="134"/>
      <c r="G262" s="150"/>
      <c r="H262" s="149">
        <v>18947608</v>
      </c>
      <c r="I262" s="149">
        <v>18947608</v>
      </c>
      <c r="J262" s="49" t="s">
        <v>639</v>
      </c>
      <c r="K262" s="134" t="s">
        <v>104</v>
      </c>
      <c r="L262" s="134"/>
      <c r="M262" s="134"/>
      <c r="N262" s="134" t="s">
        <v>640</v>
      </c>
      <c r="O262" s="123" t="s">
        <v>106</v>
      </c>
      <c r="P262" s="123"/>
      <c r="Q262" s="123"/>
      <c r="R262" s="123"/>
      <c r="S262" s="123"/>
      <c r="T262" s="123"/>
      <c r="U262" s="134"/>
      <c r="V262" s="134"/>
      <c r="W262" s="134"/>
      <c r="X262" s="134"/>
      <c r="Y262" s="134"/>
      <c r="Z262" s="134"/>
      <c r="AA262" s="134"/>
      <c r="AC262" s="134"/>
      <c r="AD262" s="134"/>
      <c r="AE262" s="49"/>
      <c r="AF262" s="136"/>
      <c r="AG262" s="137"/>
      <c r="AH262" s="134"/>
      <c r="AI262" s="134"/>
      <c r="AJ262" s="138"/>
      <c r="AK262" s="134"/>
      <c r="AL262" s="137"/>
      <c r="AM262" s="139"/>
      <c r="AN262" s="139"/>
      <c r="AO262" s="139">
        <v>46108</v>
      </c>
      <c r="AP262" s="134"/>
      <c r="AQ262" s="49"/>
      <c r="AR262" s="49"/>
      <c r="AS262" s="139"/>
      <c r="AT262" s="138"/>
      <c r="AU262" s="138"/>
      <c r="AV262" s="134"/>
      <c r="AW262" s="134"/>
      <c r="AX262" s="134"/>
      <c r="AY262" s="134"/>
      <c r="AZ262" s="134"/>
      <c r="BA262" s="134"/>
      <c r="BB262" s="134"/>
      <c r="BC262" s="134"/>
      <c r="BD262" s="123"/>
      <c r="BE262" s="123"/>
      <c r="BF262" s="123"/>
      <c r="BG262" s="123"/>
      <c r="BH262" s="123"/>
      <c r="BI262" s="123"/>
      <c r="BJ262" s="123"/>
      <c r="BK262" s="123"/>
      <c r="BL262" s="123"/>
      <c r="BM262" s="140"/>
      <c r="BN262" s="123"/>
      <c r="BO262" s="140"/>
      <c r="BP262" s="140"/>
      <c r="BQ262" s="140"/>
      <c r="BR262" s="123"/>
      <c r="BS262" s="141"/>
      <c r="BT262" s="123"/>
      <c r="BU262" s="141"/>
      <c r="BV262" s="123"/>
      <c r="BW262" s="123"/>
      <c r="BX262" s="123"/>
      <c r="BY262" s="123"/>
      <c r="BZ262" s="123"/>
      <c r="CA262" s="123"/>
      <c r="CB262" s="143"/>
      <c r="CC262" s="140"/>
      <c r="CD262" s="132"/>
      <c r="CE262" s="132"/>
      <c r="CF262" s="132"/>
      <c r="CG262" s="123"/>
      <c r="CH262" s="258"/>
      <c r="CI262" s="132"/>
      <c r="CJ262" s="123"/>
    </row>
    <row r="263" spans="1:88" ht="409.5" hidden="1">
      <c r="A263" s="106" t="s">
        <v>623</v>
      </c>
      <c r="B263" s="107">
        <f>7.5+6.5+3.5+5+5.5+7.5+3.5+1+2.5+(3.5+2.5)+2+5+2+4+5+3.5+6.5+1+6.75+6+6+4+1.5+1.5+6+2+6+8</f>
        <v>125.25</v>
      </c>
      <c r="C263" s="107"/>
      <c r="D263" s="107"/>
      <c r="E263" s="108"/>
      <c r="F263" s="108"/>
      <c r="G263" s="121"/>
      <c r="H263" s="127">
        <v>18880503</v>
      </c>
      <c r="I263" s="127">
        <v>18880503</v>
      </c>
      <c r="J263" s="107" t="s">
        <v>641</v>
      </c>
      <c r="K263" s="108" t="s">
        <v>104</v>
      </c>
      <c r="L263" s="108"/>
      <c r="M263" s="108"/>
      <c r="N263" s="108" t="s">
        <v>642</v>
      </c>
      <c r="O263" s="111" t="s">
        <v>14</v>
      </c>
      <c r="P263" s="111"/>
      <c r="Q263" s="111"/>
      <c r="R263" s="111"/>
      <c r="S263" s="111"/>
      <c r="T263" s="111"/>
      <c r="U263" s="108"/>
      <c r="V263" s="108"/>
      <c r="W263" s="108"/>
      <c r="X263" s="108"/>
      <c r="Y263" s="108"/>
      <c r="Z263" s="108"/>
      <c r="AA263" s="108"/>
      <c r="AB263" s="112"/>
      <c r="AC263" s="108"/>
      <c r="AD263" s="108"/>
      <c r="AE263" s="107"/>
      <c r="AF263" s="113"/>
      <c r="AG263" s="115"/>
      <c r="AH263" s="108"/>
      <c r="AI263" s="108"/>
      <c r="AJ263" s="114"/>
      <c r="AK263" s="108"/>
      <c r="AL263" s="115"/>
      <c r="AM263" s="116"/>
      <c r="AN263" s="116"/>
      <c r="AO263" s="116"/>
      <c r="AP263" s="108"/>
      <c r="AQ263" s="107"/>
      <c r="AR263" s="107"/>
      <c r="AS263" s="116"/>
      <c r="AT263" s="114"/>
      <c r="AU263" s="114"/>
      <c r="AV263" s="108"/>
      <c r="AW263" s="108"/>
      <c r="AX263" s="108"/>
      <c r="AY263" s="108"/>
      <c r="AZ263" s="108"/>
      <c r="BA263" s="108"/>
      <c r="BB263" s="108"/>
      <c r="BC263" s="108"/>
      <c r="BD263" s="111"/>
      <c r="BE263" s="111"/>
      <c r="BF263" s="111"/>
      <c r="BG263" s="111"/>
      <c r="BH263" s="111"/>
      <c r="BI263" s="111"/>
      <c r="BJ263" s="111"/>
      <c r="BK263" s="111"/>
      <c r="BL263" s="111"/>
      <c r="BM263" s="117"/>
      <c r="BN263" s="111"/>
      <c r="BO263" s="117"/>
      <c r="BP263" s="117"/>
      <c r="BQ263" s="117"/>
      <c r="BR263" s="111"/>
      <c r="BS263" s="118"/>
      <c r="BT263" s="111"/>
      <c r="BU263" s="118"/>
      <c r="BV263" s="111"/>
      <c r="BW263" s="111"/>
      <c r="BX263" s="111"/>
      <c r="BY263" s="111"/>
      <c r="BZ263" s="111"/>
      <c r="CA263" s="111"/>
      <c r="CB263" s="119"/>
      <c r="CC263" s="117"/>
      <c r="CD263" s="132"/>
      <c r="CE263" s="132"/>
      <c r="CF263" s="132"/>
      <c r="CG263" s="111"/>
      <c r="CH263" s="259"/>
      <c r="CI263" s="132"/>
      <c r="CJ263" s="111"/>
    </row>
    <row r="264" spans="1:88" ht="203.1" hidden="1">
      <c r="A264" s="106" t="s">
        <v>158</v>
      </c>
      <c r="B264" s="49">
        <f>2+3+0.5+9.5+2+2+5</f>
        <v>24</v>
      </c>
      <c r="C264" s="49">
        <f>10+C265</f>
        <v>20</v>
      </c>
      <c r="D264" s="49">
        <f>C264-B264</f>
        <v>-4</v>
      </c>
      <c r="E264" s="134"/>
      <c r="F264" s="134" t="s">
        <v>136</v>
      </c>
      <c r="G264" s="150"/>
      <c r="H264" s="135">
        <v>18986418</v>
      </c>
      <c r="I264" s="149">
        <v>18986418</v>
      </c>
      <c r="J264" s="134" t="s">
        <v>643</v>
      </c>
      <c r="K264" s="134" t="s">
        <v>104</v>
      </c>
      <c r="L264" s="134"/>
      <c r="M264" s="134"/>
      <c r="N264" s="108" t="s">
        <v>644</v>
      </c>
      <c r="O264" s="123" t="s">
        <v>115</v>
      </c>
      <c r="P264" s="123"/>
      <c r="Q264" s="123"/>
      <c r="R264" s="123"/>
      <c r="S264" s="123"/>
      <c r="T264" s="123"/>
      <c r="U264" s="134"/>
      <c r="V264" s="134"/>
      <c r="W264" s="134"/>
      <c r="X264" s="134"/>
      <c r="Y264" s="134"/>
      <c r="Z264" s="134"/>
      <c r="AA264" s="134" t="s">
        <v>139</v>
      </c>
      <c r="AB264" s="29">
        <v>46059</v>
      </c>
      <c r="AC264" s="134" t="s">
        <v>165</v>
      </c>
      <c r="AD264" s="134" t="s">
        <v>166</v>
      </c>
      <c r="AE264" s="49"/>
      <c r="AF264" s="136"/>
      <c r="AG264" s="137">
        <v>46045.847349537034</v>
      </c>
      <c r="AH264" s="134" t="s">
        <v>94</v>
      </c>
      <c r="AI264" s="134" t="s">
        <v>95</v>
      </c>
      <c r="AJ264" s="138">
        <v>46081.4375</v>
      </c>
      <c r="AK264" s="134" t="s">
        <v>96</v>
      </c>
      <c r="AL264" s="137">
        <v>46043.57335648148</v>
      </c>
      <c r="AM264" s="139"/>
      <c r="AN264" s="139"/>
      <c r="AO264" s="116">
        <v>46112</v>
      </c>
      <c r="AP264" s="134"/>
      <c r="AQ264" s="49"/>
      <c r="AR264" s="49"/>
      <c r="AS264" s="139"/>
      <c r="AT264" s="138"/>
      <c r="AU264" s="138"/>
      <c r="AV264" s="134"/>
      <c r="AW264" s="134"/>
      <c r="AX264" s="134" t="s">
        <v>97</v>
      </c>
      <c r="AY264" s="134" t="s">
        <v>98</v>
      </c>
      <c r="AZ264" s="134"/>
      <c r="BA264" s="134"/>
      <c r="BB264" s="134"/>
      <c r="BC264" s="134"/>
      <c r="BD264" s="123"/>
      <c r="BE264" s="123"/>
      <c r="BF264" s="123"/>
      <c r="BG264" s="123"/>
      <c r="BH264" s="123"/>
      <c r="BI264" s="123"/>
      <c r="BJ264" s="123"/>
      <c r="BK264" s="123"/>
      <c r="BL264" s="123"/>
      <c r="BM264" s="117" t="e">
        <v>#N/A</v>
      </c>
      <c r="BN264" s="123"/>
      <c r="BO264" s="140"/>
      <c r="BP264" s="140"/>
      <c r="BQ264" s="140"/>
      <c r="BR264" s="123"/>
      <c r="BS264" s="141"/>
      <c r="BT264" s="123"/>
      <c r="BU264" s="141"/>
      <c r="BV264" s="123"/>
      <c r="BW264" s="123"/>
      <c r="BX264" s="123"/>
      <c r="BY264" s="123"/>
      <c r="BZ264" s="123"/>
      <c r="CA264" s="123"/>
      <c r="CB264" s="143"/>
      <c r="CC264" s="140"/>
      <c r="CD264" s="120" t="e">
        <v>#N/A</v>
      </c>
      <c r="CE264" s="120" t="e">
        <v>#N/A</v>
      </c>
      <c r="CF264" s="120" t="e">
        <v>#N/A</v>
      </c>
      <c r="CG264" s="123"/>
      <c r="CH264" s="120" t="e">
        <v>#N/A</v>
      </c>
      <c r="CI264" s="120" t="e">
        <v>#N/A</v>
      </c>
      <c r="CJ264" s="123"/>
    </row>
    <row r="265" spans="1:88" ht="57.95" hidden="1">
      <c r="A265" s="106" t="s">
        <v>158</v>
      </c>
      <c r="B265" s="107"/>
      <c r="C265" s="107">
        <v>10</v>
      </c>
      <c r="D265" s="107"/>
      <c r="E265" s="108"/>
      <c r="F265" s="108" t="s">
        <v>136</v>
      </c>
      <c r="G265" s="121"/>
      <c r="H265" s="109">
        <v>19000941</v>
      </c>
      <c r="I265" s="127">
        <v>19000941</v>
      </c>
      <c r="J265" s="108" t="s">
        <v>645</v>
      </c>
      <c r="K265" s="108" t="s">
        <v>104</v>
      </c>
      <c r="L265" s="108"/>
      <c r="M265" s="108"/>
      <c r="N265" s="108" t="s">
        <v>646</v>
      </c>
      <c r="O265" s="111" t="s">
        <v>115</v>
      </c>
      <c r="P265" s="111"/>
      <c r="Q265" s="111"/>
      <c r="R265" s="111"/>
      <c r="S265" s="111"/>
      <c r="T265" s="111"/>
      <c r="U265" s="108"/>
      <c r="V265" s="108"/>
      <c r="W265" s="108"/>
      <c r="X265" s="108"/>
      <c r="Y265" s="108"/>
      <c r="Z265" s="108"/>
      <c r="AA265" s="108" t="s">
        <v>139</v>
      </c>
      <c r="AB265" s="112">
        <v>46059</v>
      </c>
      <c r="AC265" s="108" t="s">
        <v>165</v>
      </c>
      <c r="AD265" s="108" t="s">
        <v>166</v>
      </c>
      <c r="AE265" s="107"/>
      <c r="AF265" s="113"/>
      <c r="AG265" s="115">
        <v>46045.847349537034</v>
      </c>
      <c r="AH265" s="108" t="s">
        <v>94</v>
      </c>
      <c r="AI265" s="108" t="s">
        <v>95</v>
      </c>
      <c r="AJ265" s="114">
        <v>46081.4375</v>
      </c>
      <c r="AK265" s="108" t="s">
        <v>96</v>
      </c>
      <c r="AL265" s="115">
        <v>46043.57335648148</v>
      </c>
      <c r="AM265" s="116"/>
      <c r="AN265" s="116"/>
      <c r="AO265" s="116">
        <v>46112</v>
      </c>
      <c r="AP265" s="108"/>
      <c r="AQ265" s="107"/>
      <c r="AR265" s="107"/>
      <c r="AS265" s="116"/>
      <c r="AT265" s="114"/>
      <c r="AU265" s="114"/>
      <c r="AV265" s="108"/>
      <c r="AW265" s="108"/>
      <c r="AX265" s="108" t="s">
        <v>97</v>
      </c>
      <c r="AY265" s="108" t="s">
        <v>98</v>
      </c>
      <c r="AZ265" s="108"/>
      <c r="BA265" s="108"/>
      <c r="BB265" s="108"/>
      <c r="BC265" s="108"/>
      <c r="BD265" s="111"/>
      <c r="BE265" s="111"/>
      <c r="BF265" s="111"/>
      <c r="BG265" s="111"/>
      <c r="BH265" s="111"/>
      <c r="BI265" s="111"/>
      <c r="BJ265" s="111"/>
      <c r="BK265" s="111"/>
      <c r="BL265" s="111"/>
      <c r="BM265" s="117" t="e">
        <v>#N/A</v>
      </c>
      <c r="BN265" s="111"/>
      <c r="BO265" s="117"/>
      <c r="BP265" s="117"/>
      <c r="BQ265" s="117"/>
      <c r="BR265" s="111"/>
      <c r="BS265" s="118"/>
      <c r="BT265" s="111"/>
      <c r="BU265" s="118"/>
      <c r="BV265" s="111"/>
      <c r="BW265" s="111"/>
      <c r="BX265" s="111"/>
      <c r="BY265" s="111"/>
      <c r="BZ265" s="111"/>
      <c r="CA265" s="111"/>
      <c r="CB265" s="119"/>
      <c r="CC265" s="117"/>
      <c r="CD265" s="132" t="e">
        <v>#N/A</v>
      </c>
      <c r="CE265" s="132" t="e">
        <v>#N/A</v>
      </c>
      <c r="CF265" s="132" t="e">
        <v>#N/A</v>
      </c>
      <c r="CG265" s="111"/>
      <c r="CH265" s="132" t="e">
        <v>#N/A</v>
      </c>
      <c r="CI265" s="132" t="e">
        <v>#N/A</v>
      </c>
      <c r="CJ265" s="111"/>
    </row>
    <row r="266" spans="1:88" ht="231.95" hidden="1">
      <c r="A266" s="106" t="s">
        <v>171</v>
      </c>
      <c r="B266" s="107">
        <f>8.5+8+8+5.5+2+1.5+3.5+3</f>
        <v>40</v>
      </c>
      <c r="C266" s="107">
        <v>30</v>
      </c>
      <c r="D266" s="107">
        <f>C266-B266</f>
        <v>-10</v>
      </c>
      <c r="E266" s="108"/>
      <c r="F266" s="108" t="s">
        <v>127</v>
      </c>
      <c r="G266" s="121"/>
      <c r="H266" s="109">
        <v>17728109</v>
      </c>
      <c r="I266" s="109">
        <v>17728109</v>
      </c>
      <c r="J266" s="134" t="s">
        <v>524</v>
      </c>
      <c r="K266" s="108" t="s">
        <v>118</v>
      </c>
      <c r="L266" s="134" t="s">
        <v>131</v>
      </c>
      <c r="M266" s="108"/>
      <c r="N266" s="108" t="s">
        <v>647</v>
      </c>
      <c r="O266" s="111" t="s">
        <v>106</v>
      </c>
      <c r="P266" s="111"/>
      <c r="Q266" s="111"/>
      <c r="R266" s="111"/>
      <c r="S266" s="111"/>
      <c r="T266" s="111"/>
      <c r="U266" s="108"/>
      <c r="V266" s="108"/>
      <c r="W266" s="108"/>
      <c r="X266" s="108"/>
      <c r="Y266" s="108"/>
      <c r="Z266" s="108"/>
      <c r="AA266" s="108"/>
      <c r="AB266" s="112"/>
      <c r="AC266" s="108"/>
      <c r="AD266" s="108"/>
      <c r="AE266" s="107"/>
      <c r="AF266" s="113"/>
      <c r="AG266" s="115"/>
      <c r="AH266" s="108"/>
      <c r="AI266" s="108"/>
      <c r="AJ266" s="114"/>
      <c r="AK266" s="108"/>
      <c r="AL266" s="115"/>
      <c r="AM266" s="116"/>
      <c r="AN266" s="116"/>
      <c r="AO266" s="116">
        <v>46112</v>
      </c>
      <c r="AP266" s="108"/>
      <c r="AQ266" s="107"/>
      <c r="AR266" s="107"/>
      <c r="AS266" s="116"/>
      <c r="AT266" s="114"/>
      <c r="AU266" s="114"/>
      <c r="AV266" s="108"/>
      <c r="AW266" s="108"/>
      <c r="AX266" s="108"/>
      <c r="AY266" s="108"/>
      <c r="AZ266" s="108"/>
      <c r="BA266" s="108"/>
      <c r="BB266" s="108"/>
      <c r="BC266" s="108"/>
      <c r="BD266" s="111"/>
      <c r="BE266" s="111"/>
      <c r="BF266" s="111"/>
      <c r="BG266" s="111"/>
      <c r="BH266" s="111"/>
      <c r="BI266" s="111"/>
      <c r="BJ266" s="111"/>
      <c r="BK266" s="111"/>
      <c r="BL266" s="111"/>
      <c r="BM266" s="117"/>
      <c r="BN266" s="111"/>
      <c r="BO266" s="117"/>
      <c r="BP266" s="117"/>
      <c r="BQ266" s="117"/>
      <c r="BR266" s="111"/>
      <c r="BS266" s="118"/>
      <c r="BT266" s="111"/>
      <c r="BU266" s="118"/>
      <c r="BV266" s="111"/>
      <c r="BW266" s="111"/>
      <c r="BX266" s="111"/>
      <c r="BY266" s="111"/>
      <c r="BZ266" s="111"/>
      <c r="CA266" s="111"/>
      <c r="CB266" s="119"/>
      <c r="CC266" s="117"/>
      <c r="CD266" s="132"/>
      <c r="CE266" s="132"/>
      <c r="CF266" s="132"/>
      <c r="CG266" s="111"/>
      <c r="CH266" s="132"/>
      <c r="CI266" s="132"/>
      <c r="CJ266" s="111"/>
    </row>
    <row r="267" spans="1:88" ht="57.95" hidden="1">
      <c r="A267" s="147" t="s">
        <v>228</v>
      </c>
      <c r="B267" s="49">
        <f>0.5</f>
        <v>0.5</v>
      </c>
      <c r="C267" s="49">
        <v>15</v>
      </c>
      <c r="D267" s="49">
        <f>Tracker6[[#This Row],[Estimated Hrs]]-Tracker6[[#This Row],[Actual Efforts (Hrs)]]</f>
        <v>14.5</v>
      </c>
      <c r="E267" s="134"/>
      <c r="F267" s="134"/>
      <c r="G267" s="150"/>
      <c r="H267" s="135">
        <v>19023103</v>
      </c>
      <c r="I267" s="149">
        <v>19023103</v>
      </c>
      <c r="J267" s="49" t="s">
        <v>648</v>
      </c>
      <c r="K267" s="49" t="s">
        <v>104</v>
      </c>
      <c r="L267" s="134"/>
      <c r="M267" s="134"/>
      <c r="N267" s="134" t="s">
        <v>649</v>
      </c>
      <c r="O267" s="123" t="s">
        <v>115</v>
      </c>
      <c r="P267" s="123"/>
      <c r="Q267" s="123"/>
      <c r="R267" s="123"/>
      <c r="S267" s="123"/>
      <c r="T267" s="123"/>
      <c r="U267" s="134"/>
      <c r="V267" s="134"/>
      <c r="W267" s="134"/>
      <c r="X267" s="134"/>
      <c r="Y267" s="134"/>
      <c r="Z267" s="134"/>
      <c r="AA267" s="134"/>
      <c r="AC267" s="134"/>
      <c r="AD267" s="134"/>
      <c r="AE267" s="49"/>
      <c r="AF267" s="136"/>
      <c r="AG267" s="137"/>
      <c r="AH267" s="134"/>
      <c r="AI267" s="134"/>
      <c r="AJ267" s="138"/>
      <c r="AK267" s="134"/>
      <c r="AL267" s="137"/>
      <c r="AM267" s="139"/>
      <c r="AN267" s="139"/>
      <c r="AO267" s="116">
        <v>46122</v>
      </c>
      <c r="AP267" s="134"/>
      <c r="AQ267" s="49"/>
      <c r="AR267" s="49"/>
      <c r="AS267" s="139"/>
      <c r="AT267" s="138"/>
      <c r="AU267" s="138"/>
      <c r="AV267" s="134"/>
      <c r="AW267" s="134"/>
      <c r="AX267" s="134" t="s">
        <v>97</v>
      </c>
      <c r="AY267" s="134" t="s">
        <v>98</v>
      </c>
      <c r="AZ267" s="134"/>
      <c r="BA267" s="134"/>
      <c r="BB267" s="134"/>
      <c r="BC267" s="134"/>
      <c r="BD267" s="123"/>
      <c r="BE267" s="123"/>
      <c r="BF267" s="123"/>
      <c r="BG267" s="123"/>
      <c r="BH267" s="123"/>
      <c r="BI267" s="123"/>
      <c r="BJ267" s="123"/>
      <c r="BK267" s="123"/>
      <c r="BL267" s="123"/>
      <c r="BM267" s="117">
        <v>0</v>
      </c>
      <c r="BN267" s="123"/>
      <c r="BO267" s="140"/>
      <c r="BP267" s="140"/>
      <c r="BQ267" s="140"/>
      <c r="BR267" s="123"/>
      <c r="BS267" s="141"/>
      <c r="BT267" s="123"/>
      <c r="BU267" s="141"/>
      <c r="BV267" s="123"/>
      <c r="BW267" s="123"/>
      <c r="BX267" s="123"/>
      <c r="BY267" s="123"/>
      <c r="BZ267" s="123"/>
      <c r="CA267" s="123"/>
      <c r="CB267" s="143">
        <v>0.4</v>
      </c>
      <c r="CC267" s="140"/>
      <c r="CD267" s="120">
        <v>46091</v>
      </c>
      <c r="CE267" s="120">
        <v>46094</v>
      </c>
      <c r="CF267" s="120">
        <v>46095</v>
      </c>
      <c r="CG267" s="123"/>
      <c r="CH267" s="120">
        <v>0</v>
      </c>
      <c r="CI267" s="120" t="s">
        <v>125</v>
      </c>
      <c r="CJ267" s="123"/>
    </row>
    <row r="268" spans="1:88" ht="72.599999999999994" hidden="1">
      <c r="A268" s="106" t="s">
        <v>228</v>
      </c>
      <c r="B268" s="107">
        <f>7+3.5+7+4</f>
        <v>21.5</v>
      </c>
      <c r="C268" s="107">
        <v>20</v>
      </c>
      <c r="D268" s="107">
        <f>Tracker6[[#This Row],[Estimated Hrs]]-Tracker6[[#This Row],[Actual Efforts (Hrs)]]</f>
        <v>-1.5</v>
      </c>
      <c r="E268" s="108"/>
      <c r="F268" s="108"/>
      <c r="G268" s="121"/>
      <c r="H268" s="109">
        <v>19023549</v>
      </c>
      <c r="I268" s="127">
        <v>19023549</v>
      </c>
      <c r="J268" s="107" t="s">
        <v>650</v>
      </c>
      <c r="K268" s="107" t="s">
        <v>104</v>
      </c>
      <c r="L268" s="108"/>
      <c r="M268" s="108"/>
      <c r="N268" s="108" t="s">
        <v>651</v>
      </c>
      <c r="O268" s="111" t="s">
        <v>106</v>
      </c>
      <c r="P268" s="111"/>
      <c r="Q268" s="111"/>
      <c r="R268" s="111"/>
      <c r="S268" s="111"/>
      <c r="T268" s="111"/>
      <c r="U268" s="108"/>
      <c r="V268" s="108"/>
      <c r="W268" s="108"/>
      <c r="X268" s="108"/>
      <c r="Y268" s="108"/>
      <c r="Z268" s="108"/>
      <c r="AA268" s="108"/>
      <c r="AB268" s="112"/>
      <c r="AC268" s="108"/>
      <c r="AD268" s="108"/>
      <c r="AE268" s="107"/>
      <c r="AF268" s="113"/>
      <c r="AG268" s="115"/>
      <c r="AH268" s="108"/>
      <c r="AI268" s="108"/>
      <c r="AJ268" s="114"/>
      <c r="AK268" s="108"/>
      <c r="AL268" s="115"/>
      <c r="AM268" s="116"/>
      <c r="AN268" s="116"/>
      <c r="AO268" s="116">
        <v>46128</v>
      </c>
      <c r="AP268" s="108"/>
      <c r="AQ268" s="107"/>
      <c r="AR268" s="107"/>
      <c r="AS268" s="116"/>
      <c r="AT268" s="114"/>
      <c r="AU268" s="114"/>
      <c r="AV268" s="108"/>
      <c r="AW268" s="108"/>
      <c r="AX268" s="108" t="s">
        <v>97</v>
      </c>
      <c r="AY268" s="108" t="s">
        <v>98</v>
      </c>
      <c r="AZ268" s="108"/>
      <c r="BA268" s="108"/>
      <c r="BB268" s="108"/>
      <c r="BC268" s="108"/>
      <c r="BD268" s="111"/>
      <c r="BE268" s="111"/>
      <c r="BF268" s="111"/>
      <c r="BG268" s="111"/>
      <c r="BH268" s="111"/>
      <c r="BI268" s="111"/>
      <c r="BJ268" s="111"/>
      <c r="BK268" s="111"/>
      <c r="BL268" s="111"/>
      <c r="BM268" s="117">
        <v>0</v>
      </c>
      <c r="BN268" s="111"/>
      <c r="BO268" s="117"/>
      <c r="BP268" s="117"/>
      <c r="BQ268" s="117"/>
      <c r="BR268" s="111"/>
      <c r="BS268" s="118"/>
      <c r="BT268" s="111"/>
      <c r="BU268" s="118"/>
      <c r="BV268" s="111"/>
      <c r="BW268" s="111"/>
      <c r="BX268" s="111"/>
      <c r="BY268" s="111"/>
      <c r="BZ268" s="111"/>
      <c r="CA268" s="111"/>
      <c r="CB268" s="119">
        <v>0.4</v>
      </c>
      <c r="CC268" s="117"/>
      <c r="CD268" s="132">
        <v>46091</v>
      </c>
      <c r="CE268" s="132">
        <v>46094</v>
      </c>
      <c r="CF268" s="132">
        <v>46095</v>
      </c>
      <c r="CG268" s="111"/>
      <c r="CH268" s="132">
        <v>0</v>
      </c>
      <c r="CI268" s="132" t="s">
        <v>125</v>
      </c>
      <c r="CJ268" s="111"/>
    </row>
    <row r="269" spans="1:88" ht="57.95">
      <c r="A269" s="106" t="s">
        <v>228</v>
      </c>
      <c r="B269" s="49">
        <f>4+8+6+7+6+7</f>
        <v>38</v>
      </c>
      <c r="C269" s="49">
        <v>40</v>
      </c>
      <c r="D269" s="49">
        <f>Tracker6[[#This Row],[Estimated Hrs]]-Tracker6[[#This Row],[Actual Efforts (Hrs)]]</f>
        <v>2</v>
      </c>
      <c r="E269" s="134"/>
      <c r="F269" s="134"/>
      <c r="G269" s="150"/>
      <c r="H269" s="135">
        <v>19023549</v>
      </c>
      <c r="I269" s="149">
        <v>19023549</v>
      </c>
      <c r="J269" s="49" t="s">
        <v>650</v>
      </c>
      <c r="K269" s="49" t="s">
        <v>118</v>
      </c>
      <c r="L269" s="134"/>
      <c r="M269" s="134"/>
      <c r="N269" s="108" t="s">
        <v>652</v>
      </c>
      <c r="O269" s="123" t="s">
        <v>115</v>
      </c>
      <c r="P269" s="123"/>
      <c r="Q269" s="123"/>
      <c r="R269" s="123"/>
      <c r="S269" s="123"/>
      <c r="T269" s="123"/>
      <c r="U269" s="134"/>
      <c r="V269" s="134"/>
      <c r="W269" s="134"/>
      <c r="X269" s="134"/>
      <c r="Y269" s="134"/>
      <c r="Z269" s="134"/>
      <c r="AA269" s="134"/>
      <c r="AC269" s="134"/>
      <c r="AD269" s="134"/>
      <c r="AE269" s="49"/>
      <c r="AF269" s="136"/>
      <c r="AG269" s="137"/>
      <c r="AH269" s="134"/>
      <c r="AI269" s="134"/>
      <c r="AJ269" s="138"/>
      <c r="AK269" s="134"/>
      <c r="AL269" s="137"/>
      <c r="AM269" s="139"/>
      <c r="AN269" s="139"/>
      <c r="AO269" s="116">
        <v>46136</v>
      </c>
      <c r="AP269" s="134"/>
      <c r="AQ269" s="49"/>
      <c r="AR269" s="49"/>
      <c r="AS269" s="139"/>
      <c r="AT269" s="138"/>
      <c r="AU269" s="138"/>
      <c r="AV269" s="134"/>
      <c r="AW269" s="134"/>
      <c r="AX269" s="134" t="s">
        <v>97</v>
      </c>
      <c r="AY269" s="134" t="s">
        <v>98</v>
      </c>
      <c r="AZ269" s="134"/>
      <c r="BA269" s="134"/>
      <c r="BB269" s="134"/>
      <c r="BC269" s="134"/>
      <c r="BD269" s="123"/>
      <c r="BE269" s="123"/>
      <c r="BF269" s="123"/>
      <c r="BG269" s="123"/>
      <c r="BH269" s="123"/>
      <c r="BI269" s="123"/>
      <c r="BJ269" s="123"/>
      <c r="BK269" s="123"/>
      <c r="BL269" s="123"/>
      <c r="BM269" s="117">
        <v>0</v>
      </c>
      <c r="BN269" s="123"/>
      <c r="BO269" s="140"/>
      <c r="BP269" s="140"/>
      <c r="BQ269" s="140"/>
      <c r="BR269" s="123"/>
      <c r="BS269" s="141"/>
      <c r="BT269" s="123"/>
      <c r="BU269" s="141"/>
      <c r="BV269" s="123"/>
      <c r="BW269" s="123"/>
      <c r="BX269" s="123"/>
      <c r="BY269" s="123"/>
      <c r="BZ269" s="123"/>
      <c r="CA269" s="123"/>
      <c r="CB269" s="143">
        <v>0.05</v>
      </c>
      <c r="CC269" s="140"/>
      <c r="CD269" s="132">
        <v>46119</v>
      </c>
      <c r="CE269" s="132">
        <v>46119</v>
      </c>
      <c r="CF269" s="132">
        <v>46121</v>
      </c>
      <c r="CG269" s="123"/>
      <c r="CH269" s="132">
        <v>0</v>
      </c>
      <c r="CI269" s="132" t="s">
        <v>125</v>
      </c>
      <c r="CJ269" s="123"/>
    </row>
    <row r="270" spans="1:88" ht="57.95">
      <c r="A270" s="106" t="s">
        <v>653</v>
      </c>
      <c r="B270" s="49"/>
      <c r="C270" s="49"/>
      <c r="D270" s="49">
        <f>Tracker6[[#This Row],[Estimated Hrs]]-Tracker6[[#This Row],[Actual Efforts (Hrs)]]</f>
        <v>0</v>
      </c>
      <c r="E270" s="134"/>
      <c r="F270" s="134"/>
      <c r="G270" s="150"/>
      <c r="H270" s="135">
        <v>18901997</v>
      </c>
      <c r="I270" s="149">
        <v>18901997</v>
      </c>
      <c r="J270" s="49" t="s">
        <v>654</v>
      </c>
      <c r="K270" s="49" t="s">
        <v>118</v>
      </c>
      <c r="L270" s="134"/>
      <c r="M270" s="134"/>
      <c r="N270" s="134"/>
      <c r="O270" s="123" t="s">
        <v>122</v>
      </c>
      <c r="P270" s="123"/>
      <c r="Q270" s="123"/>
      <c r="R270" s="123"/>
      <c r="S270" s="123"/>
      <c r="T270" s="123"/>
      <c r="U270" s="134"/>
      <c r="V270" s="134"/>
      <c r="W270" s="134"/>
      <c r="X270" s="134"/>
      <c r="Y270" s="134"/>
      <c r="Z270" s="134"/>
      <c r="AA270" s="134"/>
      <c r="AC270" s="134"/>
      <c r="AD270" s="134"/>
      <c r="AE270" s="49"/>
      <c r="AF270" s="136"/>
      <c r="AG270" s="137"/>
      <c r="AH270" s="134"/>
      <c r="AI270" s="134"/>
      <c r="AJ270" s="138"/>
      <c r="AK270" s="134"/>
      <c r="AL270" s="137"/>
      <c r="AM270" s="139"/>
      <c r="AN270" s="139"/>
      <c r="AO270" s="116">
        <v>46141</v>
      </c>
      <c r="AP270" s="134"/>
      <c r="AQ270" s="49"/>
      <c r="AR270" s="49"/>
      <c r="AS270" s="139"/>
      <c r="AT270" s="138"/>
      <c r="AU270" s="138"/>
      <c r="AV270" s="134"/>
      <c r="AW270" s="134"/>
      <c r="AX270" s="134" t="s">
        <v>97</v>
      </c>
      <c r="AY270" s="134" t="s">
        <v>98</v>
      </c>
      <c r="AZ270" s="134"/>
      <c r="BA270" s="134"/>
      <c r="BB270" s="134"/>
      <c r="BC270" s="134"/>
      <c r="BD270" s="123"/>
      <c r="BE270" s="123"/>
      <c r="BF270" s="123"/>
      <c r="BG270" s="123"/>
      <c r="BH270" s="123"/>
      <c r="BI270" s="123"/>
      <c r="BJ270" s="123"/>
      <c r="BK270" s="123"/>
      <c r="BL270" s="123"/>
      <c r="BM270" s="117">
        <v>0</v>
      </c>
      <c r="BN270" s="123"/>
      <c r="BO270" s="140"/>
      <c r="BP270" s="140"/>
      <c r="BQ270" s="140"/>
      <c r="BR270" s="123"/>
      <c r="BS270" s="141"/>
      <c r="BT270" s="123"/>
      <c r="BU270" s="141"/>
      <c r="BV270" s="123"/>
      <c r="BW270" s="123"/>
      <c r="BX270" s="123"/>
      <c r="BY270" s="123"/>
      <c r="BZ270" s="123"/>
      <c r="CA270" s="123"/>
      <c r="CB270" s="143">
        <v>0</v>
      </c>
      <c r="CC270" s="140"/>
      <c r="CD270" s="120">
        <v>46091</v>
      </c>
      <c r="CE270" s="120">
        <v>46094</v>
      </c>
      <c r="CF270" s="120">
        <v>46095</v>
      </c>
      <c r="CG270" s="123"/>
      <c r="CH270" s="120">
        <v>0</v>
      </c>
      <c r="CI270" s="120" t="s">
        <v>125</v>
      </c>
      <c r="CJ270" s="123"/>
    </row>
    <row r="271" spans="1:88" ht="57.95">
      <c r="A271" s="106" t="s">
        <v>653</v>
      </c>
      <c r="B271" s="49"/>
      <c r="C271" s="49"/>
      <c r="D271" s="49">
        <f>Tracker6[[#This Row],[Estimated Hrs]]-Tracker6[[#This Row],[Actual Efforts (Hrs)]]</f>
        <v>0</v>
      </c>
      <c r="E271" s="134"/>
      <c r="F271" s="134"/>
      <c r="G271" s="150"/>
      <c r="H271" s="135">
        <v>18929504</v>
      </c>
      <c r="I271" s="149">
        <v>18929504</v>
      </c>
      <c r="J271" s="49" t="s">
        <v>655</v>
      </c>
      <c r="K271" s="49" t="s">
        <v>118</v>
      </c>
      <c r="L271" s="134"/>
      <c r="M271" s="134"/>
      <c r="N271" s="134"/>
      <c r="O271" s="123" t="s">
        <v>122</v>
      </c>
      <c r="P271" s="123"/>
      <c r="Q271" s="123"/>
      <c r="R271" s="123"/>
      <c r="S271" s="123"/>
      <c r="T271" s="123"/>
      <c r="U271" s="134"/>
      <c r="V271" s="134"/>
      <c r="W271" s="134"/>
      <c r="X271" s="134"/>
      <c r="Y271" s="134"/>
      <c r="Z271" s="134"/>
      <c r="AA271" s="134"/>
      <c r="AC271" s="134"/>
      <c r="AD271" s="134"/>
      <c r="AE271" s="49"/>
      <c r="AF271" s="136"/>
      <c r="AG271" s="137"/>
      <c r="AH271" s="134"/>
      <c r="AI271" s="134"/>
      <c r="AJ271" s="138"/>
      <c r="AK271" s="134"/>
      <c r="AL271" s="137"/>
      <c r="AM271" s="139"/>
      <c r="AN271" s="139"/>
      <c r="AO271" s="116">
        <v>46141</v>
      </c>
      <c r="AP271" s="134"/>
      <c r="AQ271" s="49"/>
      <c r="AR271" s="49"/>
      <c r="AS271" s="139"/>
      <c r="AT271" s="138"/>
      <c r="AU271" s="138"/>
      <c r="AV271" s="134"/>
      <c r="AW271" s="134"/>
      <c r="AX271" s="134" t="s">
        <v>97</v>
      </c>
      <c r="AY271" s="134" t="s">
        <v>98</v>
      </c>
      <c r="AZ271" s="134"/>
      <c r="BA271" s="134"/>
      <c r="BB271" s="134"/>
      <c r="BC271" s="134"/>
      <c r="BD271" s="123"/>
      <c r="BE271" s="123"/>
      <c r="BF271" s="123"/>
      <c r="BG271" s="123"/>
      <c r="BH271" s="123"/>
      <c r="BI271" s="123"/>
      <c r="BJ271" s="123"/>
      <c r="BK271" s="123"/>
      <c r="BL271" s="123"/>
      <c r="BM271" s="117">
        <v>0</v>
      </c>
      <c r="BN271" s="123"/>
      <c r="BO271" s="140"/>
      <c r="BP271" s="140"/>
      <c r="BQ271" s="140"/>
      <c r="BR271" s="123"/>
      <c r="BS271" s="141"/>
      <c r="BT271" s="123"/>
      <c r="BU271" s="141"/>
      <c r="BV271" s="123"/>
      <c r="BW271" s="123"/>
      <c r="BX271" s="123"/>
      <c r="BY271" s="123"/>
      <c r="BZ271" s="123"/>
      <c r="CA271" s="123"/>
      <c r="CB271" s="143">
        <v>0</v>
      </c>
      <c r="CC271" s="140"/>
      <c r="CD271" s="120">
        <v>46091</v>
      </c>
      <c r="CE271" s="120">
        <v>46094</v>
      </c>
      <c r="CF271" s="120">
        <v>46095</v>
      </c>
      <c r="CG271" s="123"/>
      <c r="CH271" s="120">
        <v>0</v>
      </c>
      <c r="CI271" s="120" t="s">
        <v>125</v>
      </c>
      <c r="CJ271" s="123"/>
    </row>
    <row r="272" spans="1:88" ht="57.95">
      <c r="A272" s="106" t="s">
        <v>228</v>
      </c>
      <c r="B272" s="107"/>
      <c r="C272" s="107">
        <v>35</v>
      </c>
      <c r="D272" s="107">
        <f>Tracker6[[#This Row],[Estimated Hrs]]-Tracker6[[#This Row],[Actual Efforts (Hrs)]]</f>
        <v>35</v>
      </c>
      <c r="E272" s="108"/>
      <c r="F272" s="108"/>
      <c r="G272" s="121"/>
      <c r="H272" s="109">
        <v>19023103</v>
      </c>
      <c r="I272" s="127">
        <v>19023103</v>
      </c>
      <c r="J272" s="107" t="s">
        <v>648</v>
      </c>
      <c r="K272" s="107" t="s">
        <v>118</v>
      </c>
      <c r="L272" s="108"/>
      <c r="M272" s="108"/>
      <c r="N272" s="108"/>
      <c r="O272" s="111" t="s">
        <v>122</v>
      </c>
      <c r="P272" s="111"/>
      <c r="Q272" s="111"/>
      <c r="R272" s="111"/>
      <c r="S272" s="111"/>
      <c r="T272" s="111"/>
      <c r="U272" s="108"/>
      <c r="V272" s="108"/>
      <c r="W272" s="108"/>
      <c r="X272" s="108"/>
      <c r="Y272" s="108"/>
      <c r="Z272" s="108"/>
      <c r="AA272" s="108"/>
      <c r="AB272" s="112"/>
      <c r="AC272" s="108"/>
      <c r="AD272" s="108"/>
      <c r="AE272" s="107"/>
      <c r="AF272" s="113"/>
      <c r="AG272" s="115"/>
      <c r="AH272" s="108"/>
      <c r="AI272" s="108"/>
      <c r="AJ272" s="114"/>
      <c r="AK272" s="108"/>
      <c r="AL272" s="115"/>
      <c r="AM272" s="116"/>
      <c r="AN272" s="116"/>
      <c r="AO272" s="116">
        <v>46136</v>
      </c>
      <c r="AP272" s="108"/>
      <c r="AQ272" s="107"/>
      <c r="AR272" s="107"/>
      <c r="AS272" s="116"/>
      <c r="AT272" s="114"/>
      <c r="AU272" s="114"/>
      <c r="AV272" s="108"/>
      <c r="AW272" s="108"/>
      <c r="AX272" s="108" t="s">
        <v>97</v>
      </c>
      <c r="AY272" s="108" t="s">
        <v>98</v>
      </c>
      <c r="AZ272" s="108"/>
      <c r="BA272" s="108"/>
      <c r="BB272" s="108"/>
      <c r="BC272" s="108"/>
      <c r="BD272" s="111"/>
      <c r="BE272" s="111"/>
      <c r="BF272" s="111"/>
      <c r="BG272" s="111"/>
      <c r="BH272" s="111"/>
      <c r="BI272" s="111"/>
      <c r="BJ272" s="111"/>
      <c r="BK272" s="111"/>
      <c r="BL272" s="111"/>
      <c r="BM272" s="117">
        <v>0</v>
      </c>
      <c r="BN272" s="111"/>
      <c r="BO272" s="117"/>
      <c r="BP272" s="117"/>
      <c r="BQ272" s="117"/>
      <c r="BR272" s="111"/>
      <c r="BS272" s="118"/>
      <c r="BT272" s="111"/>
      <c r="BU272" s="118"/>
      <c r="BV272" s="111"/>
      <c r="BW272" s="111"/>
      <c r="BX272" s="111"/>
      <c r="BY272" s="111"/>
      <c r="BZ272" s="111"/>
      <c r="CA272" s="111"/>
      <c r="CB272" s="119">
        <v>0</v>
      </c>
      <c r="CC272" s="117"/>
      <c r="CD272" s="132">
        <v>46091</v>
      </c>
      <c r="CE272" s="132">
        <v>46094</v>
      </c>
      <c r="CF272" s="132">
        <v>46095</v>
      </c>
      <c r="CG272" s="111"/>
      <c r="CH272" s="132">
        <v>0</v>
      </c>
      <c r="CI272" s="132" t="s">
        <v>125</v>
      </c>
      <c r="CJ272" s="111"/>
    </row>
    <row r="273" spans="1:88" ht="57.95">
      <c r="A273" s="106" t="s">
        <v>260</v>
      </c>
      <c r="B273" s="49"/>
      <c r="C273" s="49"/>
      <c r="D273" s="107">
        <f>C273-B273</f>
        <v>0</v>
      </c>
      <c r="E273" s="134"/>
      <c r="F273" s="134" t="s">
        <v>136</v>
      </c>
      <c r="G273" s="150"/>
      <c r="H273" s="135">
        <v>19000941</v>
      </c>
      <c r="I273" s="149">
        <v>19000941</v>
      </c>
      <c r="J273" s="134" t="s">
        <v>645</v>
      </c>
      <c r="K273" s="134" t="s">
        <v>118</v>
      </c>
      <c r="L273" s="134"/>
      <c r="M273" s="134"/>
      <c r="N273" s="108"/>
      <c r="O273" s="123" t="s">
        <v>122</v>
      </c>
      <c r="P273" s="123"/>
      <c r="Q273" s="123"/>
      <c r="R273" s="123"/>
      <c r="S273" s="123"/>
      <c r="T273" s="123"/>
      <c r="U273" s="134"/>
      <c r="V273" s="134"/>
      <c r="W273" s="134"/>
      <c r="X273" s="134"/>
      <c r="Y273" s="134"/>
      <c r="Z273" s="134"/>
      <c r="AA273" s="134" t="s">
        <v>139</v>
      </c>
      <c r="AB273" s="29">
        <v>46059</v>
      </c>
      <c r="AC273" s="134" t="s">
        <v>165</v>
      </c>
      <c r="AD273" s="134" t="s">
        <v>166</v>
      </c>
      <c r="AE273" s="49"/>
      <c r="AF273" s="136"/>
      <c r="AG273" s="137">
        <v>46045.847349537034</v>
      </c>
      <c r="AH273" s="134" t="s">
        <v>94</v>
      </c>
      <c r="AI273" s="134" t="s">
        <v>95</v>
      </c>
      <c r="AJ273" s="138">
        <v>46081.4375</v>
      </c>
      <c r="AK273" s="134" t="s">
        <v>96</v>
      </c>
      <c r="AL273" s="137">
        <v>46043.57335648148</v>
      </c>
      <c r="AM273" s="139"/>
      <c r="AN273" s="139"/>
      <c r="AO273" s="116">
        <v>46141</v>
      </c>
      <c r="AP273" s="134"/>
      <c r="AQ273" s="49"/>
      <c r="AR273" s="49"/>
      <c r="AS273" s="139"/>
      <c r="AT273" s="138"/>
      <c r="AU273" s="138"/>
      <c r="AV273" s="134"/>
      <c r="AW273" s="134"/>
      <c r="AX273" s="134" t="s">
        <v>97</v>
      </c>
      <c r="AY273" s="134" t="s">
        <v>98</v>
      </c>
      <c r="AZ273" s="134"/>
      <c r="BA273" s="134"/>
      <c r="BB273" s="134"/>
      <c r="BC273" s="134"/>
      <c r="BD273" s="123"/>
      <c r="BE273" s="123"/>
      <c r="BF273" s="123"/>
      <c r="BG273" s="123"/>
      <c r="BH273" s="123"/>
      <c r="BI273" s="123"/>
      <c r="BJ273" s="123"/>
      <c r="BK273" s="123"/>
      <c r="BL273" s="123"/>
      <c r="BM273" s="117" t="e">
        <v>#N/A</v>
      </c>
      <c r="BN273" s="123"/>
      <c r="BO273" s="140"/>
      <c r="BP273" s="140"/>
      <c r="BQ273" s="140"/>
      <c r="BR273" s="123"/>
      <c r="BS273" s="141"/>
      <c r="BT273" s="123"/>
      <c r="BU273" s="141"/>
      <c r="BV273" s="123"/>
      <c r="BW273" s="123"/>
      <c r="BX273" s="123"/>
      <c r="BY273" s="123"/>
      <c r="BZ273" s="123"/>
      <c r="CA273" s="123"/>
      <c r="CB273" s="143">
        <v>0</v>
      </c>
      <c r="CC273" s="140"/>
      <c r="CD273" s="120">
        <v>46134</v>
      </c>
      <c r="CE273" s="120">
        <v>46135</v>
      </c>
      <c r="CF273" s="120">
        <v>46136</v>
      </c>
      <c r="CG273" s="123"/>
      <c r="CH273" s="132" t="e">
        <v>#N/A</v>
      </c>
      <c r="CI273" s="132" t="e">
        <v>#N/A</v>
      </c>
      <c r="CJ273" s="123"/>
    </row>
    <row r="274" spans="1:88" ht="57.95">
      <c r="A274" s="106" t="s">
        <v>653</v>
      </c>
      <c r="B274" s="49">
        <f>2+3+0.5</f>
        <v>5.5</v>
      </c>
      <c r="C274" s="49">
        <v>10</v>
      </c>
      <c r="D274" s="49"/>
      <c r="E274" s="134"/>
      <c r="F274" s="134" t="s">
        <v>136</v>
      </c>
      <c r="G274" s="150"/>
      <c r="H274" s="135">
        <v>18986418</v>
      </c>
      <c r="I274" s="149">
        <v>18986418</v>
      </c>
      <c r="J274" s="134" t="s">
        <v>643</v>
      </c>
      <c r="K274" s="134" t="s">
        <v>118</v>
      </c>
      <c r="L274" s="134"/>
      <c r="M274" s="134"/>
      <c r="N274" s="108"/>
      <c r="O274" s="123" t="s">
        <v>122</v>
      </c>
      <c r="P274" s="123"/>
      <c r="Q274" s="123"/>
      <c r="R274" s="123"/>
      <c r="S274" s="123"/>
      <c r="T274" s="123"/>
      <c r="U274" s="134"/>
      <c r="V274" s="134"/>
      <c r="W274" s="134"/>
      <c r="X274" s="134"/>
      <c r="Y274" s="134"/>
      <c r="Z274" s="134"/>
      <c r="AA274" s="134" t="s">
        <v>139</v>
      </c>
      <c r="AB274" s="29">
        <v>46059</v>
      </c>
      <c r="AC274" s="134" t="s">
        <v>165</v>
      </c>
      <c r="AD274" s="134" t="s">
        <v>166</v>
      </c>
      <c r="AE274" s="49"/>
      <c r="AF274" s="136"/>
      <c r="AG274" s="137">
        <v>46045.847349537034</v>
      </c>
      <c r="AH274" s="134" t="s">
        <v>94</v>
      </c>
      <c r="AI274" s="134" t="s">
        <v>95</v>
      </c>
      <c r="AJ274" s="138">
        <v>46081.4375</v>
      </c>
      <c r="AK274" s="134" t="s">
        <v>96</v>
      </c>
      <c r="AL274" s="137">
        <v>46043.57335648148</v>
      </c>
      <c r="AM274" s="139"/>
      <c r="AN274" s="139"/>
      <c r="AO274" s="116">
        <v>46141</v>
      </c>
      <c r="AP274" s="134"/>
      <c r="AQ274" s="49"/>
      <c r="AR274" s="49"/>
      <c r="AS274" s="139"/>
      <c r="AT274" s="138"/>
      <c r="AU274" s="138"/>
      <c r="AV274" s="134"/>
      <c r="AW274" s="134"/>
      <c r="AX274" s="134" t="s">
        <v>97</v>
      </c>
      <c r="AY274" s="134" t="s">
        <v>98</v>
      </c>
      <c r="AZ274" s="134"/>
      <c r="BA274" s="134"/>
      <c r="BB274" s="134"/>
      <c r="BC274" s="134"/>
      <c r="BD274" s="123"/>
      <c r="BE274" s="123"/>
      <c r="BF274" s="123"/>
      <c r="BG274" s="123"/>
      <c r="BH274" s="123"/>
      <c r="BI274" s="123"/>
      <c r="BJ274" s="123"/>
      <c r="BK274" s="123"/>
      <c r="BL274" s="123"/>
      <c r="BM274" s="117" t="e">
        <v>#N/A</v>
      </c>
      <c r="BN274" s="123"/>
      <c r="BO274" s="140"/>
      <c r="BP274" s="140"/>
      <c r="BQ274" s="140"/>
      <c r="BR274" s="123"/>
      <c r="BS274" s="141"/>
      <c r="BT274" s="123"/>
      <c r="BU274" s="141"/>
      <c r="BV274" s="123"/>
      <c r="BW274" s="123"/>
      <c r="BX274" s="123"/>
      <c r="BY274" s="123"/>
      <c r="BZ274" s="123"/>
      <c r="CA274" s="123"/>
      <c r="CB274" s="143">
        <v>0</v>
      </c>
      <c r="CC274" s="140"/>
      <c r="CD274" s="120" t="e">
        <v>#N/A</v>
      </c>
      <c r="CE274" s="120" t="e">
        <v>#N/A</v>
      </c>
      <c r="CF274" s="120" t="e">
        <v>#N/A</v>
      </c>
      <c r="CG274" s="123"/>
      <c r="CH274" s="120" t="e">
        <v>#N/A</v>
      </c>
      <c r="CI274" s="120" t="e">
        <v>#N/A</v>
      </c>
      <c r="CJ274" s="123"/>
    </row>
    <row r="275" spans="1:88" ht="57.95" hidden="1">
      <c r="A275" s="106" t="s">
        <v>577</v>
      </c>
      <c r="B275" s="107">
        <f>8+3+3+3</f>
        <v>17</v>
      </c>
      <c r="C275" s="107">
        <v>60</v>
      </c>
      <c r="D275" s="107">
        <f>Tracker6[[#This Row],[Estimated Hrs]]-Tracker6[[#This Row],[Actual Efforts (Hrs)]]</f>
        <v>43</v>
      </c>
      <c r="E275" s="108"/>
      <c r="F275" s="108"/>
      <c r="G275" s="121"/>
      <c r="H275" s="109">
        <v>18947608</v>
      </c>
      <c r="I275" s="127">
        <v>18947608</v>
      </c>
      <c r="J275" s="107" t="s">
        <v>639</v>
      </c>
      <c r="K275" s="108" t="s">
        <v>118</v>
      </c>
      <c r="L275" s="108"/>
      <c r="M275" s="108"/>
      <c r="N275" s="108" t="s">
        <v>656</v>
      </c>
      <c r="O275" s="111" t="s">
        <v>115</v>
      </c>
      <c r="P275" s="111"/>
      <c r="Q275" s="111"/>
      <c r="R275" s="111"/>
      <c r="S275" s="111"/>
      <c r="T275" s="111"/>
      <c r="U275" s="108"/>
      <c r="V275" s="108"/>
      <c r="W275" s="108"/>
      <c r="X275" s="108"/>
      <c r="Y275" s="108"/>
      <c r="Z275" s="108"/>
      <c r="AA275" s="108"/>
      <c r="AB275" s="112"/>
      <c r="AC275" s="108"/>
      <c r="AD275" s="108"/>
      <c r="AE275" s="107"/>
      <c r="AF275" s="113"/>
      <c r="AG275" s="115"/>
      <c r="AH275" s="108"/>
      <c r="AI275" s="108"/>
      <c r="AJ275" s="114"/>
      <c r="AK275" s="108"/>
      <c r="AL275" s="115"/>
      <c r="AM275" s="116"/>
      <c r="AN275" s="116"/>
      <c r="AO275" s="116">
        <v>46141</v>
      </c>
      <c r="AP275" s="108"/>
      <c r="AQ275" s="107"/>
      <c r="AR275" s="107"/>
      <c r="AS275" s="116"/>
      <c r="AT275" s="114"/>
      <c r="AU275" s="114"/>
      <c r="AV275" s="108"/>
      <c r="AW275" s="108"/>
      <c r="AX275" s="134" t="s">
        <v>97</v>
      </c>
      <c r="AY275" s="134" t="s">
        <v>98</v>
      </c>
      <c r="AZ275" s="108"/>
      <c r="BA275" s="108"/>
      <c r="BB275" s="108"/>
      <c r="BC275" s="108"/>
      <c r="BD275" s="111"/>
      <c r="BE275" s="111"/>
      <c r="BF275" s="111"/>
      <c r="BG275" s="111"/>
      <c r="BH275" s="111"/>
      <c r="BI275" s="111"/>
      <c r="BJ275" s="111"/>
      <c r="BK275" s="111"/>
      <c r="BL275" s="111"/>
      <c r="BM275" s="117"/>
      <c r="BN275" s="111"/>
      <c r="BO275" s="117"/>
      <c r="BP275" s="117"/>
      <c r="BQ275" s="117"/>
      <c r="BR275" s="111"/>
      <c r="BS275" s="118"/>
      <c r="BT275" s="111"/>
      <c r="BU275" s="118"/>
      <c r="BV275" s="111"/>
      <c r="BW275" s="111"/>
      <c r="BX275" s="111"/>
      <c r="BY275" s="111"/>
      <c r="BZ275" s="111"/>
      <c r="CA275" s="111"/>
      <c r="CB275" s="119">
        <v>0.1</v>
      </c>
      <c r="CC275" s="117"/>
      <c r="CD275" s="132"/>
      <c r="CE275" s="132"/>
      <c r="CF275" s="132"/>
      <c r="CG275" s="111"/>
      <c r="CH275" s="259"/>
      <c r="CI275" s="132"/>
      <c r="CJ275" s="111" t="s">
        <v>657</v>
      </c>
    </row>
    <row r="276" spans="1:88" ht="101.45" hidden="1">
      <c r="A276" s="106" t="s">
        <v>183</v>
      </c>
      <c r="B276" s="107">
        <f>6.5+0.5</f>
        <v>7</v>
      </c>
      <c r="C276" s="107">
        <v>8</v>
      </c>
      <c r="D276" s="107">
        <f>C276-B276</f>
        <v>1</v>
      </c>
      <c r="E276" s="108"/>
      <c r="F276" s="108" t="s">
        <v>148</v>
      </c>
      <c r="G276" s="121" t="s">
        <v>148</v>
      </c>
      <c r="H276" s="109">
        <v>18612813</v>
      </c>
      <c r="I276" s="127">
        <v>18612813</v>
      </c>
      <c r="J276" s="108" t="s">
        <v>196</v>
      </c>
      <c r="K276" s="108" t="s">
        <v>101</v>
      </c>
      <c r="L276" s="108"/>
      <c r="M276" s="108"/>
      <c r="N276" s="108" t="s">
        <v>658</v>
      </c>
      <c r="O276" s="111" t="s">
        <v>115</v>
      </c>
      <c r="P276" s="111"/>
      <c r="Q276" s="111"/>
      <c r="R276" s="111"/>
      <c r="S276" s="111"/>
      <c r="T276" s="111"/>
      <c r="U276" s="108"/>
      <c r="V276" s="108"/>
      <c r="W276" s="108"/>
      <c r="X276" s="108"/>
      <c r="Y276" s="108"/>
      <c r="Z276" s="108"/>
      <c r="AA276" s="108"/>
      <c r="AB276" s="112"/>
      <c r="AC276" s="108"/>
      <c r="AD276" s="108"/>
      <c r="AE276" s="107"/>
      <c r="AF276" s="113"/>
      <c r="AG276" s="115"/>
      <c r="AH276" s="108"/>
      <c r="AI276" s="108"/>
      <c r="AJ276" s="114"/>
      <c r="AK276" s="108"/>
      <c r="AL276" s="115"/>
      <c r="AM276" s="116"/>
      <c r="AN276" s="116"/>
      <c r="AO276" s="116"/>
      <c r="AP276" s="108"/>
      <c r="AQ276" s="107"/>
      <c r="AR276" s="107"/>
      <c r="AS276" s="116"/>
      <c r="AT276" s="114"/>
      <c r="AU276" s="114"/>
      <c r="AV276" s="108"/>
      <c r="AW276" s="108"/>
      <c r="AX276" s="108"/>
      <c r="AY276" s="108"/>
      <c r="AZ276" s="108"/>
      <c r="BA276" s="108"/>
      <c r="BB276" s="108"/>
      <c r="BC276" s="108"/>
      <c r="BD276" s="111"/>
      <c r="BE276" s="111"/>
      <c r="BF276" s="111"/>
      <c r="BG276" s="111"/>
      <c r="BH276" s="111"/>
      <c r="BI276" s="111"/>
      <c r="BJ276" s="111"/>
      <c r="BK276" s="111"/>
      <c r="BL276" s="111"/>
      <c r="BM276" s="117"/>
      <c r="BN276" s="111"/>
      <c r="BO276" s="117"/>
      <c r="BP276" s="117"/>
      <c r="BQ276" s="117"/>
      <c r="BR276" s="111"/>
      <c r="BS276" s="118"/>
      <c r="BT276" s="111"/>
      <c r="BU276" s="118"/>
      <c r="BV276" s="111"/>
      <c r="BW276" s="111"/>
      <c r="BX276" s="111"/>
      <c r="BY276" s="111"/>
      <c r="BZ276" s="111"/>
      <c r="CA276" s="111"/>
      <c r="CB276" s="119"/>
      <c r="CC276" s="117"/>
      <c r="CD276" s="132"/>
      <c r="CE276" s="132"/>
      <c r="CF276" s="132"/>
      <c r="CG276" s="111"/>
      <c r="CH276" s="259"/>
      <c r="CI276" s="132"/>
      <c r="CJ276" s="111"/>
    </row>
    <row r="277" spans="1:88" ht="43.5" hidden="1">
      <c r="A277" s="106" t="s">
        <v>183</v>
      </c>
      <c r="B277" s="107"/>
      <c r="C277" s="107">
        <v>10</v>
      </c>
      <c r="D277" s="107"/>
      <c r="E277" s="108"/>
      <c r="F277" s="108"/>
      <c r="G277" s="121"/>
      <c r="H277" s="331">
        <v>19269141</v>
      </c>
      <c r="I277" s="331">
        <v>19269141</v>
      </c>
      <c r="J277" s="108" t="s">
        <v>659</v>
      </c>
      <c r="K277" s="108" t="s">
        <v>104</v>
      </c>
      <c r="L277" s="108"/>
      <c r="M277" s="108"/>
      <c r="N277" s="108" t="s">
        <v>660</v>
      </c>
      <c r="O277" s="111" t="s">
        <v>106</v>
      </c>
      <c r="P277" s="111"/>
      <c r="Q277" s="111"/>
      <c r="R277" s="111"/>
      <c r="S277" s="111"/>
      <c r="T277" s="111"/>
      <c r="U277" s="108"/>
      <c r="V277" s="108"/>
      <c r="W277" s="108"/>
      <c r="X277" s="108"/>
      <c r="Y277" s="108"/>
      <c r="Z277" s="108"/>
      <c r="AA277" s="108"/>
      <c r="AB277" s="112"/>
      <c r="AC277" s="108"/>
      <c r="AD277" s="108"/>
      <c r="AE277" s="107"/>
      <c r="AF277" s="113"/>
      <c r="AG277" s="115"/>
      <c r="AH277" s="108"/>
      <c r="AI277" s="108"/>
      <c r="AJ277" s="114"/>
      <c r="AK277" s="108"/>
      <c r="AL277" s="115"/>
      <c r="AM277" s="116"/>
      <c r="AN277" s="116"/>
      <c r="AO277" s="116">
        <v>46108</v>
      </c>
      <c r="AP277" s="108"/>
      <c r="AQ277" s="107"/>
      <c r="AR277" s="107"/>
      <c r="AS277" s="116"/>
      <c r="AT277" s="114"/>
      <c r="AU277" s="114"/>
      <c r="AV277" s="108"/>
      <c r="AW277" s="108"/>
      <c r="AX277" s="108"/>
      <c r="AY277" s="108"/>
      <c r="AZ277" s="108"/>
      <c r="BA277" s="108"/>
      <c r="BB277" s="108"/>
      <c r="BC277" s="108"/>
      <c r="BD277" s="111"/>
      <c r="BE277" s="111"/>
      <c r="BF277" s="111"/>
      <c r="BG277" s="111"/>
      <c r="BH277" s="111"/>
      <c r="BI277" s="111"/>
      <c r="BJ277" s="111"/>
      <c r="BK277" s="111"/>
      <c r="BL277" s="111"/>
      <c r="BM277" s="117"/>
      <c r="BN277" s="111"/>
      <c r="BO277" s="117"/>
      <c r="BP277" s="117"/>
      <c r="BQ277" s="117"/>
      <c r="BR277" s="111"/>
      <c r="BS277" s="118"/>
      <c r="BT277" s="111"/>
      <c r="BU277" s="118"/>
      <c r="BV277" s="111"/>
      <c r="BW277" s="111"/>
      <c r="BX277" s="111"/>
      <c r="BY277" s="111"/>
      <c r="BZ277" s="111"/>
      <c r="CA277" s="111"/>
      <c r="CB277" s="119"/>
      <c r="CC277" s="117"/>
      <c r="CD277" s="132"/>
      <c r="CE277" s="132"/>
      <c r="CF277" s="132"/>
      <c r="CG277" s="111"/>
      <c r="CH277" s="132"/>
      <c r="CI277" s="132"/>
      <c r="CJ277" s="111"/>
    </row>
    <row r="278" spans="1:88" ht="57.95" hidden="1">
      <c r="A278" s="106" t="s">
        <v>516</v>
      </c>
      <c r="B278" s="107">
        <f>1.5+6+0.5</f>
        <v>8</v>
      </c>
      <c r="C278" s="107">
        <f>50</f>
        <v>50</v>
      </c>
      <c r="D278" s="107">
        <f>Tracker6[[#This Row],[Estimated Hrs]]-Tracker6[[#This Row],[Actual Efforts (Hrs)]]</f>
        <v>42</v>
      </c>
      <c r="E278" s="108"/>
      <c r="F278" s="108"/>
      <c r="G278" s="121"/>
      <c r="H278" s="109">
        <v>19269141</v>
      </c>
      <c r="I278" s="127">
        <v>19269141</v>
      </c>
      <c r="J278" s="110" t="s">
        <v>659</v>
      </c>
      <c r="K278" s="108" t="s">
        <v>118</v>
      </c>
      <c r="L278" s="108"/>
      <c r="M278" s="108"/>
      <c r="N278" s="108" t="s">
        <v>661</v>
      </c>
      <c r="O278" s="111" t="s">
        <v>115</v>
      </c>
      <c r="P278" s="111"/>
      <c r="Q278" s="111"/>
      <c r="R278" s="111"/>
      <c r="S278" s="111"/>
      <c r="T278" s="111"/>
      <c r="U278" s="108"/>
      <c r="V278" s="108"/>
      <c r="W278" s="108"/>
      <c r="X278" s="108"/>
      <c r="Y278" s="108"/>
      <c r="Z278" s="108"/>
      <c r="AA278" s="108"/>
      <c r="AB278" s="112"/>
      <c r="AC278" s="108"/>
      <c r="AD278" s="108"/>
      <c r="AE278" s="107"/>
      <c r="AF278" s="113"/>
      <c r="AG278" s="115"/>
      <c r="AH278" s="108"/>
      <c r="AI278" s="108"/>
      <c r="AJ278" s="114"/>
      <c r="AK278" s="108"/>
      <c r="AL278" s="115"/>
      <c r="AM278" s="116"/>
      <c r="AN278" s="116"/>
      <c r="AO278" s="116">
        <v>46136</v>
      </c>
      <c r="AP278" s="108"/>
      <c r="AQ278" s="107"/>
      <c r="AR278" s="107"/>
      <c r="AS278" s="116"/>
      <c r="AT278" s="114"/>
      <c r="AU278" s="114"/>
      <c r="AV278" s="108"/>
      <c r="AW278" s="108"/>
      <c r="AX278" s="134" t="s">
        <v>97</v>
      </c>
      <c r="AY278" s="134" t="s">
        <v>98</v>
      </c>
      <c r="AZ278" s="108"/>
      <c r="BA278" s="108"/>
      <c r="BB278" s="108"/>
      <c r="BC278" s="108"/>
      <c r="BD278" s="111"/>
      <c r="BE278" s="111"/>
      <c r="BF278" s="111"/>
      <c r="BG278" s="111"/>
      <c r="BH278" s="111"/>
      <c r="BI278" s="111"/>
      <c r="BJ278" s="111"/>
      <c r="BK278" s="111"/>
      <c r="BL278" s="111"/>
      <c r="BM278" s="117"/>
      <c r="BN278" s="111"/>
      <c r="BO278" s="117"/>
      <c r="BP278" s="117"/>
      <c r="BQ278" s="117"/>
      <c r="BR278" s="111"/>
      <c r="BS278" s="118"/>
      <c r="BT278" s="111"/>
      <c r="BU278" s="118"/>
      <c r="BV278" s="111"/>
      <c r="BW278" s="111"/>
      <c r="BX278" s="111"/>
      <c r="BY278" s="111"/>
      <c r="BZ278" s="111"/>
      <c r="CA278" s="111"/>
      <c r="CB278" s="119">
        <v>0.1</v>
      </c>
      <c r="CC278" s="117"/>
      <c r="CD278" s="132"/>
      <c r="CE278" s="132"/>
      <c r="CF278" s="132"/>
      <c r="CG278" s="111"/>
      <c r="CH278" s="132"/>
      <c r="CI278" s="132"/>
      <c r="CJ278" s="111"/>
    </row>
    <row r="279" spans="1:88" ht="72.599999999999994" hidden="1">
      <c r="A279" s="106" t="s">
        <v>260</v>
      </c>
      <c r="B279" s="107">
        <f>2.5+7+6+1+1</f>
        <v>17.5</v>
      </c>
      <c r="C279" s="107">
        <v>10</v>
      </c>
      <c r="D279" s="107">
        <f>C279-B279</f>
        <v>-7.5</v>
      </c>
      <c r="E279" s="108"/>
      <c r="F279" s="108"/>
      <c r="G279" s="121"/>
      <c r="H279" s="109">
        <v>18944494</v>
      </c>
      <c r="I279" s="127">
        <v>18944494</v>
      </c>
      <c r="J279" s="108" t="s">
        <v>662</v>
      </c>
      <c r="K279" s="108" t="s">
        <v>104</v>
      </c>
      <c r="L279" s="108"/>
      <c r="M279" s="108"/>
      <c r="N279" s="108" t="s">
        <v>663</v>
      </c>
      <c r="O279" s="111" t="s">
        <v>115</v>
      </c>
      <c r="P279" s="111"/>
      <c r="Q279" s="111"/>
      <c r="R279" s="111"/>
      <c r="S279" s="111"/>
      <c r="T279" s="111"/>
      <c r="U279" s="108"/>
      <c r="V279" s="108"/>
      <c r="W279" s="108"/>
      <c r="X279" s="108"/>
      <c r="Y279" s="108"/>
      <c r="Z279" s="108"/>
      <c r="AA279" s="108"/>
      <c r="AB279" s="112"/>
      <c r="AC279" s="108"/>
      <c r="AD279" s="108"/>
      <c r="AE279" s="107"/>
      <c r="AF279" s="113"/>
      <c r="AG279" s="115"/>
      <c r="AH279" s="108"/>
      <c r="AI279" s="108"/>
      <c r="AJ279" s="114"/>
      <c r="AK279" s="108"/>
      <c r="AL279" s="115"/>
      <c r="AM279" s="116"/>
      <c r="AN279" s="116"/>
      <c r="AO279" s="116">
        <v>46122</v>
      </c>
      <c r="AP279" s="108"/>
      <c r="AQ279" s="107"/>
      <c r="AR279" s="107"/>
      <c r="AS279" s="116"/>
      <c r="AT279" s="114"/>
      <c r="AU279" s="114"/>
      <c r="AV279" s="108"/>
      <c r="AW279" s="108"/>
      <c r="AX279" s="108"/>
      <c r="AY279" s="108"/>
      <c r="AZ279" s="108"/>
      <c r="BA279" s="108"/>
      <c r="BB279" s="108"/>
      <c r="BC279" s="108"/>
      <c r="BD279" s="111"/>
      <c r="BE279" s="111"/>
      <c r="BF279" s="111"/>
      <c r="BG279" s="111"/>
      <c r="BH279" s="111"/>
      <c r="BI279" s="111"/>
      <c r="BJ279" s="111"/>
      <c r="BK279" s="111"/>
      <c r="BL279" s="111"/>
      <c r="BM279" s="117"/>
      <c r="BN279" s="111"/>
      <c r="BO279" s="117"/>
      <c r="BP279" s="117"/>
      <c r="BQ279" s="117"/>
      <c r="BR279" s="111"/>
      <c r="BS279" s="118"/>
      <c r="BT279" s="111"/>
      <c r="BU279" s="118"/>
      <c r="BV279" s="111"/>
      <c r="BW279" s="111"/>
      <c r="BX279" s="111"/>
      <c r="BY279" s="111"/>
      <c r="BZ279" s="111"/>
      <c r="CA279" s="111"/>
      <c r="CB279" s="119"/>
      <c r="CC279" s="117"/>
      <c r="CD279" s="132"/>
      <c r="CE279" s="132"/>
      <c r="CF279" s="132"/>
      <c r="CG279" s="111"/>
      <c r="CH279" s="132"/>
      <c r="CI279" s="132"/>
      <c r="CJ279" s="111"/>
    </row>
    <row r="280" spans="1:88" ht="57.95">
      <c r="A280" s="106" t="s">
        <v>260</v>
      </c>
      <c r="B280" s="107">
        <f>7+8+7+6</f>
        <v>28</v>
      </c>
      <c r="C280" s="107">
        <v>30</v>
      </c>
      <c r="D280" s="107">
        <f>C280-B280</f>
        <v>2</v>
      </c>
      <c r="E280" s="108"/>
      <c r="F280" s="108"/>
      <c r="G280" s="121"/>
      <c r="H280" s="109">
        <v>18944494</v>
      </c>
      <c r="I280" s="127">
        <v>18944494</v>
      </c>
      <c r="J280" s="108" t="s">
        <v>662</v>
      </c>
      <c r="K280" s="108" t="s">
        <v>118</v>
      </c>
      <c r="L280" s="108"/>
      <c r="M280" s="108"/>
      <c r="N280" s="108" t="s">
        <v>664</v>
      </c>
      <c r="O280" s="111" t="s">
        <v>115</v>
      </c>
      <c r="P280" s="111"/>
      <c r="Q280" s="111"/>
      <c r="R280" s="111"/>
      <c r="S280" s="111"/>
      <c r="T280" s="111"/>
      <c r="U280" s="108"/>
      <c r="V280" s="108"/>
      <c r="W280" s="108"/>
      <c r="X280" s="108"/>
      <c r="Y280" s="108"/>
      <c r="Z280" s="108"/>
      <c r="AA280" s="108"/>
      <c r="AB280" s="112"/>
      <c r="AC280" s="108"/>
      <c r="AD280" s="108"/>
      <c r="AE280" s="107"/>
      <c r="AF280" s="113"/>
      <c r="AG280" s="115"/>
      <c r="AH280" s="108"/>
      <c r="AI280" s="108"/>
      <c r="AJ280" s="114"/>
      <c r="AK280" s="108"/>
      <c r="AL280" s="115"/>
      <c r="AM280" s="116"/>
      <c r="AN280" s="116"/>
      <c r="AO280" s="116">
        <v>46141</v>
      </c>
      <c r="AP280" s="108"/>
      <c r="AQ280" s="107"/>
      <c r="AR280" s="107"/>
      <c r="AS280" s="116"/>
      <c r="AT280" s="114"/>
      <c r="AU280" s="114"/>
      <c r="AV280" s="108"/>
      <c r="AW280" s="108"/>
      <c r="AX280" s="134" t="s">
        <v>97</v>
      </c>
      <c r="AY280" s="134" t="s">
        <v>98</v>
      </c>
      <c r="AZ280" s="108"/>
      <c r="BA280" s="108"/>
      <c r="BB280" s="108"/>
      <c r="BC280" s="108"/>
      <c r="BD280" s="111"/>
      <c r="BE280" s="111"/>
      <c r="BF280" s="111"/>
      <c r="BG280" s="111"/>
      <c r="BH280" s="111"/>
      <c r="BI280" s="111"/>
      <c r="BJ280" s="111"/>
      <c r="BK280" s="111"/>
      <c r="BL280" s="111"/>
      <c r="BM280" s="117"/>
      <c r="BN280" s="111"/>
      <c r="BO280" s="117"/>
      <c r="BP280" s="117"/>
      <c r="BQ280" s="117"/>
      <c r="BR280" s="111"/>
      <c r="BS280" s="118"/>
      <c r="BT280" s="111"/>
      <c r="BU280" s="118"/>
      <c r="BV280" s="111"/>
      <c r="BW280" s="111"/>
      <c r="BX280" s="111"/>
      <c r="BY280" s="111"/>
      <c r="BZ280" s="111"/>
      <c r="CA280" s="111"/>
      <c r="CB280" s="119">
        <v>0.78</v>
      </c>
      <c r="CC280" s="117"/>
      <c r="CD280" s="132">
        <v>46119</v>
      </c>
      <c r="CE280" s="132">
        <v>46119</v>
      </c>
      <c r="CF280" s="132">
        <v>46120</v>
      </c>
      <c r="CG280" s="111"/>
      <c r="CH280" s="132"/>
      <c r="CI280" s="132"/>
      <c r="CJ280" s="111" t="s">
        <v>665</v>
      </c>
    </row>
    <row r="281" spans="1:88" ht="57.95" hidden="1">
      <c r="A281" s="106" t="s">
        <v>577</v>
      </c>
      <c r="B281" s="107">
        <f>3.5</f>
        <v>3.5</v>
      </c>
      <c r="C281" s="107">
        <v>50</v>
      </c>
      <c r="D281" s="107">
        <f>C281-B281</f>
        <v>46.5</v>
      </c>
      <c r="E281" s="108"/>
      <c r="F281" s="108"/>
      <c r="G281" s="121"/>
      <c r="H281" s="127">
        <v>19026292</v>
      </c>
      <c r="I281" s="127">
        <v>19026292</v>
      </c>
      <c r="J281" s="107" t="s">
        <v>666</v>
      </c>
      <c r="K281" s="108" t="s">
        <v>118</v>
      </c>
      <c r="L281" s="108"/>
      <c r="M281" s="108"/>
      <c r="N281" s="108" t="s">
        <v>667</v>
      </c>
      <c r="O281" s="111" t="s">
        <v>115</v>
      </c>
      <c r="P281" s="111"/>
      <c r="Q281" s="111"/>
      <c r="R281" s="111"/>
      <c r="S281" s="111"/>
      <c r="T281" s="111"/>
      <c r="U281" s="108"/>
      <c r="V281" s="108"/>
      <c r="W281" s="108"/>
      <c r="X281" s="108"/>
      <c r="Y281" s="108"/>
      <c r="Z281" s="108"/>
      <c r="AA281" s="108"/>
      <c r="AB281" s="112"/>
      <c r="AC281" s="108"/>
      <c r="AD281" s="108"/>
      <c r="AE281" s="107"/>
      <c r="AF281" s="113"/>
      <c r="AG281" s="115"/>
      <c r="AH281" s="108"/>
      <c r="AI281" s="108"/>
      <c r="AJ281" s="114"/>
      <c r="AK281" s="108"/>
      <c r="AL281" s="115"/>
      <c r="AM281" s="116"/>
      <c r="AN281" s="116"/>
      <c r="AO281" s="116">
        <v>46141</v>
      </c>
      <c r="AP281" s="108"/>
      <c r="AQ281" s="107"/>
      <c r="AR281" s="107"/>
      <c r="AS281" s="116"/>
      <c r="AT281" s="114"/>
      <c r="AU281" s="114"/>
      <c r="AV281" s="108"/>
      <c r="AW281" s="108"/>
      <c r="AX281" s="134" t="s">
        <v>97</v>
      </c>
      <c r="AY281" s="134" t="s">
        <v>98</v>
      </c>
      <c r="AZ281" s="108"/>
      <c r="BA281" s="108"/>
      <c r="BB281" s="108"/>
      <c r="BC281" s="108"/>
      <c r="BD281" s="111"/>
      <c r="BE281" s="111"/>
      <c r="BF281" s="111"/>
      <c r="BG281" s="111"/>
      <c r="BH281" s="111"/>
      <c r="BI281" s="111"/>
      <c r="BJ281" s="111"/>
      <c r="BK281" s="111"/>
      <c r="BL281" s="111"/>
      <c r="BM281" s="117"/>
      <c r="BN281" s="111"/>
      <c r="BO281" s="117"/>
      <c r="BP281" s="117"/>
      <c r="BQ281" s="117"/>
      <c r="BR281" s="111"/>
      <c r="BS281" s="118"/>
      <c r="BT281" s="111"/>
      <c r="BU281" s="118"/>
      <c r="BV281" s="111"/>
      <c r="BW281" s="111"/>
      <c r="BX281" s="111"/>
      <c r="BY281" s="111"/>
      <c r="BZ281" s="111"/>
      <c r="CA281" s="111"/>
      <c r="CB281" s="119">
        <v>0</v>
      </c>
      <c r="CC281" s="117"/>
      <c r="CD281" s="132"/>
      <c r="CE281" s="132"/>
      <c r="CF281" s="132"/>
      <c r="CG281" s="111"/>
      <c r="CH281" s="132"/>
      <c r="CI281" s="132"/>
      <c r="CJ281" s="111" t="s">
        <v>668</v>
      </c>
    </row>
    <row r="282" spans="1:88" ht="43.5" hidden="1">
      <c r="A282" s="106" t="s">
        <v>457</v>
      </c>
      <c r="B282" s="107"/>
      <c r="C282" s="107">
        <v>12</v>
      </c>
      <c r="D282" s="107"/>
      <c r="E282" s="108"/>
      <c r="F282" s="108"/>
      <c r="G282" s="121"/>
      <c r="H282" s="127">
        <v>19097477</v>
      </c>
      <c r="I282" s="127">
        <v>19097477</v>
      </c>
      <c r="J282" s="107" t="s">
        <v>669</v>
      </c>
      <c r="K282" s="108" t="s">
        <v>118</v>
      </c>
      <c r="L282" s="108"/>
      <c r="M282" s="108"/>
      <c r="N282" s="108" t="s">
        <v>670</v>
      </c>
      <c r="O282" s="111" t="s">
        <v>106</v>
      </c>
      <c r="P282" s="111"/>
      <c r="Q282" s="111"/>
      <c r="R282" s="111"/>
      <c r="S282" s="111"/>
      <c r="T282" s="111"/>
      <c r="U282" s="108"/>
      <c r="V282" s="108"/>
      <c r="W282" s="108"/>
      <c r="X282" s="108"/>
      <c r="Y282" s="108"/>
      <c r="Z282" s="108"/>
      <c r="AA282" s="108"/>
      <c r="AB282" s="112"/>
      <c r="AC282" s="108"/>
      <c r="AD282" s="108"/>
      <c r="AE282" s="107"/>
      <c r="AF282" s="113"/>
      <c r="AG282" s="115"/>
      <c r="AH282" s="108"/>
      <c r="AI282" s="108"/>
      <c r="AJ282" s="114"/>
      <c r="AK282" s="108"/>
      <c r="AL282" s="115"/>
      <c r="AM282" s="116"/>
      <c r="AN282" s="116"/>
      <c r="AO282" s="116">
        <v>46112</v>
      </c>
      <c r="AP282" s="108"/>
      <c r="AQ282" s="107"/>
      <c r="AR282" s="107"/>
      <c r="AS282" s="116"/>
      <c r="AT282" s="114"/>
      <c r="AU282" s="114"/>
      <c r="AV282" s="108"/>
      <c r="AW282" s="108"/>
      <c r="AX282" s="108"/>
      <c r="AY282" s="108"/>
      <c r="AZ282" s="108"/>
      <c r="BA282" s="108"/>
      <c r="BB282" s="108"/>
      <c r="BC282" s="108"/>
      <c r="BD282" s="111"/>
      <c r="BE282" s="111"/>
      <c r="BF282" s="111"/>
      <c r="BG282" s="111"/>
      <c r="BH282" s="111"/>
      <c r="BI282" s="111"/>
      <c r="BJ282" s="111"/>
      <c r="BK282" s="111"/>
      <c r="BL282" s="111"/>
      <c r="BM282" s="117"/>
      <c r="BN282" s="111"/>
      <c r="BO282" s="117"/>
      <c r="BP282" s="117"/>
      <c r="BQ282" s="117"/>
      <c r="BR282" s="111"/>
      <c r="BS282" s="118"/>
      <c r="BT282" s="111"/>
      <c r="BU282" s="118"/>
      <c r="BV282" s="111"/>
      <c r="BW282" s="111"/>
      <c r="BX282" s="111"/>
      <c r="BY282" s="111"/>
      <c r="BZ282" s="111"/>
      <c r="CA282" s="111"/>
      <c r="CB282" s="119"/>
      <c r="CC282" s="117"/>
      <c r="CD282" s="132"/>
      <c r="CE282" s="132"/>
      <c r="CF282" s="132"/>
      <c r="CG282" s="111"/>
      <c r="CH282" s="132"/>
      <c r="CI282" s="132"/>
      <c r="CJ282" s="111"/>
    </row>
    <row r="283" spans="1:88" ht="14.45">
      <c r="CB283" s="255"/>
      <c r="CH283" s="256"/>
    </row>
    <row r="284" spans="1:88" ht="14.45">
      <c r="CB284" s="255"/>
      <c r="CH284" s="256"/>
    </row>
    <row r="285" spans="1:88" ht="14.45">
      <c r="CB285" s="255"/>
      <c r="CH285" s="256"/>
    </row>
    <row r="286" spans="1:88" ht="14.45">
      <c r="CB286" s="255"/>
      <c r="CH286" s="256"/>
    </row>
    <row r="287" spans="1:88" ht="14.45">
      <c r="CB287" s="255"/>
      <c r="CH287" s="256"/>
    </row>
    <row r="288" spans="1:88" ht="14.45">
      <c r="CB288" s="255"/>
      <c r="CH288" s="256"/>
    </row>
    <row r="289" spans="80:86" ht="14.45">
      <c r="CB289" s="255"/>
      <c r="CH289" s="256"/>
    </row>
    <row r="290" spans="80:86" ht="14.45">
      <c r="CB290" s="255"/>
      <c r="CH290" s="256"/>
    </row>
    <row r="291" spans="80:86" ht="14.45">
      <c r="CB291" s="255"/>
      <c r="CH291" s="256"/>
    </row>
    <row r="292" spans="80:86" ht="14.45">
      <c r="CB292" s="255"/>
      <c r="CH292" s="256"/>
    </row>
    <row r="293" spans="80:86" ht="14.45">
      <c r="CB293" s="255"/>
      <c r="CH293" s="256"/>
    </row>
    <row r="294" spans="80:86" ht="14.45">
      <c r="CB294" s="255"/>
      <c r="CH294" s="256"/>
    </row>
    <row r="295" spans="80:86" ht="14.45">
      <c r="CB295" s="255"/>
      <c r="CH295" s="256"/>
    </row>
    <row r="296" spans="80:86" ht="14.45">
      <c r="CB296" s="255"/>
      <c r="CH296" s="256"/>
    </row>
    <row r="297" spans="80:86" ht="14.45">
      <c r="CB297" s="255"/>
      <c r="CH297" s="256"/>
    </row>
    <row r="298" spans="80:86" ht="14.45">
      <c r="CB298" s="255"/>
      <c r="CH298" s="256"/>
    </row>
    <row r="299" spans="80:86" ht="14.45">
      <c r="CB299" s="255"/>
      <c r="CH299" s="256"/>
    </row>
    <row r="300" spans="80:86" ht="14.45">
      <c r="CB300" s="255"/>
      <c r="CH300" s="256"/>
    </row>
    <row r="301" spans="80:86" ht="14.45">
      <c r="CB301" s="255"/>
      <c r="CH301" s="256"/>
    </row>
    <row r="302" spans="80:86" ht="14.45">
      <c r="CB302" s="255"/>
      <c r="CH302" s="256"/>
    </row>
    <row r="303" spans="80:86" ht="14.45">
      <c r="CB303" s="255"/>
      <c r="CH303" s="256"/>
    </row>
    <row r="304" spans="80:86" ht="14.45">
      <c r="CB304" s="255"/>
      <c r="CH304" s="256"/>
    </row>
    <row r="305" spans="80:86" ht="14.45">
      <c r="CB305" s="255"/>
      <c r="CH305" s="256"/>
    </row>
    <row r="306" spans="80:86" ht="14.45">
      <c r="CB306" s="255"/>
      <c r="CH306" s="256"/>
    </row>
    <row r="307" spans="80:86" ht="14.45">
      <c r="CB307" s="255"/>
      <c r="CH307" s="256"/>
    </row>
    <row r="308" spans="80:86" ht="14.45">
      <c r="CB308" s="255"/>
      <c r="CH308" s="256"/>
    </row>
    <row r="309" spans="80:86" ht="14.45">
      <c r="CB309" s="255"/>
      <c r="CH309" s="256"/>
    </row>
    <row r="310" spans="80:86" ht="14.45">
      <c r="CB310" s="255"/>
      <c r="CH310" s="256"/>
    </row>
    <row r="311" spans="80:86" ht="14.45">
      <c r="CB311" s="255"/>
      <c r="CH311" s="256"/>
    </row>
    <row r="312" spans="80:86" ht="14.45">
      <c r="CB312" s="255"/>
      <c r="CH312" s="256"/>
    </row>
    <row r="313" spans="80:86" ht="14.45">
      <c r="CB313" s="255"/>
      <c r="CH313" s="256"/>
    </row>
    <row r="314" spans="80:86" ht="14.45">
      <c r="CB314" s="255"/>
      <c r="CH314" s="256"/>
    </row>
    <row r="315" spans="80:86" ht="14.45">
      <c r="CB315" s="255"/>
      <c r="CH315" s="256"/>
    </row>
    <row r="316" spans="80:86" ht="14.45">
      <c r="CB316" s="255"/>
      <c r="CH316" s="256"/>
    </row>
    <row r="317" spans="80:86" ht="14.45">
      <c r="CB317" s="255"/>
      <c r="CH317" s="256"/>
    </row>
    <row r="318" spans="80:86" ht="14.45">
      <c r="CB318" s="255"/>
      <c r="CH318" s="256"/>
    </row>
    <row r="319" spans="80:86" ht="14.45">
      <c r="CB319" s="255"/>
      <c r="CH319" s="256"/>
    </row>
    <row r="320" spans="80:86" ht="14.45">
      <c r="CB320" s="255"/>
      <c r="CH320" s="256"/>
    </row>
    <row r="321" spans="80:86" ht="14.45">
      <c r="CB321" s="255"/>
      <c r="CH321" s="256"/>
    </row>
    <row r="322" spans="80:86" ht="14.45">
      <c r="CB322" s="255"/>
      <c r="CH322" s="256"/>
    </row>
    <row r="323" spans="80:86" ht="15" customHeight="1">
      <c r="CB323" s="255"/>
      <c r="CH323" s="256"/>
    </row>
  </sheetData>
  <conditionalFormatting sqref="P50:T50 P45:T48 O40:O51 O201 AD201 AS201 BH201 BW201 CJ201 O189 O2:T39 O52:T188 O202:T1048576 O190:T200">
    <cfRule type="cellIs" dxfId="1340" priority="211" operator="equal">
      <formula>"At Risk"</formula>
    </cfRule>
    <cfRule type="cellIs" dxfId="1339" priority="212" operator="equal">
      <formula>"On Hold"</formula>
    </cfRule>
    <cfRule type="cellIs" dxfId="1338" priority="213" operator="equal">
      <formula>"On Track"</formula>
    </cfRule>
  </conditionalFormatting>
  <conditionalFormatting sqref="P50:T50 P45:T48 O40:O51 O201 AD201 AS201 BH201 BW201 CJ201 O189 O2:T39 O52:T188 O202:T1048576 O190:T200">
    <cfRule type="containsText" dxfId="1337" priority="210" operator="containsText" text="Next Sprint">
      <formula>NOT(ISERROR(SEARCH("Next Sprint",O2)))</formula>
    </cfRule>
  </conditionalFormatting>
  <conditionalFormatting sqref="I1">
    <cfRule type="duplicateValues" dxfId="1336" priority="206"/>
  </conditionalFormatting>
  <conditionalFormatting sqref="H1">
    <cfRule type="duplicateValues" dxfId="1335" priority="207"/>
  </conditionalFormatting>
  <conditionalFormatting sqref="H1">
    <cfRule type="duplicateValues" dxfId="1334" priority="208"/>
    <cfRule type="duplicateValues" dxfId="1333" priority="209"/>
  </conditionalFormatting>
  <conditionalFormatting sqref="H28">
    <cfRule type="expression" dxfId="1332" priority="204" stopIfTrue="1">
      <formula>AND(COUNTIF(#REF!, H28)+COUNTIF(#REF!, H28)&gt;1,NOT(ISBLANK(H28)))</formula>
    </cfRule>
  </conditionalFormatting>
  <conditionalFormatting sqref="H28">
    <cfRule type="duplicateValues" dxfId="1331" priority="205" stopIfTrue="1"/>
  </conditionalFormatting>
  <conditionalFormatting sqref="J41">
    <cfRule type="duplicateValues" dxfId="1330" priority="199" stopIfTrue="1"/>
  </conditionalFormatting>
  <conditionalFormatting sqref="H41">
    <cfRule type="duplicateValues" dxfId="1329" priority="198"/>
  </conditionalFormatting>
  <conditionalFormatting sqref="G41">
    <cfRule type="duplicateValues" dxfId="1328" priority="200" stopIfTrue="1"/>
    <cfRule type="duplicateValues" dxfId="1327" priority="201" stopIfTrue="1"/>
    <cfRule type="duplicateValues" dxfId="1326" priority="202" stopIfTrue="1"/>
  </conditionalFormatting>
  <conditionalFormatting sqref="G41">
    <cfRule type="duplicateValues" dxfId="1325" priority="203"/>
  </conditionalFormatting>
  <conditionalFormatting sqref="I37:I38 I2:I35">
    <cfRule type="duplicateValues" dxfId="1324" priority="191"/>
  </conditionalFormatting>
  <conditionalFormatting sqref="I37:I38 I2:I35">
    <cfRule type="duplicateValues" dxfId="1323" priority="192"/>
    <cfRule type="duplicateValues" dxfId="1322" priority="193"/>
  </conditionalFormatting>
  <conditionalFormatting sqref="I37:I38">
    <cfRule type="duplicateValues" dxfId="1321" priority="194"/>
    <cfRule type="duplicateValues" dxfId="1320" priority="195"/>
  </conditionalFormatting>
  <conditionalFormatting sqref="I37:I38">
    <cfRule type="duplicateValues" dxfId="1319" priority="196"/>
  </conditionalFormatting>
  <conditionalFormatting sqref="I37:I38">
    <cfRule type="duplicateValues" dxfId="1318" priority="197"/>
  </conditionalFormatting>
  <conditionalFormatting sqref="H45:H46">
    <cfRule type="duplicateValues" dxfId="1317" priority="190"/>
  </conditionalFormatting>
  <conditionalFormatting sqref="G49">
    <cfRule type="duplicateValues" dxfId="1316" priority="186" stopIfTrue="1"/>
    <cfRule type="duplicateValues" dxfId="1315" priority="187" stopIfTrue="1"/>
    <cfRule type="duplicateValues" dxfId="1314" priority="188" stopIfTrue="1"/>
  </conditionalFormatting>
  <conditionalFormatting sqref="G49">
    <cfRule type="duplicateValues" dxfId="1313" priority="189"/>
  </conditionalFormatting>
  <conditionalFormatting sqref="G42">
    <cfRule type="duplicateValues" dxfId="1312" priority="181"/>
  </conditionalFormatting>
  <conditionalFormatting sqref="G45:G46 G42">
    <cfRule type="duplicateValues" dxfId="1311" priority="182" stopIfTrue="1"/>
    <cfRule type="duplicateValues" dxfId="1310" priority="183" stopIfTrue="1"/>
    <cfRule type="duplicateValues" dxfId="1309" priority="184" stopIfTrue="1"/>
  </conditionalFormatting>
  <conditionalFormatting sqref="G45:G46 G42">
    <cfRule type="duplicateValues" dxfId="1308" priority="185"/>
  </conditionalFormatting>
  <conditionalFormatting sqref="I39:I51 I61 I83">
    <cfRule type="duplicateValues" dxfId="1307" priority="174"/>
  </conditionalFormatting>
  <conditionalFormatting sqref="I39:I51 I61 I83">
    <cfRule type="duplicateValues" dxfId="1306" priority="175"/>
    <cfRule type="duplicateValues" dxfId="1305" priority="176"/>
  </conditionalFormatting>
  <conditionalFormatting sqref="I39:I51">
    <cfRule type="duplicateValues" dxfId="1304" priority="177"/>
    <cfRule type="duplicateValues" dxfId="1303" priority="178"/>
  </conditionalFormatting>
  <conditionalFormatting sqref="I39:I51">
    <cfRule type="duplicateValues" dxfId="1302" priority="179"/>
  </conditionalFormatting>
  <conditionalFormatting sqref="I39:I51">
    <cfRule type="duplicateValues" dxfId="1301" priority="180"/>
  </conditionalFormatting>
  <conditionalFormatting sqref="G20">
    <cfRule type="duplicateValues" dxfId="1300" priority="169"/>
  </conditionalFormatting>
  <conditionalFormatting sqref="G20">
    <cfRule type="duplicateValues" dxfId="1299" priority="170" stopIfTrue="1"/>
    <cfRule type="duplicateValues" dxfId="1298" priority="171" stopIfTrue="1"/>
    <cfRule type="duplicateValues" dxfId="1297" priority="172" stopIfTrue="1"/>
  </conditionalFormatting>
  <conditionalFormatting sqref="G20">
    <cfRule type="duplicateValues" dxfId="1296" priority="173"/>
  </conditionalFormatting>
  <conditionalFormatting sqref="G52">
    <cfRule type="duplicateValues" dxfId="1295" priority="164"/>
  </conditionalFormatting>
  <conditionalFormatting sqref="G52">
    <cfRule type="duplicateValues" dxfId="1294" priority="165" stopIfTrue="1"/>
    <cfRule type="duplicateValues" dxfId="1293" priority="166" stopIfTrue="1"/>
    <cfRule type="duplicateValues" dxfId="1292" priority="167" stopIfTrue="1"/>
  </conditionalFormatting>
  <conditionalFormatting sqref="G52">
    <cfRule type="duplicateValues" dxfId="1291" priority="168"/>
  </conditionalFormatting>
  <conditionalFormatting sqref="J54:J67">
    <cfRule type="duplicateValues" dxfId="1290" priority="163"/>
  </conditionalFormatting>
  <conditionalFormatting sqref="J68:J79">
    <cfRule type="duplicateValues" dxfId="1289" priority="162"/>
  </conditionalFormatting>
  <conditionalFormatting sqref="H52:N52 I53:I60">
    <cfRule type="duplicateValues" dxfId="1288" priority="157"/>
    <cfRule type="duplicateValues" dxfId="1287" priority="158"/>
  </conditionalFormatting>
  <conditionalFormatting sqref="H52:N52 I53:I60">
    <cfRule type="duplicateValues" dxfId="1286" priority="159"/>
    <cfRule type="duplicateValues" dxfId="1285" priority="160"/>
    <cfRule type="duplicateValues" dxfId="1284" priority="161"/>
  </conditionalFormatting>
  <conditionalFormatting sqref="I84:I85 I87:I88 I90">
    <cfRule type="duplicateValues" dxfId="1283" priority="150"/>
  </conditionalFormatting>
  <conditionalFormatting sqref="I84:I85 I87:I88 I90">
    <cfRule type="duplicateValues" dxfId="1282" priority="151"/>
    <cfRule type="duplicateValues" dxfId="1281" priority="152"/>
  </conditionalFormatting>
  <conditionalFormatting sqref="I84:I85">
    <cfRule type="duplicateValues" dxfId="1280" priority="153"/>
    <cfRule type="duplicateValues" dxfId="1279" priority="154"/>
  </conditionalFormatting>
  <conditionalFormatting sqref="I84:I85">
    <cfRule type="duplicateValues" dxfId="1278" priority="155"/>
  </conditionalFormatting>
  <conditionalFormatting sqref="I84:I85">
    <cfRule type="duplicateValues" dxfId="1277" priority="156"/>
  </conditionalFormatting>
  <conditionalFormatting sqref="G51">
    <cfRule type="duplicateValues" dxfId="1276" priority="214" stopIfTrue="1"/>
    <cfRule type="duplicateValues" dxfId="1275" priority="215" stopIfTrue="1"/>
    <cfRule type="duplicateValues" dxfId="1274" priority="216" stopIfTrue="1"/>
  </conditionalFormatting>
  <conditionalFormatting sqref="G51">
    <cfRule type="duplicateValues" dxfId="1273" priority="217"/>
  </conditionalFormatting>
  <conditionalFormatting sqref="G43:G44">
    <cfRule type="duplicateValues" dxfId="1272" priority="218" stopIfTrue="1"/>
    <cfRule type="duplicateValues" dxfId="1271" priority="219" stopIfTrue="1"/>
    <cfRule type="duplicateValues" dxfId="1270" priority="220" stopIfTrue="1"/>
  </conditionalFormatting>
  <conditionalFormatting sqref="G43:G44">
    <cfRule type="duplicateValues" dxfId="1269" priority="221"/>
  </conditionalFormatting>
  <conditionalFormatting sqref="G38:G39 G3:G6 G16 G11 G8:G9 G22:G25 G18 G29:G33 G36">
    <cfRule type="duplicateValues" dxfId="1268" priority="222" stopIfTrue="1"/>
    <cfRule type="duplicateValues" dxfId="1267" priority="223" stopIfTrue="1"/>
    <cfRule type="duplicateValues" dxfId="1266" priority="224" stopIfTrue="1"/>
  </conditionalFormatting>
  <conditionalFormatting sqref="G38:G39 G3:G6 G16 G11 G8:G9 G22:G25 G18 G29:G33 G36">
    <cfRule type="duplicateValues" dxfId="1265" priority="225"/>
  </conditionalFormatting>
  <conditionalFormatting sqref="J35">
    <cfRule type="duplicateValues" dxfId="1264" priority="226" stopIfTrue="1"/>
  </conditionalFormatting>
  <conditionalFormatting sqref="H35">
    <cfRule type="duplicateValues" dxfId="1263" priority="227"/>
  </conditionalFormatting>
  <conditionalFormatting sqref="G53:G85">
    <cfRule type="duplicateValues" dxfId="1262" priority="228"/>
  </conditionalFormatting>
  <conditionalFormatting sqref="H53:H79">
    <cfRule type="duplicateValues" dxfId="1261" priority="229"/>
    <cfRule type="duplicateValues" dxfId="1260" priority="230"/>
  </conditionalFormatting>
  <conditionalFormatting sqref="H53:H79">
    <cfRule type="duplicateValues" dxfId="1259" priority="231"/>
    <cfRule type="duplicateValues" dxfId="1258" priority="232"/>
    <cfRule type="duplicateValues" dxfId="1257" priority="233"/>
  </conditionalFormatting>
  <conditionalFormatting sqref="G53:G85">
    <cfRule type="duplicateValues" dxfId="1256" priority="234" stopIfTrue="1"/>
    <cfRule type="duplicateValues" dxfId="1255" priority="235" stopIfTrue="1"/>
    <cfRule type="duplicateValues" dxfId="1254" priority="236" stopIfTrue="1"/>
  </conditionalFormatting>
  <conditionalFormatting sqref="I62:I82">
    <cfRule type="duplicateValues" dxfId="1253" priority="237"/>
    <cfRule type="duplicateValues" dxfId="1252" priority="238"/>
  </conditionalFormatting>
  <conditionalFormatting sqref="I62:I82">
    <cfRule type="duplicateValues" dxfId="1251" priority="239"/>
    <cfRule type="duplicateValues" dxfId="1250" priority="240"/>
    <cfRule type="duplicateValues" dxfId="1249" priority="241"/>
  </conditionalFormatting>
  <conditionalFormatting sqref="I163">
    <cfRule type="duplicateValues" dxfId="1248" priority="143"/>
  </conditionalFormatting>
  <conditionalFormatting sqref="I163">
    <cfRule type="duplicateValues" dxfId="1247" priority="144"/>
    <cfRule type="duplicateValues" dxfId="1246" priority="145"/>
  </conditionalFormatting>
  <conditionalFormatting sqref="I163">
    <cfRule type="duplicateValues" dxfId="1245" priority="146"/>
    <cfRule type="duplicateValues" dxfId="1244" priority="147"/>
  </conditionalFormatting>
  <conditionalFormatting sqref="I163">
    <cfRule type="duplicateValues" dxfId="1243" priority="148"/>
  </conditionalFormatting>
  <conditionalFormatting sqref="I163">
    <cfRule type="duplicateValues" dxfId="1242" priority="149"/>
  </conditionalFormatting>
  <conditionalFormatting sqref="I166">
    <cfRule type="duplicateValues" dxfId="1241" priority="136"/>
  </conditionalFormatting>
  <conditionalFormatting sqref="I166">
    <cfRule type="duplicateValues" dxfId="1240" priority="137"/>
    <cfRule type="duplicateValues" dxfId="1239" priority="138"/>
  </conditionalFormatting>
  <conditionalFormatting sqref="I166">
    <cfRule type="duplicateValues" dxfId="1238" priority="139"/>
    <cfRule type="duplicateValues" dxfId="1237" priority="140"/>
  </conditionalFormatting>
  <conditionalFormatting sqref="I166">
    <cfRule type="duplicateValues" dxfId="1236" priority="141"/>
  </conditionalFormatting>
  <conditionalFormatting sqref="I166">
    <cfRule type="duplicateValues" dxfId="1235" priority="142"/>
  </conditionalFormatting>
  <conditionalFormatting sqref="G190">
    <cfRule type="duplicateValues" dxfId="1234" priority="132" stopIfTrue="1"/>
    <cfRule type="duplicateValues" dxfId="1233" priority="133" stopIfTrue="1"/>
    <cfRule type="duplicateValues" dxfId="1232" priority="134" stopIfTrue="1"/>
  </conditionalFormatting>
  <conditionalFormatting sqref="G190">
    <cfRule type="duplicateValues" dxfId="1231" priority="135"/>
  </conditionalFormatting>
  <conditionalFormatting sqref="I162">
    <cfRule type="duplicateValues" dxfId="1230" priority="125"/>
  </conditionalFormatting>
  <conditionalFormatting sqref="I162">
    <cfRule type="duplicateValues" dxfId="1229" priority="126"/>
    <cfRule type="duplicateValues" dxfId="1228" priority="127"/>
  </conditionalFormatting>
  <conditionalFormatting sqref="I162">
    <cfRule type="duplicateValues" dxfId="1227" priority="128"/>
    <cfRule type="duplicateValues" dxfId="1226" priority="129"/>
  </conditionalFormatting>
  <conditionalFormatting sqref="I162">
    <cfRule type="duplicateValues" dxfId="1225" priority="130"/>
  </conditionalFormatting>
  <conditionalFormatting sqref="I162">
    <cfRule type="duplicateValues" dxfId="1224" priority="131"/>
  </conditionalFormatting>
  <conditionalFormatting sqref="I191">
    <cfRule type="duplicateValues" dxfId="1223" priority="118"/>
  </conditionalFormatting>
  <conditionalFormatting sqref="I191">
    <cfRule type="duplicateValues" dxfId="1222" priority="119"/>
    <cfRule type="duplicateValues" dxfId="1221" priority="120"/>
  </conditionalFormatting>
  <conditionalFormatting sqref="I191">
    <cfRule type="duplicateValues" dxfId="1220" priority="121"/>
    <cfRule type="duplicateValues" dxfId="1219" priority="122"/>
  </conditionalFormatting>
  <conditionalFormatting sqref="I191">
    <cfRule type="duplicateValues" dxfId="1218" priority="123"/>
  </conditionalFormatting>
  <conditionalFormatting sqref="I191">
    <cfRule type="duplicateValues" dxfId="1217" priority="124"/>
  </conditionalFormatting>
  <conditionalFormatting sqref="I161">
    <cfRule type="duplicateValues" dxfId="1216" priority="111"/>
  </conditionalFormatting>
  <conditionalFormatting sqref="I161">
    <cfRule type="duplicateValues" dxfId="1215" priority="112"/>
    <cfRule type="duplicateValues" dxfId="1214" priority="113"/>
  </conditionalFormatting>
  <conditionalFormatting sqref="I161">
    <cfRule type="duplicateValues" dxfId="1213" priority="114"/>
    <cfRule type="duplicateValues" dxfId="1212" priority="115"/>
  </conditionalFormatting>
  <conditionalFormatting sqref="I161">
    <cfRule type="duplicateValues" dxfId="1211" priority="116"/>
  </conditionalFormatting>
  <conditionalFormatting sqref="I161">
    <cfRule type="duplicateValues" dxfId="1210" priority="117"/>
  </conditionalFormatting>
  <conditionalFormatting sqref="I192">
    <cfRule type="duplicateValues" dxfId="1209" priority="104"/>
  </conditionalFormatting>
  <conditionalFormatting sqref="I192">
    <cfRule type="duplicateValues" dxfId="1208" priority="105"/>
    <cfRule type="duplicateValues" dxfId="1207" priority="106"/>
  </conditionalFormatting>
  <conditionalFormatting sqref="I192">
    <cfRule type="duplicateValues" dxfId="1206" priority="107"/>
    <cfRule type="duplicateValues" dxfId="1205" priority="108"/>
  </conditionalFormatting>
  <conditionalFormatting sqref="I192">
    <cfRule type="duplicateValues" dxfId="1204" priority="109"/>
  </conditionalFormatting>
  <conditionalFormatting sqref="I192">
    <cfRule type="duplicateValues" dxfId="1203" priority="110"/>
  </conditionalFormatting>
  <conditionalFormatting sqref="I92">
    <cfRule type="duplicateValues" dxfId="1202" priority="97"/>
  </conditionalFormatting>
  <conditionalFormatting sqref="I92">
    <cfRule type="duplicateValues" dxfId="1201" priority="98"/>
    <cfRule type="duplicateValues" dxfId="1200" priority="99"/>
  </conditionalFormatting>
  <conditionalFormatting sqref="I92">
    <cfRule type="duplicateValues" dxfId="1199" priority="100"/>
    <cfRule type="duplicateValues" dxfId="1198" priority="101"/>
  </conditionalFormatting>
  <conditionalFormatting sqref="I92">
    <cfRule type="duplicateValues" dxfId="1197" priority="102"/>
  </conditionalFormatting>
  <conditionalFormatting sqref="I92">
    <cfRule type="duplicateValues" dxfId="1196" priority="103"/>
  </conditionalFormatting>
  <conditionalFormatting sqref="J198:J199">
    <cfRule type="duplicateValues" dxfId="1195" priority="242"/>
    <cfRule type="duplicateValues" dxfId="1194" priority="243"/>
    <cfRule type="duplicateValues" dxfId="1193" priority="244"/>
  </conditionalFormatting>
  <conditionalFormatting sqref="J198:J199">
    <cfRule type="duplicateValues" dxfId="1192" priority="245"/>
    <cfRule type="duplicateValues" dxfId="1191" priority="246"/>
    <cfRule type="duplicateValues" dxfId="1190" priority="247"/>
    <cfRule type="duplicateValues" dxfId="1189" priority="248"/>
  </conditionalFormatting>
  <conditionalFormatting sqref="I205">
    <cfRule type="duplicateValues" dxfId="1188" priority="90"/>
  </conditionalFormatting>
  <conditionalFormatting sqref="I205">
    <cfRule type="duplicateValues" dxfId="1187" priority="91"/>
  </conditionalFormatting>
  <conditionalFormatting sqref="I205">
    <cfRule type="duplicateValues" dxfId="1186" priority="92"/>
    <cfRule type="duplicateValues" dxfId="1185" priority="93"/>
  </conditionalFormatting>
  <conditionalFormatting sqref="I205">
    <cfRule type="duplicateValues" dxfId="1184" priority="94"/>
    <cfRule type="duplicateValues" dxfId="1183" priority="95"/>
  </conditionalFormatting>
  <conditionalFormatting sqref="I205">
    <cfRule type="duplicateValues" dxfId="1182" priority="96"/>
  </conditionalFormatting>
  <conditionalFormatting sqref="I208">
    <cfRule type="duplicateValues" dxfId="1181" priority="83"/>
  </conditionalFormatting>
  <conditionalFormatting sqref="I208">
    <cfRule type="duplicateValues" dxfId="1180" priority="84"/>
  </conditionalFormatting>
  <conditionalFormatting sqref="I208">
    <cfRule type="duplicateValues" dxfId="1179" priority="85"/>
    <cfRule type="duplicateValues" dxfId="1178" priority="86"/>
  </conditionalFormatting>
  <conditionalFormatting sqref="I208">
    <cfRule type="duplicateValues" dxfId="1177" priority="87"/>
    <cfRule type="duplicateValues" dxfId="1176" priority="88"/>
  </conditionalFormatting>
  <conditionalFormatting sqref="I208">
    <cfRule type="duplicateValues" dxfId="1175" priority="89"/>
  </conditionalFormatting>
  <conditionalFormatting sqref="I209">
    <cfRule type="duplicateValues" dxfId="1174" priority="76"/>
  </conditionalFormatting>
  <conditionalFormatting sqref="I209">
    <cfRule type="duplicateValues" dxfId="1173" priority="77"/>
  </conditionalFormatting>
  <conditionalFormatting sqref="I209">
    <cfRule type="duplicateValues" dxfId="1172" priority="78"/>
    <cfRule type="duplicateValues" dxfId="1171" priority="79"/>
  </conditionalFormatting>
  <conditionalFormatting sqref="I209">
    <cfRule type="duplicateValues" dxfId="1170" priority="80"/>
    <cfRule type="duplicateValues" dxfId="1169" priority="81"/>
  </conditionalFormatting>
  <conditionalFormatting sqref="I209">
    <cfRule type="duplicateValues" dxfId="1168" priority="82"/>
  </conditionalFormatting>
  <conditionalFormatting sqref="H253:H260 H217:H218 H1:H214 H230 H266:I266 H276 H279:H280 H283:H1048576">
    <cfRule type="duplicateValues" dxfId="1167" priority="75"/>
  </conditionalFormatting>
  <conditionalFormatting sqref="I211:I212">
    <cfRule type="duplicateValues" dxfId="1166" priority="68"/>
  </conditionalFormatting>
  <conditionalFormatting sqref="I211:I212">
    <cfRule type="duplicateValues" dxfId="1165" priority="69"/>
  </conditionalFormatting>
  <conditionalFormatting sqref="I211:I212">
    <cfRule type="duplicateValues" dxfId="1164" priority="70"/>
    <cfRule type="duplicateValues" dxfId="1163" priority="71"/>
  </conditionalFormatting>
  <conditionalFormatting sqref="I211:I212">
    <cfRule type="duplicateValues" dxfId="1162" priority="72"/>
    <cfRule type="duplicateValues" dxfId="1161" priority="73"/>
  </conditionalFormatting>
  <conditionalFormatting sqref="I211:I212">
    <cfRule type="duplicateValues" dxfId="1160" priority="74"/>
  </conditionalFormatting>
  <conditionalFormatting sqref="I211:I212">
    <cfRule type="duplicateValues" dxfId="1159" priority="67"/>
  </conditionalFormatting>
  <conditionalFormatting sqref="I213:I214">
    <cfRule type="duplicateValues" dxfId="1158" priority="60"/>
  </conditionalFormatting>
  <conditionalFormatting sqref="I213:I214">
    <cfRule type="duplicateValues" dxfId="1157" priority="61"/>
  </conditionalFormatting>
  <conditionalFormatting sqref="I213:I214">
    <cfRule type="duplicateValues" dxfId="1156" priority="62"/>
    <cfRule type="duplicateValues" dxfId="1155" priority="63"/>
  </conditionalFormatting>
  <conditionalFormatting sqref="I213:I214">
    <cfRule type="duplicateValues" dxfId="1154" priority="64"/>
    <cfRule type="duplicateValues" dxfId="1153" priority="65"/>
  </conditionalFormatting>
  <conditionalFormatting sqref="I213:I214">
    <cfRule type="duplicateValues" dxfId="1152" priority="66"/>
  </conditionalFormatting>
  <conditionalFormatting sqref="I213:I214">
    <cfRule type="duplicateValues" dxfId="1151" priority="59"/>
  </conditionalFormatting>
  <conditionalFormatting sqref="G18">
    <cfRule type="duplicateValues" dxfId="1150" priority="249"/>
  </conditionalFormatting>
  <conditionalFormatting sqref="G204:H209 V201:W201 G190 G43:H44 G49:H49 G51:H51 G38:H39 G1:H1 H15 H10 G22:H24 G25 G16:H16 G8:H9 G36 G41 G45:G46 G11:H11 G29:H33 H12:H13 G3:H6 H2 H7 H47:H48 H26:H27 H17:H21 H80:H85 G186 G187:H189 AK201:AL201 AZ201:BA201 BO201:BP201 G191:H194 G202:G203 G201:H201 H37 G210 G86:H174 G178:H185 G175:G177 G195:G200 G211:H214 G217:H217 G215:G216 G230:H230 G218:G223 G231:G252 G253:H260 G261:G265 H34 G225:G229 G266:I266 G273:G278 G279:H280 G283:H1048576 G281:G282">
    <cfRule type="duplicateValues" dxfId="1149" priority="250"/>
  </conditionalFormatting>
  <conditionalFormatting sqref="H204:H209 W201 H37:H39 H29:H35 H2:H13 H26:H27 H41 H15:H24 H43:H49 H51 H187:H189 AL201 BA201 BP201 H191:H194 H201 H80:H174 H178:H185 H211:H214 H217 H230 H253:H260 H266:I266 H279:H280 H283:H1048576">
    <cfRule type="duplicateValues" dxfId="1148" priority="251"/>
  </conditionalFormatting>
  <conditionalFormatting sqref="H204:H209 W201 H37:H39 H29:H35 H2:H13 H26:H27 H41 H15:H24 H43:H49 H51 H187:H189 AL201 BA201 BP201 H191:H194 H201 H80:H174 H178:H185 H211:H214 H217 H230 H253:H260 H266:I266 H279:H280 H283:H1048576">
    <cfRule type="duplicateValues" dxfId="1147" priority="252"/>
    <cfRule type="duplicateValues" dxfId="1146" priority="253"/>
  </conditionalFormatting>
  <conditionalFormatting sqref="H204:H209 W201 H37:H39 H29:H35 H1:H13 H26:H27 H41 H15:H24 H43:H49 H51 H187:H189 AL201 BA201 BP201 H191:H194 H201 H80:H174 H178:H185 H211:H214 H217 H230 H253:H260 H266:I266 H279:H280 H283:H1048576">
    <cfRule type="duplicateValues" dxfId="1145" priority="254"/>
    <cfRule type="duplicateValues" dxfId="1144" priority="255"/>
  </conditionalFormatting>
  <conditionalFormatting sqref="H204:H209 W201 H37:H39 H29:H35 H1:H13 H26:H27 H41 H15:H24 H43:H49 H51 H187:H189 AL201 BA201 BP201 H191:H194 H201 H80:H174 H178:H185 H211:H214 H217 H230 H253:H260 H266:I266 H279:H280 H283:H1048576">
    <cfRule type="duplicateValues" dxfId="1143" priority="256"/>
  </conditionalFormatting>
  <conditionalFormatting sqref="I255:I256">
    <cfRule type="duplicateValues" dxfId="1142" priority="51"/>
  </conditionalFormatting>
  <conditionalFormatting sqref="I255:I256">
    <cfRule type="duplicateValues" dxfId="1141" priority="52"/>
  </conditionalFormatting>
  <conditionalFormatting sqref="I255:I256">
    <cfRule type="duplicateValues" dxfId="1140" priority="53"/>
  </conditionalFormatting>
  <conditionalFormatting sqref="I255:I256">
    <cfRule type="duplicateValues" dxfId="1139" priority="54"/>
    <cfRule type="duplicateValues" dxfId="1138" priority="55"/>
  </conditionalFormatting>
  <conditionalFormatting sqref="I255:I256">
    <cfRule type="duplicateValues" dxfId="1137" priority="56"/>
    <cfRule type="duplicateValues" dxfId="1136" priority="57"/>
  </conditionalFormatting>
  <conditionalFormatting sqref="I255:I256">
    <cfRule type="duplicateValues" dxfId="1135" priority="58"/>
  </conditionalFormatting>
  <conditionalFormatting sqref="I258">
    <cfRule type="duplicateValues" dxfId="1134" priority="257"/>
  </conditionalFormatting>
  <conditionalFormatting sqref="I258">
    <cfRule type="duplicateValues" dxfId="1133" priority="258"/>
    <cfRule type="duplicateValues" dxfId="1132" priority="259"/>
  </conditionalFormatting>
  <conditionalFormatting sqref="G264:G265">
    <cfRule type="duplicateValues" dxfId="1131" priority="47" stopIfTrue="1"/>
    <cfRule type="duplicateValues" dxfId="1130" priority="48" stopIfTrue="1"/>
    <cfRule type="duplicateValues" dxfId="1129" priority="49" stopIfTrue="1"/>
  </conditionalFormatting>
  <conditionalFormatting sqref="G264:G265">
    <cfRule type="duplicateValues" dxfId="1128" priority="50"/>
  </conditionalFormatting>
  <conditionalFormatting sqref="I264:I265">
    <cfRule type="duplicateValues" dxfId="1127" priority="44"/>
  </conditionalFormatting>
  <conditionalFormatting sqref="I264:I265">
    <cfRule type="duplicateValues" dxfId="1126" priority="45"/>
    <cfRule type="duplicateValues" dxfId="1125" priority="46"/>
  </conditionalFormatting>
  <conditionalFormatting sqref="H264:H265">
    <cfRule type="duplicateValues" dxfId="1124" priority="41"/>
  </conditionalFormatting>
  <conditionalFormatting sqref="H264:H265">
    <cfRule type="duplicateValues" dxfId="1123" priority="42"/>
    <cfRule type="duplicateValues" dxfId="1122" priority="43"/>
  </conditionalFormatting>
  <conditionalFormatting sqref="G267">
    <cfRule type="duplicateValues" dxfId="1121" priority="37"/>
  </conditionalFormatting>
  <conditionalFormatting sqref="G267">
    <cfRule type="duplicateValues" dxfId="1120" priority="38" stopIfTrue="1"/>
    <cfRule type="duplicateValues" dxfId="1119" priority="39" stopIfTrue="1"/>
    <cfRule type="duplicateValues" dxfId="1118" priority="40" stopIfTrue="1"/>
  </conditionalFormatting>
  <conditionalFormatting sqref="G268:G269">
    <cfRule type="duplicateValues" dxfId="1117" priority="33"/>
  </conditionalFormatting>
  <conditionalFormatting sqref="G268:G269">
    <cfRule type="duplicateValues" dxfId="1116" priority="34" stopIfTrue="1"/>
    <cfRule type="duplicateValues" dxfId="1115" priority="35" stopIfTrue="1"/>
    <cfRule type="duplicateValues" dxfId="1114" priority="36" stopIfTrue="1"/>
  </conditionalFormatting>
  <conditionalFormatting sqref="G270:G271">
    <cfRule type="duplicateValues" dxfId="1113" priority="29"/>
  </conditionalFormatting>
  <conditionalFormatting sqref="G270:G271">
    <cfRule type="duplicateValues" dxfId="1112" priority="30" stopIfTrue="1"/>
    <cfRule type="duplicateValues" dxfId="1111" priority="31" stopIfTrue="1"/>
    <cfRule type="duplicateValues" dxfId="1110" priority="32" stopIfTrue="1"/>
  </conditionalFormatting>
  <conditionalFormatting sqref="G272">
    <cfRule type="duplicateValues" dxfId="1109" priority="25"/>
  </conditionalFormatting>
  <conditionalFormatting sqref="G272">
    <cfRule type="duplicateValues" dxfId="1108" priority="26" stopIfTrue="1"/>
    <cfRule type="duplicateValues" dxfId="1107" priority="27" stopIfTrue="1"/>
    <cfRule type="duplicateValues" dxfId="1106" priority="28" stopIfTrue="1"/>
  </conditionalFormatting>
  <conditionalFormatting sqref="G273">
    <cfRule type="duplicateValues" dxfId="1105" priority="21" stopIfTrue="1"/>
    <cfRule type="duplicateValues" dxfId="1104" priority="22" stopIfTrue="1"/>
    <cfRule type="duplicateValues" dxfId="1103" priority="23" stopIfTrue="1"/>
  </conditionalFormatting>
  <conditionalFormatting sqref="G273">
    <cfRule type="duplicateValues" dxfId="1102" priority="24"/>
  </conditionalFormatting>
  <conditionalFormatting sqref="I273">
    <cfRule type="duplicateValues" dxfId="1101" priority="18"/>
  </conditionalFormatting>
  <conditionalFormatting sqref="I273">
    <cfRule type="duplicateValues" dxfId="1100" priority="19"/>
    <cfRule type="duplicateValues" dxfId="1099" priority="20"/>
  </conditionalFormatting>
  <conditionalFormatting sqref="H273">
    <cfRule type="duplicateValues" dxfId="1098" priority="15"/>
  </conditionalFormatting>
  <conditionalFormatting sqref="H273">
    <cfRule type="duplicateValues" dxfId="1097" priority="16"/>
    <cfRule type="duplicateValues" dxfId="1096" priority="17"/>
  </conditionalFormatting>
  <conditionalFormatting sqref="G274">
    <cfRule type="duplicateValues" dxfId="1095" priority="11" stopIfTrue="1"/>
    <cfRule type="duplicateValues" dxfId="1094" priority="12" stopIfTrue="1"/>
    <cfRule type="duplicateValues" dxfId="1093" priority="13" stopIfTrue="1"/>
  </conditionalFormatting>
  <conditionalFormatting sqref="G274">
    <cfRule type="duplicateValues" dxfId="1092" priority="14"/>
  </conditionalFormatting>
  <conditionalFormatting sqref="I274">
    <cfRule type="duplicateValues" dxfId="1091" priority="8"/>
  </conditionalFormatting>
  <conditionalFormatting sqref="I274">
    <cfRule type="duplicateValues" dxfId="1090" priority="9"/>
    <cfRule type="duplicateValues" dxfId="1089" priority="10"/>
  </conditionalFormatting>
  <conditionalFormatting sqref="H274">
    <cfRule type="duplicateValues" dxfId="1088" priority="5"/>
  </conditionalFormatting>
  <conditionalFormatting sqref="H274">
    <cfRule type="duplicateValues" dxfId="1087" priority="6"/>
    <cfRule type="duplicateValues" dxfId="1086" priority="7"/>
  </conditionalFormatting>
  <conditionalFormatting sqref="G276">
    <cfRule type="duplicateValues" dxfId="1085" priority="1" stopIfTrue="1"/>
    <cfRule type="duplicateValues" dxfId="1084" priority="2" stopIfTrue="1"/>
    <cfRule type="duplicateValues" dxfId="1083" priority="3" stopIfTrue="1"/>
  </conditionalFormatting>
  <conditionalFormatting sqref="G276">
    <cfRule type="duplicateValues" dxfId="1082" priority="4"/>
  </conditionalFormatting>
  <conditionalFormatting sqref="J41 J35">
    <cfRule type="expression" dxfId="1081" priority="260" stopIfTrue="1">
      <formula>AND(COUNTIF($B$1:$B$14, J35)+COUNTIF($B$19:$B$64995, J35)&gt;1,NOT(ISBLANK(J35)))</formula>
    </cfRule>
  </conditionalFormatting>
  <conditionalFormatting sqref="H25">
    <cfRule type="duplicateValues" dxfId="1080" priority="261" stopIfTrue="1"/>
    <cfRule type="expression" dxfId="1079" priority="262" stopIfTrue="1">
      <formula>AND(COUNTIF($B$1:$B$14, H25)+COUNTIF($B$19:$B$64874, H25)&gt;1,NOT(ISBLANK(H25)))</formula>
    </cfRule>
  </conditionalFormatting>
  <dataValidations count="2">
    <dataValidation type="list" allowBlank="1" showInputMessage="1" showErrorMessage="1" sqref="Z201 BD201 BS201 K2:K192 K194:K1048576" xr:uid="{61825A0D-3FAA-4C57-B9A1-C955986A371F}">
      <formula1>"Implement, Evaluate,Implement_NA,Evaluate_NA,Verify,Task,Task_NA"</formula1>
    </dataValidation>
    <dataValidation type="list" allowBlank="1" showInputMessage="1" showErrorMessage="1" sqref="O50:T50 P45:T48 O190:T190 P191:T191 O192:T192 AD201 AS201 BH201 BW201 CJ201 O194:T200 P202:T204 O201:O203 O1:O49 P2:T39 P52:T188 O51:O191 O205:T1048576 O193" xr:uid="{1D41C5BD-1FA2-4BA2-9E12-F21255330F5C}">
      <formula1>"On Track, At Risk,On Hold,Yet to start,Rejected,next Sprint, Closed, Awaited L2 review,Awaited DRB Review,Software Checked In,Cancelled, To Be Retagged, May Miss Deadline, On Time Delivery Missed, Transferred to COL Team, Deferred, Transferred to S/W team"</formula1>
    </dataValidation>
  </dataValidations>
  <pageMargins left="0.7" right="0.7" top="0.75" bottom="0.75" header="0.3" footer="0.3"/>
  <pageSetup scale="81" orientation="portrait" verticalDpi="4" r:id="rId1"/>
  <rowBreaks count="2" manualBreakCount="2">
    <brk id="40" max="16383" man="1"/>
    <brk id="5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77857" r:id="rId4" name="CES_UpdatePB_Btn">
              <controlPr defaultSize="0" print="0" autoFill="0" autoPict="0" macro="[0]!CES_UpdatePB">
                <anchor moveWithCells="1" sizeWithCells="1">
                  <from>
                    <xdr:col>6</xdr:col>
                    <xdr:colOff>165100</xdr:colOff>
                    <xdr:row>0</xdr:row>
                    <xdr:rowOff>38100</xdr:rowOff>
                  </from>
                  <to>
                    <xdr:col>6</xdr:col>
                    <xdr:colOff>1022350</xdr:colOff>
                    <xdr:row>0</xdr:row>
                    <xdr:rowOff>260350</xdr:rowOff>
                  </to>
                </anchor>
              </controlPr>
            </control>
          </mc:Choice>
        </mc:AlternateContent>
        <mc:AlternateContent xmlns:mc="http://schemas.openxmlformats.org/markup-compatibility/2006">
          <mc:Choice Requires="x14">
            <control shapeId="377858" r:id="rId5" name="CES_UpdateCQ_Btn">
              <controlPr defaultSize="0" print="0" autoFill="0" autoPict="0" macro="[0]!CES_UpdateCQ">
                <anchor moveWithCells="1" sizeWithCells="1">
                  <from>
                    <xdr:col>0</xdr:col>
                    <xdr:colOff>50800</xdr:colOff>
                    <xdr:row>0</xdr:row>
                    <xdr:rowOff>38100</xdr:rowOff>
                  </from>
                  <to>
                    <xdr:col>1</xdr:col>
                    <xdr:colOff>965200</xdr:colOff>
                    <xdr:row>0</xdr:row>
                    <xdr:rowOff>260350</xdr:rowOff>
                  </to>
                </anchor>
              </controlPr>
            </control>
          </mc:Choice>
        </mc:AlternateContent>
        <mc:AlternateContent xmlns:mc="http://schemas.openxmlformats.org/markup-compatibility/2006">
          <mc:Choice Requires="x14">
            <control shapeId="377859" r:id="rId6" name="CES_ValidateSCRUM_Btn">
              <controlPr defaultSize="0" print="0" autoFill="0" autoPict="0" macro="[0]!CES_ValidateSCRUM">
                <anchor moveWithCells="1" sizeWithCells="1">
                  <from>
                    <xdr:col>7</xdr:col>
                    <xdr:colOff>298450</xdr:colOff>
                    <xdr:row>0</xdr:row>
                    <xdr:rowOff>38100</xdr:rowOff>
                  </from>
                  <to>
                    <xdr:col>9</xdr:col>
                    <xdr:colOff>1441450</xdr:colOff>
                    <xdr:row>0</xdr:row>
                    <xdr:rowOff>260350</xdr:rowOff>
                  </to>
                </anchor>
              </controlPr>
            </control>
          </mc:Choice>
        </mc:AlternateContent>
        <mc:AlternateContent xmlns:mc="http://schemas.openxmlformats.org/markup-compatibility/2006">
          <mc:Choice Requires="x14">
            <control shapeId="377860" r:id="rId7" name="CES_clearError_Btn">
              <controlPr defaultSize="0" print="0" autoFill="0" autoPict="0" macro="[0]!CES_clearError">
                <anchor moveWithCells="1" sizeWithCells="1">
                  <from>
                    <xdr:col>9</xdr:col>
                    <xdr:colOff>1555750</xdr:colOff>
                    <xdr:row>0</xdr:row>
                    <xdr:rowOff>69850</xdr:rowOff>
                  </from>
                  <to>
                    <xdr:col>11</xdr:col>
                    <xdr:colOff>222250</xdr:colOff>
                    <xdr:row>0</xdr:row>
                    <xdr:rowOff>279400</xdr:rowOff>
                  </to>
                </anchor>
              </controlPr>
            </control>
          </mc:Choice>
        </mc:AlternateContent>
        <mc:AlternateContent xmlns:mc="http://schemas.openxmlformats.org/markup-compatibility/2006">
          <mc:Choice Requires="x14">
            <control shapeId="377861" r:id="rId8" name="Button 5">
              <controlPr defaultSize="0" print="0" autoFill="0" autoPict="0" macro="[0]!CES_UpdatePB">
                <anchor moveWithCells="1" sizeWithCells="1">
                  <from>
                    <xdr:col>6</xdr:col>
                    <xdr:colOff>165100</xdr:colOff>
                    <xdr:row>0</xdr:row>
                    <xdr:rowOff>38100</xdr:rowOff>
                  </from>
                  <to>
                    <xdr:col>6</xdr:col>
                    <xdr:colOff>1022350</xdr:colOff>
                    <xdr:row>0</xdr:row>
                    <xdr:rowOff>260350</xdr:rowOff>
                  </to>
                </anchor>
              </controlPr>
            </control>
          </mc:Choice>
        </mc:AlternateContent>
        <mc:AlternateContent xmlns:mc="http://schemas.openxmlformats.org/markup-compatibility/2006">
          <mc:Choice Requires="x14">
            <control shapeId="377862" r:id="rId9" name="Button 6">
              <controlPr defaultSize="0" print="0" autoFill="0" autoPict="0" macro="[0]!CES_UpdateCQ">
                <anchor moveWithCells="1" sizeWithCells="1">
                  <from>
                    <xdr:col>0</xdr:col>
                    <xdr:colOff>50800</xdr:colOff>
                    <xdr:row>0</xdr:row>
                    <xdr:rowOff>38100</xdr:rowOff>
                  </from>
                  <to>
                    <xdr:col>1</xdr:col>
                    <xdr:colOff>965200</xdr:colOff>
                    <xdr:row>0</xdr:row>
                    <xdr:rowOff>260350</xdr:rowOff>
                  </to>
                </anchor>
              </controlPr>
            </control>
          </mc:Choice>
        </mc:AlternateContent>
        <mc:AlternateContent xmlns:mc="http://schemas.openxmlformats.org/markup-compatibility/2006">
          <mc:Choice Requires="x14">
            <control shapeId="377863" r:id="rId10" name="Button 7">
              <controlPr defaultSize="0" print="0" autoFill="0" autoPict="0" macro="[0]!CES_ValidateSCRUM">
                <anchor moveWithCells="1" sizeWithCells="1">
                  <from>
                    <xdr:col>7</xdr:col>
                    <xdr:colOff>298450</xdr:colOff>
                    <xdr:row>0</xdr:row>
                    <xdr:rowOff>38100</xdr:rowOff>
                  </from>
                  <to>
                    <xdr:col>9</xdr:col>
                    <xdr:colOff>1441450</xdr:colOff>
                    <xdr:row>0</xdr:row>
                    <xdr:rowOff>260350</xdr:rowOff>
                  </to>
                </anchor>
              </controlPr>
            </control>
          </mc:Choice>
        </mc:AlternateContent>
        <mc:AlternateContent xmlns:mc="http://schemas.openxmlformats.org/markup-compatibility/2006">
          <mc:Choice Requires="x14">
            <control shapeId="377864" r:id="rId11" name="Button 8">
              <controlPr defaultSize="0" print="0" autoFill="0" autoPict="0" macro="[0]!CES_clearError">
                <anchor moveWithCells="1" sizeWithCells="1">
                  <from>
                    <xdr:col>9</xdr:col>
                    <xdr:colOff>1555750</xdr:colOff>
                    <xdr:row>0</xdr:row>
                    <xdr:rowOff>69850</xdr:rowOff>
                  </from>
                  <to>
                    <xdr:col>11</xdr:col>
                    <xdr:colOff>222250</xdr:colOff>
                    <xdr:row>0</xdr:row>
                    <xdr:rowOff>279400</xdr:rowOff>
                  </to>
                </anchor>
              </controlPr>
            </control>
          </mc:Choice>
        </mc:AlternateContent>
      </controls>
    </mc:Choice>
  </mc:AlternateContent>
  <tableParts count="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E22"/>
  <sheetViews>
    <sheetView topLeftCell="B1" workbookViewId="0">
      <selection activeCell="E22" sqref="E22"/>
    </sheetView>
  </sheetViews>
  <sheetFormatPr defaultColWidth="8.85546875" defaultRowHeight="14.45"/>
  <cols>
    <col min="1" max="1" width="18" style="21" bestFit="1" customWidth="1"/>
    <col min="2" max="2" width="32" style="21" bestFit="1" customWidth="1"/>
    <col min="3" max="3" width="59" style="21" bestFit="1" customWidth="1"/>
    <col min="4" max="4" width="41.140625" style="21" bestFit="1" customWidth="1"/>
    <col min="5" max="5" width="18" style="21" bestFit="1" customWidth="1"/>
    <col min="6" max="16384" width="8.85546875" style="20"/>
  </cols>
  <sheetData>
    <row r="1" spans="1:5">
      <c r="A1" s="33" t="s">
        <v>671</v>
      </c>
      <c r="B1" s="34" t="s">
        <v>672</v>
      </c>
      <c r="C1" s="34" t="s">
        <v>673</v>
      </c>
      <c r="D1" s="35" t="s">
        <v>674</v>
      </c>
      <c r="E1" s="35" t="s">
        <v>675</v>
      </c>
    </row>
    <row r="2" spans="1:5">
      <c r="A2" s="36" t="s">
        <v>676</v>
      </c>
      <c r="B2" s="37" t="s">
        <v>677</v>
      </c>
      <c r="C2" s="37" t="s">
        <v>678</v>
      </c>
      <c r="D2" s="38" t="s">
        <v>679</v>
      </c>
      <c r="E2" s="38" t="s">
        <v>680</v>
      </c>
    </row>
    <row r="3" spans="1:5">
      <c r="A3" s="36" t="s">
        <v>676</v>
      </c>
      <c r="B3" s="39" t="s">
        <v>681</v>
      </c>
      <c r="C3" s="37" t="s">
        <v>682</v>
      </c>
      <c r="D3" s="38" t="s">
        <v>682</v>
      </c>
      <c r="E3" s="38" t="s">
        <v>680</v>
      </c>
    </row>
    <row r="4" spans="1:5">
      <c r="A4" s="36" t="s">
        <v>683</v>
      </c>
      <c r="B4" s="39" t="s">
        <v>684</v>
      </c>
      <c r="C4" s="39" t="s">
        <v>685</v>
      </c>
      <c r="D4" s="38" t="s">
        <v>686</v>
      </c>
      <c r="E4" s="38" t="s">
        <v>680</v>
      </c>
    </row>
    <row r="5" spans="1:5">
      <c r="A5" s="36" t="s">
        <v>683</v>
      </c>
      <c r="B5" s="40" t="s">
        <v>687</v>
      </c>
      <c r="C5" s="40" t="s">
        <v>688</v>
      </c>
      <c r="D5" s="38" t="s">
        <v>686</v>
      </c>
      <c r="E5" s="38" t="s">
        <v>680</v>
      </c>
    </row>
    <row r="6" spans="1:5">
      <c r="A6" s="36" t="s">
        <v>683</v>
      </c>
      <c r="B6" s="39" t="s">
        <v>689</v>
      </c>
      <c r="C6" s="39" t="s">
        <v>690</v>
      </c>
      <c r="D6" s="38" t="s">
        <v>691</v>
      </c>
      <c r="E6" s="38" t="s">
        <v>680</v>
      </c>
    </row>
    <row r="7" spans="1:5">
      <c r="A7" s="41" t="s">
        <v>676</v>
      </c>
      <c r="B7" s="40" t="s">
        <v>692</v>
      </c>
      <c r="C7" s="40" t="s">
        <v>693</v>
      </c>
      <c r="D7" s="39" t="s">
        <v>694</v>
      </c>
      <c r="E7" s="39" t="s">
        <v>695</v>
      </c>
    </row>
    <row r="10" spans="1:5">
      <c r="A10" s="641" t="s">
        <v>696</v>
      </c>
      <c r="B10" s="641"/>
      <c r="C10" s="641"/>
      <c r="D10" s="641"/>
      <c r="E10" s="641"/>
    </row>
    <row r="11" spans="1:5">
      <c r="A11" s="33" t="s">
        <v>697</v>
      </c>
      <c r="B11" s="33" t="s">
        <v>698</v>
      </c>
      <c r="C11" s="33" t="s">
        <v>699</v>
      </c>
      <c r="D11" s="33" t="s">
        <v>700</v>
      </c>
      <c r="E11" s="33" t="s">
        <v>701</v>
      </c>
    </row>
    <row r="12" spans="1:5">
      <c r="A12" s="42">
        <v>1</v>
      </c>
      <c r="B12" s="43" t="s">
        <v>702</v>
      </c>
      <c r="C12" s="44" t="s">
        <v>703</v>
      </c>
      <c r="D12" s="44" t="s">
        <v>704</v>
      </c>
      <c r="E12" s="45">
        <v>41039</v>
      </c>
    </row>
    <row r="13" spans="1:5" ht="27">
      <c r="A13" s="42">
        <v>2</v>
      </c>
      <c r="B13" s="43" t="s">
        <v>705</v>
      </c>
      <c r="C13" s="44" t="s">
        <v>703</v>
      </c>
      <c r="D13" s="44" t="s">
        <v>706</v>
      </c>
      <c r="E13" s="45">
        <v>41204</v>
      </c>
    </row>
    <row r="14" spans="1:5" ht="40.5">
      <c r="A14" s="42">
        <v>2.1</v>
      </c>
      <c r="B14" s="43" t="s">
        <v>707</v>
      </c>
      <c r="C14" s="44" t="s">
        <v>708</v>
      </c>
      <c r="D14" s="44" t="s">
        <v>704</v>
      </c>
      <c r="E14" s="45">
        <v>41292</v>
      </c>
    </row>
    <row r="15" spans="1:5" ht="148.5">
      <c r="A15" s="42">
        <v>2.2000000000000002</v>
      </c>
      <c r="B15" s="43" t="s">
        <v>709</v>
      </c>
      <c r="C15" s="44" t="s">
        <v>708</v>
      </c>
      <c r="D15" s="44" t="s">
        <v>710</v>
      </c>
      <c r="E15" s="45">
        <v>41293</v>
      </c>
    </row>
    <row r="16" spans="1:5" ht="40.5">
      <c r="A16" s="42">
        <v>2.2999999999999998</v>
      </c>
      <c r="B16" s="43" t="s">
        <v>711</v>
      </c>
      <c r="C16" s="44" t="s">
        <v>708</v>
      </c>
      <c r="D16" s="44" t="s">
        <v>710</v>
      </c>
      <c r="E16" s="45">
        <v>41296</v>
      </c>
    </row>
    <row r="17" spans="1:5" ht="67.5">
      <c r="A17" s="42">
        <v>2.4</v>
      </c>
      <c r="B17" s="43" t="s">
        <v>712</v>
      </c>
      <c r="C17" s="44" t="s">
        <v>708</v>
      </c>
      <c r="D17" s="44" t="s">
        <v>710</v>
      </c>
      <c r="E17" s="45">
        <v>41316</v>
      </c>
    </row>
    <row r="18" spans="1:5" ht="67.5">
      <c r="A18" s="42">
        <v>2.5</v>
      </c>
      <c r="B18" s="43" t="s">
        <v>713</v>
      </c>
      <c r="C18" s="44" t="s">
        <v>708</v>
      </c>
      <c r="D18" s="44" t="s">
        <v>710</v>
      </c>
      <c r="E18" s="45">
        <v>41348</v>
      </c>
    </row>
    <row r="19" spans="1:5" ht="135">
      <c r="A19" s="42">
        <v>2.6</v>
      </c>
      <c r="B19" s="43" t="s">
        <v>714</v>
      </c>
      <c r="C19" s="44" t="s">
        <v>708</v>
      </c>
      <c r="D19" s="44" t="s">
        <v>710</v>
      </c>
      <c r="E19" s="45">
        <v>41393</v>
      </c>
    </row>
    <row r="20" spans="1:5" ht="175.5">
      <c r="A20" s="42">
        <v>3</v>
      </c>
      <c r="B20" s="43" t="s">
        <v>715</v>
      </c>
      <c r="C20" s="44" t="s">
        <v>716</v>
      </c>
      <c r="D20" s="44" t="s">
        <v>717</v>
      </c>
      <c r="E20" s="45"/>
    </row>
    <row r="21" spans="1:5" ht="135">
      <c r="A21" s="42">
        <v>4</v>
      </c>
      <c r="B21" s="46" t="s">
        <v>718</v>
      </c>
      <c r="C21" s="47" t="s">
        <v>719</v>
      </c>
      <c r="D21" s="47" t="s">
        <v>716</v>
      </c>
      <c r="E21" s="48">
        <v>41809</v>
      </c>
    </row>
    <row r="22" spans="1:5" ht="121.5">
      <c r="A22" s="42">
        <v>5</v>
      </c>
      <c r="B22" s="46" t="s">
        <v>720</v>
      </c>
      <c r="C22" s="47" t="s">
        <v>721</v>
      </c>
      <c r="D22" s="47" t="s">
        <v>722</v>
      </c>
      <c r="E22" s="48">
        <v>42178</v>
      </c>
    </row>
  </sheetData>
  <mergeCells count="1">
    <mergeCell ref="A10:E10"/>
  </mergeCells>
  <pageMargins left="0.7" right="0.7" top="0.75" bottom="0.75" header="0.3" footer="0.3"/>
  <pageSetup orientation="portrait"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AE569-70AA-4EE3-8F48-B71AA5ED0F6D}">
  <dimension ref="A1:E28"/>
  <sheetViews>
    <sheetView workbookViewId="0">
      <selection activeCell="C17" sqref="C17"/>
    </sheetView>
  </sheetViews>
  <sheetFormatPr defaultRowHeight="14.45"/>
  <cols>
    <col min="1" max="1" width="19.85546875" bestFit="1" customWidth="1"/>
    <col min="3" max="3" width="55.28515625" bestFit="1" customWidth="1"/>
    <col min="4" max="4" width="22.28515625" customWidth="1"/>
  </cols>
  <sheetData>
    <row r="1" spans="1:5">
      <c r="A1" s="243" t="s">
        <v>723</v>
      </c>
      <c r="B1" s="243"/>
      <c r="C1" s="243"/>
      <c r="D1" s="264">
        <v>46083</v>
      </c>
      <c r="E1" s="243" t="s">
        <v>724</v>
      </c>
    </row>
    <row r="2" spans="1:5">
      <c r="A2" s="244" t="s">
        <v>725</v>
      </c>
      <c r="B2" s="245"/>
      <c r="C2" s="245" t="s">
        <v>726</v>
      </c>
      <c r="D2" s="245" t="s">
        <v>726</v>
      </c>
      <c r="E2" s="245"/>
    </row>
    <row r="3" spans="1:5">
      <c r="A3" s="244" t="s">
        <v>727</v>
      </c>
      <c r="C3" t="s">
        <v>728</v>
      </c>
      <c r="D3" t="s">
        <v>728</v>
      </c>
    </row>
    <row r="4" spans="1:5">
      <c r="A4" s="244" t="s">
        <v>518</v>
      </c>
      <c r="C4" t="s">
        <v>729</v>
      </c>
      <c r="D4" t="s">
        <v>729</v>
      </c>
      <c r="E4" t="s">
        <v>730</v>
      </c>
    </row>
    <row r="5" spans="1:5">
      <c r="A5" s="265" t="s">
        <v>731</v>
      </c>
      <c r="C5" s="246" t="s">
        <v>732</v>
      </c>
      <c r="D5" t="s">
        <v>733</v>
      </c>
    </row>
    <row r="6" spans="1:5">
      <c r="A6" s="265" t="s">
        <v>734</v>
      </c>
      <c r="C6" t="s">
        <v>735</v>
      </c>
      <c r="D6" t="s">
        <v>736</v>
      </c>
    </row>
    <row r="7" spans="1:5">
      <c r="A7" s="265" t="s">
        <v>737</v>
      </c>
      <c r="B7" s="247"/>
      <c r="C7" t="s">
        <v>738</v>
      </c>
      <c r="D7" t="s">
        <v>739</v>
      </c>
    </row>
    <row r="8" spans="1:5">
      <c r="A8" s="265" t="s">
        <v>740</v>
      </c>
    </row>
    <row r="9" spans="1:5">
      <c r="A9" s="244" t="s">
        <v>741</v>
      </c>
    </row>
    <row r="10" spans="1:5">
      <c r="A10" s="265" t="s">
        <v>742</v>
      </c>
      <c r="B10" s="247"/>
    </row>
    <row r="11" spans="1:5">
      <c r="A11" s="265" t="s">
        <v>743</v>
      </c>
      <c r="C11" s="246" t="s">
        <v>744</v>
      </c>
    </row>
    <row r="12" spans="1:5">
      <c r="A12" s="265" t="s">
        <v>745</v>
      </c>
      <c r="B12" s="243"/>
      <c r="C12" s="243" t="s">
        <v>746</v>
      </c>
      <c r="D12" s="243"/>
      <c r="E12" s="243" t="s">
        <v>747</v>
      </c>
    </row>
    <row r="13" spans="1:5">
      <c r="A13" s="244" t="s">
        <v>748</v>
      </c>
      <c r="C13" s="249" t="s">
        <v>749</v>
      </c>
      <c r="D13" t="s">
        <v>750</v>
      </c>
    </row>
    <row r="14" spans="1:5" ht="29.1">
      <c r="A14" s="265" t="s">
        <v>751</v>
      </c>
      <c r="C14" s="248" t="s">
        <v>752</v>
      </c>
    </row>
    <row r="15" spans="1:5">
      <c r="A15" s="266" t="s">
        <v>753</v>
      </c>
      <c r="C15" t="s">
        <v>754</v>
      </c>
      <c r="D15" t="s">
        <v>755</v>
      </c>
    </row>
    <row r="16" spans="1:5">
      <c r="A16" s="265" t="s">
        <v>756</v>
      </c>
      <c r="C16" t="s">
        <v>757</v>
      </c>
    </row>
    <row r="17" spans="1:3">
      <c r="A17" s="266" t="s">
        <v>758</v>
      </c>
      <c r="C17" t="s">
        <v>759</v>
      </c>
    </row>
    <row r="18" spans="1:3">
      <c r="A18" s="265" t="s">
        <v>760</v>
      </c>
    </row>
    <row r="19" spans="1:3">
      <c r="A19" s="266" t="s">
        <v>761</v>
      </c>
      <c r="C19" t="s">
        <v>759</v>
      </c>
    </row>
    <row r="20" spans="1:3">
      <c r="A20" s="265" t="s">
        <v>762</v>
      </c>
      <c r="B20" s="247"/>
      <c r="C20" t="s">
        <v>763</v>
      </c>
    </row>
    <row r="21" spans="1:3">
      <c r="A21" s="265" t="s">
        <v>764</v>
      </c>
      <c r="C21" t="s">
        <v>759</v>
      </c>
    </row>
    <row r="22" spans="1:3">
      <c r="A22" s="266" t="s">
        <v>765</v>
      </c>
      <c r="C22" t="s">
        <v>759</v>
      </c>
    </row>
    <row r="23" spans="1:3">
      <c r="A23" s="266" t="s">
        <v>766</v>
      </c>
      <c r="C23" t="s">
        <v>759</v>
      </c>
    </row>
    <row r="24" spans="1:3">
      <c r="A24" s="265" t="s">
        <v>767</v>
      </c>
      <c r="C24" t="s">
        <v>759</v>
      </c>
    </row>
    <row r="25" spans="1:3">
      <c r="A25" s="266" t="s">
        <v>768</v>
      </c>
      <c r="C25" t="s">
        <v>726</v>
      </c>
    </row>
    <row r="26" spans="1:3">
      <c r="A26" s="266" t="s">
        <v>769</v>
      </c>
      <c r="C26" t="s">
        <v>770</v>
      </c>
    </row>
    <row r="27" spans="1:3">
      <c r="A27" s="266" t="s">
        <v>771</v>
      </c>
      <c r="C27" t="s">
        <v>772</v>
      </c>
    </row>
    <row r="28" spans="1:3">
      <c r="A28" s="266" t="s">
        <v>554</v>
      </c>
      <c r="C28" t="s">
        <v>772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0F35E-6179-44B9-8F2C-94A3DFC3FA58}">
  <sheetPr filterMode="1"/>
  <dimension ref="A1:BT50"/>
  <sheetViews>
    <sheetView topLeftCell="B1" zoomScale="60" zoomScaleNormal="60" workbookViewId="0">
      <pane xSplit="10" topLeftCell="AQ1" activePane="topRight" state="frozen"/>
      <selection pane="topRight" activeCell="AV40" sqref="AV40"/>
      <selection activeCell="B1" sqref="B1"/>
    </sheetView>
  </sheetViews>
  <sheetFormatPr defaultRowHeight="14.45"/>
  <cols>
    <col min="1" max="1" width="18.42578125" customWidth="1"/>
    <col min="2" max="3" width="25.42578125" hidden="1" customWidth="1"/>
    <col min="4" max="5" width="18.42578125" hidden="1" customWidth="1"/>
    <col min="6" max="6" width="19.42578125" customWidth="1"/>
    <col min="7" max="7" width="19.42578125" hidden="1" customWidth="1"/>
    <col min="8" max="8" width="12.5703125" hidden="1" customWidth="1"/>
    <col min="9" max="9" width="12.5703125" customWidth="1"/>
    <col min="10" max="10" width="19.42578125" customWidth="1"/>
    <col min="11" max="11" width="15.42578125" customWidth="1"/>
    <col min="12" max="12" width="12.140625" customWidth="1"/>
    <col min="13" max="17" width="8.7109375" customWidth="1"/>
    <col min="18" max="18" width="13.28515625" customWidth="1"/>
    <col min="19" max="19" width="11" customWidth="1"/>
    <col min="20" max="21" width="9.85546875" bestFit="1" customWidth="1"/>
    <col min="22" max="22" width="11.42578125" customWidth="1"/>
    <col min="23" max="23" width="12.140625" customWidth="1"/>
    <col min="24" max="34" width="9.85546875" bestFit="1" customWidth="1"/>
    <col min="35" max="36" width="9.85546875" customWidth="1"/>
    <col min="37" max="38" width="9.85546875" bestFit="1" customWidth="1"/>
    <col min="40" max="40" width="8.85546875" bestFit="1" customWidth="1"/>
    <col min="49" max="51" width="9.85546875" bestFit="1" customWidth="1"/>
    <col min="52" max="52" width="9.85546875" hidden="1" customWidth="1"/>
    <col min="53" max="53" width="0" hidden="1" customWidth="1"/>
    <col min="54" max="63" width="9.85546875" bestFit="1" customWidth="1"/>
  </cols>
  <sheetData>
    <row r="1" spans="1:72">
      <c r="A1" t="s">
        <v>773</v>
      </c>
      <c r="F1" s="324" t="s">
        <v>723</v>
      </c>
      <c r="G1" s="634" t="s">
        <v>774</v>
      </c>
      <c r="H1" s="634" t="s">
        <v>775</v>
      </c>
      <c r="I1" s="634"/>
      <c r="J1" s="634" t="s">
        <v>776</v>
      </c>
      <c r="K1" t="s">
        <v>777</v>
      </c>
      <c r="L1" s="1">
        <v>46146</v>
      </c>
      <c r="M1" s="1">
        <v>46147</v>
      </c>
      <c r="N1" s="1">
        <v>46148</v>
      </c>
      <c r="O1" s="1">
        <v>46149</v>
      </c>
      <c r="P1" s="1">
        <v>46150</v>
      </c>
      <c r="Q1" s="1">
        <v>46151</v>
      </c>
      <c r="R1" s="1">
        <v>46152</v>
      </c>
      <c r="S1" s="1">
        <v>46153</v>
      </c>
      <c r="T1" s="1">
        <v>46154</v>
      </c>
      <c r="U1" s="1">
        <v>46155</v>
      </c>
      <c r="V1" s="1">
        <v>46156</v>
      </c>
      <c r="W1" s="1">
        <v>46157</v>
      </c>
      <c r="X1" s="1">
        <v>46158</v>
      </c>
      <c r="Y1" s="1">
        <v>46159</v>
      </c>
      <c r="Z1" s="1">
        <v>46160</v>
      </c>
      <c r="AA1" s="1">
        <v>46161</v>
      </c>
      <c r="AB1" s="1">
        <v>46162</v>
      </c>
      <c r="AC1" s="1">
        <v>46163</v>
      </c>
      <c r="AD1" s="1">
        <v>46164</v>
      </c>
      <c r="AE1" s="1">
        <v>46165</v>
      </c>
      <c r="AF1" s="1">
        <v>46166</v>
      </c>
      <c r="AG1" s="1">
        <v>46167</v>
      </c>
      <c r="AH1" s="1">
        <v>46168</v>
      </c>
      <c r="AI1" s="1">
        <v>46169</v>
      </c>
      <c r="AJ1" s="1">
        <v>46170</v>
      </c>
      <c r="AK1" s="1">
        <v>46171</v>
      </c>
      <c r="AL1" s="1">
        <v>46172</v>
      </c>
      <c r="AM1" s="1">
        <v>46173</v>
      </c>
      <c r="AN1" s="1">
        <v>46174</v>
      </c>
      <c r="AO1" s="1">
        <v>46175</v>
      </c>
      <c r="AP1" s="1">
        <v>46176</v>
      </c>
      <c r="AQ1" s="1">
        <v>46177</v>
      </c>
      <c r="AR1" s="1">
        <v>46178</v>
      </c>
      <c r="AS1" s="1">
        <v>46179</v>
      </c>
      <c r="AT1" s="1">
        <v>46180</v>
      </c>
      <c r="AU1" s="1">
        <v>46181</v>
      </c>
      <c r="AV1" s="1">
        <v>46182</v>
      </c>
      <c r="AW1" s="1">
        <v>46183</v>
      </c>
      <c r="AX1" s="1">
        <v>46184</v>
      </c>
      <c r="AY1" s="1">
        <v>46185</v>
      </c>
      <c r="AZ1" s="1">
        <v>46186</v>
      </c>
      <c r="BA1" s="1">
        <v>46187</v>
      </c>
      <c r="BB1" s="1">
        <v>46188</v>
      </c>
      <c r="BC1" s="1">
        <v>46189</v>
      </c>
      <c r="BD1" s="1">
        <v>46190</v>
      </c>
      <c r="BE1" s="1">
        <v>46191</v>
      </c>
      <c r="BF1" s="1">
        <v>46192</v>
      </c>
      <c r="BG1" s="1">
        <v>46193</v>
      </c>
      <c r="BH1" s="1">
        <v>46194</v>
      </c>
      <c r="BI1" s="1">
        <v>46195</v>
      </c>
      <c r="BJ1" s="1">
        <v>46196</v>
      </c>
      <c r="BK1" s="1">
        <v>46197</v>
      </c>
      <c r="BL1" s="1">
        <v>46198</v>
      </c>
      <c r="BM1" s="1">
        <v>46199</v>
      </c>
      <c r="BN1" s="1">
        <v>46200</v>
      </c>
      <c r="BO1" s="180"/>
      <c r="BP1" s="180"/>
      <c r="BQ1" s="180">
        <v>46136</v>
      </c>
      <c r="BR1" s="180">
        <v>46137</v>
      </c>
      <c r="BS1" s="180">
        <v>46138</v>
      </c>
      <c r="BT1" s="180">
        <v>46139</v>
      </c>
    </row>
    <row r="2" spans="1:72" hidden="1">
      <c r="A2" t="s">
        <v>778</v>
      </c>
      <c r="B2" t="s">
        <v>779</v>
      </c>
      <c r="F2" s="297" t="s">
        <v>725</v>
      </c>
      <c r="G2" s="300"/>
      <c r="H2" s="300"/>
      <c r="I2" s="300" t="s">
        <v>780</v>
      </c>
      <c r="J2" s="300"/>
      <c r="K2" t="s">
        <v>781</v>
      </c>
      <c r="W2" s="1"/>
      <c r="X2" s="1"/>
      <c r="Y2" s="1"/>
      <c r="Z2" s="1"/>
      <c r="AA2" s="1"/>
      <c r="AB2" s="1"/>
      <c r="AC2" s="1"/>
      <c r="AD2" s="1"/>
      <c r="AE2" s="1"/>
    </row>
    <row r="3" spans="1:72" hidden="1">
      <c r="A3" t="s">
        <v>782</v>
      </c>
      <c r="B3" t="s">
        <v>783</v>
      </c>
      <c r="F3" s="156" t="s">
        <v>727</v>
      </c>
      <c r="G3" s="301"/>
      <c r="H3" s="301"/>
      <c r="I3" s="301" t="s">
        <v>780</v>
      </c>
      <c r="J3" s="301"/>
      <c r="K3" t="s">
        <v>781</v>
      </c>
      <c r="W3" s="1"/>
      <c r="X3" s="1"/>
      <c r="Y3" s="1"/>
      <c r="Z3" s="1"/>
      <c r="AA3" s="1"/>
      <c r="AB3" s="1"/>
      <c r="AC3" s="1"/>
      <c r="AD3" s="1"/>
      <c r="AE3" s="1"/>
    </row>
    <row r="4" spans="1:72" hidden="1">
      <c r="A4" t="s">
        <v>782</v>
      </c>
      <c r="B4" t="s">
        <v>779</v>
      </c>
      <c r="F4" s="156" t="s">
        <v>731</v>
      </c>
      <c r="G4" s="301"/>
      <c r="H4" s="301"/>
      <c r="I4" s="301" t="s">
        <v>780</v>
      </c>
      <c r="J4" s="301"/>
      <c r="K4" t="s">
        <v>781</v>
      </c>
    </row>
    <row r="5" spans="1:72" hidden="1">
      <c r="A5" t="s">
        <v>782</v>
      </c>
      <c r="B5" t="s">
        <v>784</v>
      </c>
      <c r="F5" s="156" t="s">
        <v>737</v>
      </c>
      <c r="G5" s="301"/>
      <c r="H5" s="301"/>
      <c r="I5" s="301" t="s">
        <v>780</v>
      </c>
      <c r="J5" s="301"/>
      <c r="K5" t="s">
        <v>781</v>
      </c>
    </row>
    <row r="6" spans="1:72" hidden="1">
      <c r="A6" t="s">
        <v>778</v>
      </c>
      <c r="F6" s="327" t="s">
        <v>740</v>
      </c>
      <c r="G6" s="302"/>
      <c r="H6" s="302"/>
      <c r="I6" s="302" t="s">
        <v>780</v>
      </c>
      <c r="J6" s="326"/>
      <c r="K6" t="s">
        <v>781</v>
      </c>
      <c r="X6" s="295"/>
    </row>
    <row r="7" spans="1:72">
      <c r="A7" t="s">
        <v>782</v>
      </c>
      <c r="B7" t="s">
        <v>779</v>
      </c>
      <c r="E7" t="s">
        <v>779</v>
      </c>
      <c r="F7" s="156" t="s">
        <v>741</v>
      </c>
      <c r="G7" s="301"/>
      <c r="H7" s="301"/>
      <c r="I7" s="301"/>
      <c r="J7" s="325" t="s">
        <v>785</v>
      </c>
      <c r="K7" t="s">
        <v>786</v>
      </c>
      <c r="N7">
        <v>1</v>
      </c>
      <c r="P7">
        <v>1</v>
      </c>
      <c r="V7" t="s">
        <v>787</v>
      </c>
      <c r="AA7" t="s">
        <v>787</v>
      </c>
      <c r="AB7" t="s">
        <v>787</v>
      </c>
      <c r="AC7" t="s">
        <v>787</v>
      </c>
      <c r="AI7" t="s">
        <v>787</v>
      </c>
      <c r="AN7" t="s">
        <v>788</v>
      </c>
      <c r="AO7" t="s">
        <v>788</v>
      </c>
      <c r="AP7" t="s">
        <v>787</v>
      </c>
      <c r="AQ7" t="s">
        <v>787</v>
      </c>
      <c r="AR7" t="s">
        <v>787</v>
      </c>
      <c r="AS7" s="337"/>
      <c r="AU7" s="337" t="s">
        <v>787</v>
      </c>
      <c r="AV7" t="s">
        <v>787</v>
      </c>
      <c r="AW7" s="337" t="s">
        <v>787</v>
      </c>
      <c r="AX7" t="s">
        <v>787</v>
      </c>
      <c r="AY7" s="337" t="s">
        <v>787</v>
      </c>
      <c r="BA7" s="337"/>
      <c r="BB7" t="s">
        <v>787</v>
      </c>
      <c r="BC7" t="s">
        <v>787</v>
      </c>
      <c r="BD7" t="s">
        <v>787</v>
      </c>
      <c r="BE7" t="s">
        <v>787</v>
      </c>
      <c r="BF7" t="s">
        <v>787</v>
      </c>
      <c r="BI7" t="s">
        <v>787</v>
      </c>
      <c r="BJ7" t="s">
        <v>787</v>
      </c>
      <c r="BK7" t="s">
        <v>787</v>
      </c>
    </row>
    <row r="8" spans="1:72">
      <c r="A8" t="s">
        <v>782</v>
      </c>
      <c r="B8" t="s">
        <v>789</v>
      </c>
      <c r="C8" t="s">
        <v>790</v>
      </c>
      <c r="D8" t="s">
        <v>787</v>
      </c>
      <c r="E8" s="61">
        <v>60</v>
      </c>
      <c r="F8" s="156" t="s">
        <v>742</v>
      </c>
      <c r="G8" s="303"/>
      <c r="H8" s="303"/>
      <c r="I8" s="303"/>
      <c r="J8" s="325" t="s">
        <v>785</v>
      </c>
      <c r="K8" t="s">
        <v>786</v>
      </c>
      <c r="N8" t="s">
        <v>791</v>
      </c>
      <c r="V8" t="s">
        <v>787</v>
      </c>
      <c r="AA8" t="s">
        <v>787</v>
      </c>
      <c r="AB8" t="s">
        <v>791</v>
      </c>
      <c r="AC8" t="s">
        <v>787</v>
      </c>
      <c r="AH8" t="s">
        <v>787</v>
      </c>
      <c r="AI8" t="s">
        <v>787</v>
      </c>
      <c r="AJ8" t="s">
        <v>787</v>
      </c>
      <c r="AK8" t="s">
        <v>787</v>
      </c>
      <c r="AN8" t="s">
        <v>787</v>
      </c>
      <c r="AO8" t="s">
        <v>792</v>
      </c>
      <c r="AP8" t="s">
        <v>787</v>
      </c>
      <c r="AQ8" t="s">
        <v>787</v>
      </c>
      <c r="AR8" t="s">
        <v>787</v>
      </c>
      <c r="AS8" s="337"/>
      <c r="AU8" s="337" t="s">
        <v>787</v>
      </c>
      <c r="AV8" t="s">
        <v>787</v>
      </c>
      <c r="AW8" s="337" t="s">
        <v>787</v>
      </c>
      <c r="AX8" t="s">
        <v>787</v>
      </c>
      <c r="AY8" s="337" t="s">
        <v>787</v>
      </c>
      <c r="BA8" s="337"/>
      <c r="BB8" t="s">
        <v>787</v>
      </c>
      <c r="BC8" s="337" t="s">
        <v>787</v>
      </c>
      <c r="BD8" t="s">
        <v>788</v>
      </c>
      <c r="BE8" s="337" t="s">
        <v>787</v>
      </c>
      <c r="BF8" t="s">
        <v>787</v>
      </c>
      <c r="BI8" t="s">
        <v>787</v>
      </c>
      <c r="BJ8" t="s">
        <v>787</v>
      </c>
      <c r="BK8" t="s">
        <v>787</v>
      </c>
    </row>
    <row r="9" spans="1:72" hidden="1">
      <c r="A9" t="s">
        <v>782</v>
      </c>
      <c r="D9" t="s">
        <v>787</v>
      </c>
      <c r="F9" s="156" t="s">
        <v>743</v>
      </c>
      <c r="G9" s="301"/>
      <c r="H9" s="301"/>
      <c r="I9" s="301" t="s">
        <v>780</v>
      </c>
      <c r="J9" s="301"/>
      <c r="K9" t="s">
        <v>781</v>
      </c>
    </row>
    <row r="10" spans="1:72">
      <c r="A10" t="s">
        <v>782</v>
      </c>
      <c r="C10" t="s">
        <v>793</v>
      </c>
      <c r="D10" t="s">
        <v>787</v>
      </c>
      <c r="E10" t="s">
        <v>794</v>
      </c>
      <c r="F10" s="156" t="s">
        <v>745</v>
      </c>
      <c r="G10" s="304"/>
      <c r="H10" s="304"/>
      <c r="I10" s="304"/>
      <c r="J10" s="325" t="s">
        <v>795</v>
      </c>
      <c r="K10" t="s">
        <v>786</v>
      </c>
      <c r="N10" t="s">
        <v>791</v>
      </c>
      <c r="P10" s="246">
        <v>1</v>
      </c>
      <c r="V10" t="s">
        <v>787</v>
      </c>
      <c r="AA10" t="s">
        <v>787</v>
      </c>
      <c r="AB10" t="s">
        <v>791</v>
      </c>
      <c r="AC10" t="s">
        <v>787</v>
      </c>
      <c r="AI10" t="s">
        <v>787</v>
      </c>
      <c r="AJ10" t="s">
        <v>787</v>
      </c>
      <c r="AK10" t="s">
        <v>787</v>
      </c>
      <c r="AN10" t="s">
        <v>787</v>
      </c>
      <c r="AO10" t="s">
        <v>787</v>
      </c>
      <c r="AP10" t="s">
        <v>787</v>
      </c>
      <c r="AQ10" t="s">
        <v>788</v>
      </c>
      <c r="AR10" t="s">
        <v>787</v>
      </c>
      <c r="AS10" s="337"/>
      <c r="AU10" s="337" t="s">
        <v>787</v>
      </c>
      <c r="AV10" t="s">
        <v>787</v>
      </c>
      <c r="AW10" s="337" t="s">
        <v>787</v>
      </c>
      <c r="AX10" t="s">
        <v>787</v>
      </c>
      <c r="AY10" s="337" t="s">
        <v>787</v>
      </c>
      <c r="BA10" s="337"/>
      <c r="BB10" t="s">
        <v>787</v>
      </c>
      <c r="BC10" s="337" t="s">
        <v>787</v>
      </c>
      <c r="BD10" t="s">
        <v>787</v>
      </c>
      <c r="BE10" s="337" t="s">
        <v>787</v>
      </c>
      <c r="BF10" t="s">
        <v>787</v>
      </c>
      <c r="BI10" t="s">
        <v>787</v>
      </c>
      <c r="BJ10" t="s">
        <v>787</v>
      </c>
      <c r="BK10" t="s">
        <v>787</v>
      </c>
    </row>
    <row r="11" spans="1:72">
      <c r="A11" t="s">
        <v>782</v>
      </c>
      <c r="E11" t="s">
        <v>779</v>
      </c>
      <c r="F11" s="156" t="s">
        <v>748</v>
      </c>
      <c r="G11" s="301"/>
      <c r="H11" s="301"/>
      <c r="I11" s="301" t="s">
        <v>780</v>
      </c>
      <c r="J11" s="325" t="s">
        <v>795</v>
      </c>
      <c r="K11" t="s">
        <v>786</v>
      </c>
      <c r="N11" t="s">
        <v>791</v>
      </c>
      <c r="P11" s="246">
        <v>1</v>
      </c>
      <c r="V11" t="s">
        <v>787</v>
      </c>
      <c r="AA11" t="s">
        <v>796</v>
      </c>
      <c r="AB11" t="s">
        <v>791</v>
      </c>
      <c r="AC11" t="s">
        <v>787</v>
      </c>
      <c r="AI11" t="s">
        <v>787</v>
      </c>
      <c r="AJ11" t="s">
        <v>787</v>
      </c>
      <c r="AK11" t="s">
        <v>787</v>
      </c>
      <c r="AN11" t="s">
        <v>787</v>
      </c>
      <c r="AO11" t="s">
        <v>787</v>
      </c>
      <c r="AP11" t="s">
        <v>787</v>
      </c>
      <c r="AQ11" t="s">
        <v>787</v>
      </c>
      <c r="AR11" t="s">
        <v>787</v>
      </c>
      <c r="AU11" t="s">
        <v>787</v>
      </c>
      <c r="AV11" t="s">
        <v>787</v>
      </c>
      <c r="AW11" s="337" t="s">
        <v>787</v>
      </c>
      <c r="AX11" t="s">
        <v>787</v>
      </c>
      <c r="AY11" s="337" t="s">
        <v>787</v>
      </c>
      <c r="BA11" s="337"/>
      <c r="BB11" t="s">
        <v>787</v>
      </c>
      <c r="BC11" s="337" t="s">
        <v>788</v>
      </c>
      <c r="BD11" t="s">
        <v>787</v>
      </c>
      <c r="BE11" s="337" t="s">
        <v>787</v>
      </c>
      <c r="BF11" t="s">
        <v>787</v>
      </c>
      <c r="BI11" t="s">
        <v>787</v>
      </c>
      <c r="BJ11" t="s">
        <v>787</v>
      </c>
      <c r="BK11" t="s">
        <v>787</v>
      </c>
    </row>
    <row r="12" spans="1:72">
      <c r="A12" t="s">
        <v>782</v>
      </c>
      <c r="C12" t="s">
        <v>793</v>
      </c>
      <c r="D12" t="s">
        <v>787</v>
      </c>
      <c r="E12" t="s">
        <v>779</v>
      </c>
      <c r="F12" s="156" t="s">
        <v>751</v>
      </c>
      <c r="G12" s="303"/>
      <c r="H12" s="303"/>
      <c r="I12" s="303" t="s">
        <v>780</v>
      </c>
      <c r="J12" s="325" t="s">
        <v>785</v>
      </c>
      <c r="K12" t="s">
        <v>786</v>
      </c>
      <c r="N12" t="s">
        <v>788</v>
      </c>
      <c r="P12" s="246">
        <v>1</v>
      </c>
      <c r="V12" t="s">
        <v>787</v>
      </c>
      <c r="AA12" t="s">
        <v>787</v>
      </c>
      <c r="AB12" t="s">
        <v>791</v>
      </c>
      <c r="AC12" t="s">
        <v>787</v>
      </c>
      <c r="AI12" t="s">
        <v>787</v>
      </c>
      <c r="AJ12" t="s">
        <v>787</v>
      </c>
      <c r="AK12" t="s">
        <v>787</v>
      </c>
      <c r="AN12" t="s">
        <v>787</v>
      </c>
      <c r="AO12" t="s">
        <v>787</v>
      </c>
      <c r="AP12" t="s">
        <v>787</v>
      </c>
      <c r="AQ12" t="s">
        <v>787</v>
      </c>
      <c r="AR12" t="s">
        <v>787</v>
      </c>
      <c r="AS12" s="337"/>
      <c r="AU12" s="337" t="s">
        <v>787</v>
      </c>
      <c r="AW12" t="s">
        <v>787</v>
      </c>
      <c r="AX12" t="s">
        <v>787</v>
      </c>
      <c r="AY12" s="337" t="s">
        <v>787</v>
      </c>
      <c r="BA12" s="337"/>
      <c r="BB12" t="s">
        <v>787</v>
      </c>
      <c r="BC12" s="337" t="s">
        <v>787</v>
      </c>
      <c r="BD12" t="s">
        <v>787</v>
      </c>
      <c r="BE12" s="337" t="s">
        <v>787</v>
      </c>
      <c r="BF12" t="s">
        <v>787</v>
      </c>
      <c r="BI12" t="s">
        <v>787</v>
      </c>
      <c r="BJ12" t="s">
        <v>787</v>
      </c>
      <c r="BK12" t="s">
        <v>787</v>
      </c>
    </row>
    <row r="13" spans="1:72" hidden="1">
      <c r="A13" t="s">
        <v>782</v>
      </c>
      <c r="C13" t="s">
        <v>793</v>
      </c>
      <c r="D13" t="s">
        <v>787</v>
      </c>
      <c r="F13" s="157" t="s">
        <v>753</v>
      </c>
      <c r="G13" s="305"/>
      <c r="H13" s="305"/>
      <c r="I13" s="305"/>
      <c r="J13" s="305"/>
      <c r="K13" t="s">
        <v>781</v>
      </c>
    </row>
    <row r="14" spans="1:72" hidden="1">
      <c r="A14" t="s">
        <v>782</v>
      </c>
      <c r="C14" t="s">
        <v>790</v>
      </c>
      <c r="D14" t="s">
        <v>787</v>
      </c>
      <c r="F14" s="156" t="s">
        <v>756</v>
      </c>
      <c r="G14" s="301"/>
      <c r="H14" s="301"/>
      <c r="I14" s="301"/>
      <c r="J14" s="301"/>
      <c r="K14" t="s">
        <v>781</v>
      </c>
    </row>
    <row r="15" spans="1:72">
      <c r="A15" t="s">
        <v>778</v>
      </c>
      <c r="E15" t="s">
        <v>779</v>
      </c>
      <c r="F15" s="157" t="s">
        <v>758</v>
      </c>
      <c r="G15" s="305"/>
      <c r="H15" s="305"/>
      <c r="I15" s="305"/>
      <c r="J15" s="635" t="s">
        <v>795</v>
      </c>
      <c r="K15" t="s">
        <v>786</v>
      </c>
      <c r="N15">
        <v>1</v>
      </c>
      <c r="P15" s="246">
        <v>1</v>
      </c>
      <c r="V15" t="s">
        <v>787</v>
      </c>
      <c r="AA15" t="s">
        <v>787</v>
      </c>
      <c r="AB15" t="s">
        <v>787</v>
      </c>
      <c r="AC15" t="s">
        <v>787</v>
      </c>
      <c r="AG15" t="s">
        <v>787</v>
      </c>
      <c r="AH15" t="s">
        <v>787</v>
      </c>
      <c r="AJ15" t="s">
        <v>787</v>
      </c>
      <c r="AK15" t="s">
        <v>787</v>
      </c>
      <c r="AN15" t="s">
        <v>787</v>
      </c>
      <c r="AO15" t="s">
        <v>787</v>
      </c>
      <c r="AP15" t="s">
        <v>270</v>
      </c>
      <c r="AQ15" t="s">
        <v>787</v>
      </c>
      <c r="AR15" t="s">
        <v>787</v>
      </c>
      <c r="AS15" s="337"/>
      <c r="AU15" s="337" t="s">
        <v>796</v>
      </c>
      <c r="AV15" t="s">
        <v>788</v>
      </c>
      <c r="AW15" s="337" t="s">
        <v>787</v>
      </c>
      <c r="AX15" t="s">
        <v>787</v>
      </c>
      <c r="AY15" s="337" t="s">
        <v>787</v>
      </c>
      <c r="BA15" s="337"/>
      <c r="BB15" t="s">
        <v>787</v>
      </c>
      <c r="BC15" s="337" t="s">
        <v>787</v>
      </c>
      <c r="BD15" t="s">
        <v>787</v>
      </c>
      <c r="BE15" s="337" t="s">
        <v>787</v>
      </c>
      <c r="BF15" t="s">
        <v>787</v>
      </c>
      <c r="BI15" t="s">
        <v>787</v>
      </c>
      <c r="BJ15" t="s">
        <v>787</v>
      </c>
      <c r="BK15" t="s">
        <v>787</v>
      </c>
    </row>
    <row r="16" spans="1:72" hidden="1">
      <c r="A16" t="s">
        <v>778</v>
      </c>
      <c r="C16" t="s">
        <v>793</v>
      </c>
      <c r="D16" t="s">
        <v>787</v>
      </c>
      <c r="F16" s="156" t="s">
        <v>769</v>
      </c>
      <c r="G16" s="301"/>
      <c r="H16" s="301"/>
      <c r="I16" s="301"/>
      <c r="J16" s="301"/>
      <c r="K16" t="s">
        <v>781</v>
      </c>
    </row>
    <row r="17" spans="1:63">
      <c r="A17" t="s">
        <v>778</v>
      </c>
      <c r="C17" t="s">
        <v>797</v>
      </c>
      <c r="D17" t="s">
        <v>787</v>
      </c>
      <c r="E17" t="s">
        <v>798</v>
      </c>
      <c r="F17" s="156" t="s">
        <v>760</v>
      </c>
      <c r="G17" s="300"/>
      <c r="H17" s="300"/>
      <c r="I17" s="300"/>
      <c r="J17" s="325" t="s">
        <v>795</v>
      </c>
      <c r="K17" t="s">
        <v>786</v>
      </c>
      <c r="N17" t="s">
        <v>791</v>
      </c>
      <c r="P17" s="246">
        <v>1</v>
      </c>
      <c r="V17" t="s">
        <v>787</v>
      </c>
      <c r="X17" s="295"/>
      <c r="AA17" t="s">
        <v>787</v>
      </c>
      <c r="AB17" t="s">
        <v>791</v>
      </c>
      <c r="AC17" t="s">
        <v>787</v>
      </c>
      <c r="AI17" t="s">
        <v>788</v>
      </c>
      <c r="AJ17" t="s">
        <v>787</v>
      </c>
      <c r="AK17" t="s">
        <v>787</v>
      </c>
      <c r="AN17" t="s">
        <v>787</v>
      </c>
      <c r="AO17" t="s">
        <v>788</v>
      </c>
      <c r="AP17" t="s">
        <v>788</v>
      </c>
      <c r="AQ17" t="s">
        <v>788</v>
      </c>
      <c r="AR17" t="s">
        <v>787</v>
      </c>
      <c r="AS17" s="337"/>
      <c r="AU17" s="337" t="s">
        <v>787</v>
      </c>
      <c r="AV17" t="s">
        <v>787</v>
      </c>
      <c r="AW17" s="337" t="s">
        <v>787</v>
      </c>
      <c r="AX17" t="s">
        <v>788</v>
      </c>
      <c r="AY17" s="337" t="s">
        <v>788</v>
      </c>
      <c r="BA17" s="337"/>
      <c r="BB17" t="s">
        <v>787</v>
      </c>
      <c r="BC17" s="337" t="s">
        <v>787</v>
      </c>
      <c r="BD17" t="s">
        <v>787</v>
      </c>
      <c r="BE17" s="337" t="s">
        <v>787</v>
      </c>
      <c r="BF17" t="s">
        <v>787</v>
      </c>
      <c r="BI17" t="s">
        <v>787</v>
      </c>
      <c r="BJ17" t="s">
        <v>787</v>
      </c>
      <c r="BK17" t="s">
        <v>787</v>
      </c>
    </row>
    <row r="18" spans="1:63">
      <c r="A18" t="s">
        <v>778</v>
      </c>
      <c r="C18" t="s">
        <v>793</v>
      </c>
      <c r="D18" t="s">
        <v>787</v>
      </c>
      <c r="E18" t="s">
        <v>779</v>
      </c>
      <c r="F18" s="157" t="s">
        <v>761</v>
      </c>
      <c r="G18" s="305"/>
      <c r="H18" s="305"/>
      <c r="I18" s="305"/>
      <c r="J18" s="635" t="s">
        <v>785</v>
      </c>
      <c r="K18" t="s">
        <v>786</v>
      </c>
      <c r="N18" t="s">
        <v>791</v>
      </c>
      <c r="P18" s="246">
        <v>1</v>
      </c>
      <c r="V18" t="s">
        <v>787</v>
      </c>
      <c r="AA18" t="s">
        <v>787</v>
      </c>
      <c r="AB18" t="s">
        <v>791</v>
      </c>
      <c r="AC18" t="s">
        <v>787</v>
      </c>
      <c r="AH18" t="s">
        <v>787</v>
      </c>
      <c r="AJ18" t="s">
        <v>787</v>
      </c>
      <c r="AK18" t="s">
        <v>787</v>
      </c>
      <c r="AN18" t="s">
        <v>787</v>
      </c>
      <c r="AO18" t="s">
        <v>787</v>
      </c>
      <c r="AP18" t="s">
        <v>787</v>
      </c>
      <c r="AQ18" t="s">
        <v>787</v>
      </c>
      <c r="AR18" t="s">
        <v>787</v>
      </c>
      <c r="AS18" s="337"/>
      <c r="AU18" s="337" t="s">
        <v>787</v>
      </c>
      <c r="AV18" t="s">
        <v>787</v>
      </c>
      <c r="AW18" s="337" t="s">
        <v>787</v>
      </c>
      <c r="AX18" t="s">
        <v>787</v>
      </c>
      <c r="AY18" s="337" t="s">
        <v>799</v>
      </c>
      <c r="BA18" s="337"/>
      <c r="BB18" t="s">
        <v>788</v>
      </c>
      <c r="BC18" s="337" t="s">
        <v>788</v>
      </c>
      <c r="BD18" t="s">
        <v>788</v>
      </c>
      <c r="BE18" s="337" t="s">
        <v>788</v>
      </c>
      <c r="BF18" t="s">
        <v>788</v>
      </c>
      <c r="BI18" t="s">
        <v>787</v>
      </c>
      <c r="BJ18" t="s">
        <v>787</v>
      </c>
      <c r="BK18" t="s">
        <v>787</v>
      </c>
    </row>
    <row r="19" spans="1:63" hidden="1">
      <c r="A19" t="s">
        <v>782</v>
      </c>
      <c r="F19" s="156" t="s">
        <v>762</v>
      </c>
      <c r="G19" s="301"/>
      <c r="H19" s="301"/>
      <c r="I19" s="301" t="s">
        <v>780</v>
      </c>
      <c r="J19" s="325"/>
      <c r="K19" t="s">
        <v>781</v>
      </c>
    </row>
    <row r="20" spans="1:63">
      <c r="A20" t="s">
        <v>778</v>
      </c>
      <c r="C20" t="s">
        <v>797</v>
      </c>
      <c r="D20" t="s">
        <v>787</v>
      </c>
      <c r="E20" t="s">
        <v>779</v>
      </c>
      <c r="F20" s="156" t="s">
        <v>764</v>
      </c>
      <c r="G20" s="304"/>
      <c r="H20" s="304"/>
      <c r="I20" s="304"/>
      <c r="J20" s="325" t="s">
        <v>785</v>
      </c>
      <c r="K20" t="s">
        <v>786</v>
      </c>
      <c r="N20" t="s">
        <v>788</v>
      </c>
      <c r="P20" s="246">
        <v>1</v>
      </c>
      <c r="V20" t="s">
        <v>787</v>
      </c>
      <c r="AA20" t="s">
        <v>796</v>
      </c>
      <c r="AB20" t="s">
        <v>787</v>
      </c>
      <c r="AC20" t="s">
        <v>787</v>
      </c>
      <c r="AH20" t="s">
        <v>787</v>
      </c>
      <c r="AJ20" t="s">
        <v>787</v>
      </c>
      <c r="AK20" t="s">
        <v>787</v>
      </c>
      <c r="AN20" t="s">
        <v>787</v>
      </c>
      <c r="AO20" t="s">
        <v>787</v>
      </c>
      <c r="AP20" t="s">
        <v>787</v>
      </c>
      <c r="AQ20" t="s">
        <v>787</v>
      </c>
      <c r="AR20" t="s">
        <v>796</v>
      </c>
      <c r="AS20" s="337"/>
      <c r="AU20" s="337" t="s">
        <v>787</v>
      </c>
      <c r="AV20" t="s">
        <v>787</v>
      </c>
      <c r="AW20" s="337" t="s">
        <v>787</v>
      </c>
      <c r="AX20" t="s">
        <v>787</v>
      </c>
      <c r="AY20" s="337" t="s">
        <v>799</v>
      </c>
      <c r="BA20" s="337"/>
      <c r="BB20" t="s">
        <v>799</v>
      </c>
      <c r="BC20" s="337" t="s">
        <v>787</v>
      </c>
      <c r="BD20" t="s">
        <v>787</v>
      </c>
      <c r="BE20" s="337" t="s">
        <v>787</v>
      </c>
      <c r="BF20" t="s">
        <v>787</v>
      </c>
      <c r="BI20" t="s">
        <v>787</v>
      </c>
      <c r="BJ20" t="s">
        <v>787</v>
      </c>
      <c r="BK20" t="s">
        <v>787</v>
      </c>
    </row>
    <row r="21" spans="1:63">
      <c r="A21" t="s">
        <v>778</v>
      </c>
      <c r="E21" t="s">
        <v>779</v>
      </c>
      <c r="F21" s="157" t="s">
        <v>765</v>
      </c>
      <c r="G21" s="305"/>
      <c r="H21" s="305"/>
      <c r="I21" s="305"/>
      <c r="J21" s="635" t="s">
        <v>795</v>
      </c>
      <c r="K21" t="s">
        <v>786</v>
      </c>
      <c r="N21" t="s">
        <v>788</v>
      </c>
      <c r="V21" t="s">
        <v>787</v>
      </c>
      <c r="X21" s="295"/>
      <c r="AA21" t="s">
        <v>787</v>
      </c>
      <c r="AB21" t="s">
        <v>791</v>
      </c>
      <c r="AC21" t="s">
        <v>787</v>
      </c>
      <c r="AJ21" t="s">
        <v>787</v>
      </c>
      <c r="AK21" t="s">
        <v>787</v>
      </c>
      <c r="AN21" t="s">
        <v>787</v>
      </c>
      <c r="AO21" t="s">
        <v>787</v>
      </c>
      <c r="AP21" t="s">
        <v>787</v>
      </c>
      <c r="AQ21" t="s">
        <v>787</v>
      </c>
      <c r="AR21" t="s">
        <v>787</v>
      </c>
      <c r="AS21" s="337"/>
      <c r="AU21" s="337" t="s">
        <v>787</v>
      </c>
      <c r="AV21" t="s">
        <v>787</v>
      </c>
      <c r="AW21" s="337" t="s">
        <v>787</v>
      </c>
      <c r="AX21" t="s">
        <v>787</v>
      </c>
      <c r="AY21" s="337" t="s">
        <v>799</v>
      </c>
      <c r="BB21" t="s">
        <v>787</v>
      </c>
      <c r="BC21" t="s">
        <v>787</v>
      </c>
      <c r="BD21" t="s">
        <v>787</v>
      </c>
      <c r="BE21" t="s">
        <v>787</v>
      </c>
      <c r="BF21" t="s">
        <v>787</v>
      </c>
      <c r="BI21" t="s">
        <v>787</v>
      </c>
      <c r="BJ21" t="s">
        <v>787</v>
      </c>
      <c r="BK21" t="s">
        <v>787</v>
      </c>
    </row>
    <row r="22" spans="1:63">
      <c r="A22" t="s">
        <v>778</v>
      </c>
      <c r="E22" t="s">
        <v>779</v>
      </c>
      <c r="F22" s="157" t="s">
        <v>800</v>
      </c>
      <c r="G22" s="305"/>
      <c r="H22" s="305"/>
      <c r="I22" s="305"/>
      <c r="J22" s="635" t="s">
        <v>785</v>
      </c>
      <c r="K22" t="s">
        <v>786</v>
      </c>
      <c r="N22">
        <v>1</v>
      </c>
      <c r="P22" s="246">
        <v>1</v>
      </c>
      <c r="V22" t="s">
        <v>787</v>
      </c>
      <c r="AA22" t="s">
        <v>787</v>
      </c>
      <c r="AB22" t="s">
        <v>791</v>
      </c>
      <c r="AC22" t="s">
        <v>787</v>
      </c>
      <c r="AH22" t="s">
        <v>787</v>
      </c>
      <c r="AJ22" t="s">
        <v>787</v>
      </c>
      <c r="AK22" t="s">
        <v>787</v>
      </c>
      <c r="AN22" t="s">
        <v>787</v>
      </c>
      <c r="AO22" t="s">
        <v>787</v>
      </c>
      <c r="AP22" t="s">
        <v>787</v>
      </c>
      <c r="AQ22" t="s">
        <v>787</v>
      </c>
      <c r="AR22" t="s">
        <v>787</v>
      </c>
      <c r="AS22" s="337"/>
      <c r="AU22" s="337" t="s">
        <v>796</v>
      </c>
      <c r="AV22" t="s">
        <v>788</v>
      </c>
      <c r="AW22" s="337" t="s">
        <v>787</v>
      </c>
      <c r="AX22" t="s">
        <v>787</v>
      </c>
      <c r="AY22" s="337" t="s">
        <v>799</v>
      </c>
      <c r="BA22" s="337"/>
      <c r="BB22" t="s">
        <v>799</v>
      </c>
      <c r="BC22" s="337" t="s">
        <v>787</v>
      </c>
      <c r="BD22" t="s">
        <v>787</v>
      </c>
      <c r="BE22" s="337" t="s">
        <v>787</v>
      </c>
      <c r="BF22" t="s">
        <v>787</v>
      </c>
      <c r="BI22" t="s">
        <v>787</v>
      </c>
      <c r="BJ22" t="s">
        <v>787</v>
      </c>
    </row>
    <row r="23" spans="1:63">
      <c r="A23" t="s">
        <v>778</v>
      </c>
      <c r="E23" t="s">
        <v>779</v>
      </c>
      <c r="F23" s="156" t="s">
        <v>767</v>
      </c>
      <c r="G23" s="301"/>
      <c r="H23" s="301"/>
      <c r="I23" s="301"/>
      <c r="J23" s="325" t="s">
        <v>785</v>
      </c>
      <c r="K23" t="s">
        <v>786</v>
      </c>
      <c r="N23">
        <v>1</v>
      </c>
      <c r="P23">
        <v>1</v>
      </c>
      <c r="AA23" t="s">
        <v>787</v>
      </c>
      <c r="AB23" t="s">
        <v>787</v>
      </c>
      <c r="AC23" t="s">
        <v>787</v>
      </c>
      <c r="AJ23" t="s">
        <v>787</v>
      </c>
      <c r="AK23" t="s">
        <v>787</v>
      </c>
      <c r="AN23" t="s">
        <v>787</v>
      </c>
      <c r="AO23" t="s">
        <v>787</v>
      </c>
      <c r="AP23" t="s">
        <v>788</v>
      </c>
      <c r="AQ23" t="s">
        <v>787</v>
      </c>
      <c r="AR23" t="s">
        <v>787</v>
      </c>
      <c r="AS23" s="337"/>
      <c r="AU23" s="337" t="s">
        <v>787</v>
      </c>
      <c r="AW23" s="337" t="s">
        <v>787</v>
      </c>
      <c r="AX23" t="s">
        <v>787</v>
      </c>
      <c r="AY23" s="337" t="s">
        <v>799</v>
      </c>
      <c r="BA23" s="337"/>
      <c r="BB23" t="s">
        <v>799</v>
      </c>
      <c r="BC23" s="337" t="s">
        <v>795</v>
      </c>
      <c r="BD23" t="s">
        <v>787</v>
      </c>
      <c r="BE23" s="337" t="s">
        <v>787</v>
      </c>
      <c r="BF23" t="s">
        <v>787</v>
      </c>
      <c r="BI23" t="s">
        <v>787</v>
      </c>
      <c r="BJ23" t="s">
        <v>787</v>
      </c>
      <c r="BK23" t="s">
        <v>787</v>
      </c>
    </row>
    <row r="24" spans="1:63" hidden="1">
      <c r="A24" t="s">
        <v>778</v>
      </c>
      <c r="F24" s="158" t="s">
        <v>771</v>
      </c>
      <c r="G24" s="306"/>
      <c r="H24" s="306"/>
      <c r="I24" s="306"/>
      <c r="J24" s="306"/>
      <c r="K24" t="s">
        <v>781</v>
      </c>
      <c r="W24" s="325"/>
    </row>
    <row r="25" spans="1:63" hidden="1">
      <c r="A25" t="s">
        <v>782</v>
      </c>
      <c r="C25" t="s">
        <v>790</v>
      </c>
      <c r="D25" t="s">
        <v>787</v>
      </c>
      <c r="F25" s="158" t="s">
        <v>554</v>
      </c>
      <c r="G25" s="306"/>
      <c r="H25" s="306"/>
      <c r="I25" s="306"/>
      <c r="J25" s="306"/>
      <c r="K25" t="s">
        <v>781</v>
      </c>
      <c r="W25" s="325"/>
    </row>
    <row r="26" spans="1:63">
      <c r="A26" t="s">
        <v>778</v>
      </c>
      <c r="E26" s="61">
        <v>24</v>
      </c>
      <c r="F26" s="157" t="s">
        <v>768</v>
      </c>
      <c r="G26" s="307">
        <v>245</v>
      </c>
      <c r="H26" s="307">
        <v>124</v>
      </c>
      <c r="I26" s="307"/>
      <c r="J26" s="635" t="s">
        <v>795</v>
      </c>
      <c r="K26" t="s">
        <v>786</v>
      </c>
      <c r="N26">
        <v>1</v>
      </c>
      <c r="V26" t="s">
        <v>787</v>
      </c>
      <c r="W26" s="325"/>
      <c r="AA26" t="s">
        <v>791</v>
      </c>
      <c r="AB26" t="s">
        <v>787</v>
      </c>
      <c r="AC26" t="s">
        <v>787</v>
      </c>
      <c r="AI26" t="s">
        <v>787</v>
      </c>
      <c r="AJ26" t="s">
        <v>787</v>
      </c>
      <c r="AK26" t="s">
        <v>787</v>
      </c>
      <c r="AN26" t="s">
        <v>787</v>
      </c>
      <c r="AO26" t="s">
        <v>787</v>
      </c>
      <c r="AP26" t="s">
        <v>787</v>
      </c>
      <c r="AQ26" t="s">
        <v>801</v>
      </c>
      <c r="AR26" t="s">
        <v>787</v>
      </c>
      <c r="AS26" s="337"/>
      <c r="AU26" s="337" t="s">
        <v>787</v>
      </c>
      <c r="AV26" t="s">
        <v>787</v>
      </c>
      <c r="AW26" s="337" t="s">
        <v>787</v>
      </c>
      <c r="AX26" t="s">
        <v>787</v>
      </c>
      <c r="AY26" s="337" t="s">
        <v>799</v>
      </c>
      <c r="BA26" s="337"/>
      <c r="BB26" t="s">
        <v>787</v>
      </c>
      <c r="BC26" s="337" t="s">
        <v>787</v>
      </c>
      <c r="BD26" t="s">
        <v>787</v>
      </c>
      <c r="BE26" s="337" t="s">
        <v>788</v>
      </c>
      <c r="BF26" t="s">
        <v>787</v>
      </c>
      <c r="BI26" t="s">
        <v>787</v>
      </c>
      <c r="BK26" t="s">
        <v>787</v>
      </c>
    </row>
    <row r="27" spans="1:63" hidden="1">
      <c r="F27" t="s">
        <v>802</v>
      </c>
      <c r="K27" t="s">
        <v>781</v>
      </c>
      <c r="W27" s="325"/>
    </row>
    <row r="28" spans="1:63">
      <c r="F28" t="s">
        <v>803</v>
      </c>
      <c r="K28" t="s">
        <v>786</v>
      </c>
      <c r="W28" s="325"/>
      <c r="AA28" t="s">
        <v>787</v>
      </c>
      <c r="AB28" t="s">
        <v>787</v>
      </c>
      <c r="AO28" t="s">
        <v>787</v>
      </c>
      <c r="AR28" t="s">
        <v>787</v>
      </c>
      <c r="AU28" t="s">
        <v>787</v>
      </c>
      <c r="AV28" t="s">
        <v>787</v>
      </c>
      <c r="AW28" t="s">
        <v>787</v>
      </c>
      <c r="AX28" t="s">
        <v>787</v>
      </c>
      <c r="AY28" s="337" t="s">
        <v>799</v>
      </c>
      <c r="BB28" t="s">
        <v>787</v>
      </c>
      <c r="BC28" s="337" t="s">
        <v>787</v>
      </c>
      <c r="BD28" t="s">
        <v>787</v>
      </c>
      <c r="BE28" t="s">
        <v>787</v>
      </c>
      <c r="BF28" t="s">
        <v>787</v>
      </c>
      <c r="BI28" t="s">
        <v>787</v>
      </c>
      <c r="BJ28" t="s">
        <v>787</v>
      </c>
      <c r="BK28" t="s">
        <v>787</v>
      </c>
    </row>
    <row r="29" spans="1:63" hidden="1">
      <c r="F29" t="s">
        <v>804</v>
      </c>
      <c r="K29" t="s">
        <v>781</v>
      </c>
      <c r="W29" s="325"/>
    </row>
    <row r="30" spans="1:63">
      <c r="W30" s="325"/>
    </row>
    <row r="31" spans="1:63">
      <c r="W31" s="325"/>
    </row>
    <row r="32" spans="1:63">
      <c r="W32" s="325"/>
    </row>
    <row r="33" spans="23:23">
      <c r="W33" s="325"/>
    </row>
    <row r="34" spans="23:23">
      <c r="W34" s="325"/>
    </row>
    <row r="35" spans="23:23">
      <c r="W35" s="325"/>
    </row>
    <row r="36" spans="23:23">
      <c r="W36" s="325"/>
    </row>
    <row r="37" spans="23:23">
      <c r="W37" s="351"/>
    </row>
    <row r="38" spans="23:23">
      <c r="W38" s="325"/>
    </row>
    <row r="39" spans="23:23">
      <c r="W39" s="351"/>
    </row>
    <row r="40" spans="23:23">
      <c r="W40" s="325"/>
    </row>
    <row r="41" spans="23:23">
      <c r="W41" s="325"/>
    </row>
    <row r="42" spans="23:23">
      <c r="W42" s="351"/>
    </row>
    <row r="43" spans="23:23">
      <c r="W43" s="325"/>
    </row>
    <row r="44" spans="23:23">
      <c r="W44" s="325"/>
    </row>
    <row r="45" spans="23:23">
      <c r="W45" s="351"/>
    </row>
    <row r="46" spans="23:23">
      <c r="W46" s="351"/>
    </row>
    <row r="47" spans="23:23">
      <c r="W47" s="325"/>
    </row>
    <row r="48" spans="23:23">
      <c r="W48" s="351"/>
    </row>
    <row r="49" spans="23:23">
      <c r="W49" s="351"/>
    </row>
    <row r="50" spans="23:23">
      <c r="W50" s="351"/>
    </row>
  </sheetData>
  <autoFilter ref="A1:BT29" xr:uid="{69A0F35E-6179-44B9-8F2C-94A3DFC3FA58}">
    <filterColumn colId="10">
      <filters>
        <filter val="Nileema"/>
      </filters>
    </filterColumn>
  </autoFilter>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D8187-0AD3-4307-B835-DE841C56E0E0}">
  <dimension ref="E3:M39"/>
  <sheetViews>
    <sheetView topLeftCell="A27" workbookViewId="0">
      <selection activeCell="F47" sqref="F47"/>
    </sheetView>
  </sheetViews>
  <sheetFormatPr defaultRowHeight="14.45"/>
  <cols>
    <col min="6" max="6" width="35.5703125" customWidth="1"/>
    <col min="7" max="7" width="13.140625" bestFit="1" customWidth="1"/>
    <col min="11" max="11" width="24.42578125" customWidth="1"/>
  </cols>
  <sheetData>
    <row r="3" spans="5:7">
      <c r="E3" s="182" t="s">
        <v>805</v>
      </c>
    </row>
    <row r="4" spans="5:7">
      <c r="E4" s="183" t="s">
        <v>806</v>
      </c>
      <c r="F4" s="184" t="s">
        <v>807</v>
      </c>
      <c r="G4" s="184" t="s">
        <v>808</v>
      </c>
    </row>
    <row r="5" spans="5:7">
      <c r="E5" s="642" t="s">
        <v>809</v>
      </c>
      <c r="F5" s="185" t="s">
        <v>810</v>
      </c>
      <c r="G5" s="645">
        <v>60</v>
      </c>
    </row>
    <row r="6" spans="5:7">
      <c r="E6" s="643"/>
      <c r="F6" s="185" t="s">
        <v>811</v>
      </c>
      <c r="G6" s="646"/>
    </row>
    <row r="7" spans="5:7">
      <c r="E7" s="643"/>
      <c r="F7" s="185" t="s">
        <v>812</v>
      </c>
      <c r="G7" s="645">
        <v>20</v>
      </c>
    </row>
    <row r="8" spans="5:7">
      <c r="E8" s="643"/>
      <c r="F8" s="185" t="s">
        <v>813</v>
      </c>
      <c r="G8" s="647"/>
    </row>
    <row r="9" spans="5:7">
      <c r="E9" s="643"/>
      <c r="F9" s="185" t="s">
        <v>814</v>
      </c>
      <c r="G9" s="647"/>
    </row>
    <row r="10" spans="5:7">
      <c r="E10" s="643"/>
      <c r="F10" s="185" t="s">
        <v>815</v>
      </c>
      <c r="G10" s="646"/>
    </row>
    <row r="11" spans="5:7">
      <c r="E11" s="643"/>
      <c r="F11" s="185" t="s">
        <v>816</v>
      </c>
      <c r="G11" s="186">
        <v>5</v>
      </c>
    </row>
    <row r="12" spans="5:7">
      <c r="E12" s="643"/>
      <c r="F12" s="185" t="s">
        <v>817</v>
      </c>
      <c r="G12" s="186">
        <v>5</v>
      </c>
    </row>
    <row r="13" spans="5:7">
      <c r="E13" s="643"/>
      <c r="F13" s="185" t="s">
        <v>818</v>
      </c>
      <c r="G13" s="186">
        <v>7</v>
      </c>
    </row>
    <row r="14" spans="5:7">
      <c r="E14" s="643"/>
      <c r="F14" s="185" t="s">
        <v>819</v>
      </c>
      <c r="G14" s="186">
        <v>1</v>
      </c>
    </row>
    <row r="15" spans="5:7">
      <c r="E15" s="643"/>
      <c r="F15" s="185" t="s">
        <v>820</v>
      </c>
      <c r="G15" s="186">
        <v>1</v>
      </c>
    </row>
    <row r="16" spans="5:7">
      <c r="E16" s="644"/>
      <c r="F16" s="185" t="s">
        <v>821</v>
      </c>
      <c r="G16" s="186">
        <v>1</v>
      </c>
    </row>
    <row r="17" spans="5:13">
      <c r="E17" s="187"/>
      <c r="F17" s="185"/>
      <c r="G17" s="188">
        <v>100</v>
      </c>
    </row>
    <row r="18" spans="5:13">
      <c r="E18" s="189"/>
    </row>
    <row r="19" spans="5:13">
      <c r="E19" t="s">
        <v>822</v>
      </c>
      <c r="K19" s="648" t="s">
        <v>823</v>
      </c>
      <c r="L19" s="648"/>
      <c r="M19" s="648"/>
    </row>
    <row r="20" spans="5:13" ht="51.95">
      <c r="E20" s="190"/>
      <c r="F20" s="191"/>
      <c r="G20" s="192" t="s">
        <v>824</v>
      </c>
      <c r="H20" s="193" t="s">
        <v>825</v>
      </c>
      <c r="K20" s="140" t="s">
        <v>826</v>
      </c>
      <c r="L20" s="140"/>
      <c r="M20" s="62"/>
    </row>
    <row r="21" spans="5:13" ht="43.5">
      <c r="E21" s="194" t="s">
        <v>806</v>
      </c>
      <c r="F21" s="195" t="s">
        <v>807</v>
      </c>
      <c r="G21" s="195" t="s">
        <v>808</v>
      </c>
      <c r="H21" s="195" t="s">
        <v>808</v>
      </c>
      <c r="K21" s="140" t="s">
        <v>827</v>
      </c>
      <c r="L21" s="140"/>
      <c r="M21" s="62"/>
    </row>
    <row r="22" spans="5:13" ht="29.1">
      <c r="E22" s="649" t="s">
        <v>828</v>
      </c>
      <c r="F22" s="196" t="s">
        <v>829</v>
      </c>
      <c r="G22" s="197">
        <v>5</v>
      </c>
      <c r="H22" s="197">
        <v>5</v>
      </c>
      <c r="K22" s="140" t="s">
        <v>830</v>
      </c>
      <c r="L22" s="140"/>
      <c r="M22" s="62"/>
    </row>
    <row r="23" spans="5:13" ht="29.1">
      <c r="E23" s="650"/>
      <c r="F23" s="196" t="s">
        <v>831</v>
      </c>
      <c r="G23" s="197">
        <v>1</v>
      </c>
      <c r="H23" s="197">
        <v>1</v>
      </c>
      <c r="K23" s="140" t="s">
        <v>832</v>
      </c>
      <c r="L23" s="140"/>
      <c r="M23" s="62"/>
    </row>
    <row r="24" spans="5:13">
      <c r="E24" s="650"/>
      <c r="F24" s="196" t="s">
        <v>833</v>
      </c>
      <c r="G24" s="197">
        <v>5</v>
      </c>
      <c r="H24" s="197">
        <v>10</v>
      </c>
      <c r="K24" s="140" t="s">
        <v>834</v>
      </c>
      <c r="L24" s="140"/>
      <c r="M24" s="62"/>
    </row>
    <row r="25" spans="5:13" ht="39">
      <c r="E25" s="650"/>
      <c r="F25" s="198" t="s">
        <v>835</v>
      </c>
      <c r="G25" s="197">
        <v>20</v>
      </c>
      <c r="H25" s="197">
        <v>20</v>
      </c>
      <c r="K25" s="140" t="s">
        <v>836</v>
      </c>
      <c r="L25" s="140"/>
      <c r="M25" s="62"/>
    </row>
    <row r="26" spans="5:13" ht="39">
      <c r="E26" s="650"/>
      <c r="F26" s="198" t="s">
        <v>837</v>
      </c>
      <c r="G26" s="197">
        <v>10</v>
      </c>
      <c r="H26" s="197">
        <v>10</v>
      </c>
      <c r="K26" s="140" t="s">
        <v>838</v>
      </c>
      <c r="L26" s="140"/>
      <c r="M26" s="62"/>
    </row>
    <row r="27" spans="5:13" ht="26.1">
      <c r="E27" s="650"/>
      <c r="F27" s="198" t="s">
        <v>839</v>
      </c>
      <c r="G27" s="199">
        <v>0</v>
      </c>
      <c r="H27" s="197">
        <v>2</v>
      </c>
      <c r="K27" s="140" t="s">
        <v>840</v>
      </c>
      <c r="L27" s="140"/>
      <c r="M27" s="62"/>
    </row>
    <row r="28" spans="5:13">
      <c r="E28" s="650"/>
      <c r="F28" s="198" t="s">
        <v>841</v>
      </c>
      <c r="G28" s="197">
        <v>20</v>
      </c>
      <c r="H28" s="197">
        <v>20</v>
      </c>
      <c r="K28" s="200" t="s">
        <v>842</v>
      </c>
      <c r="L28" s="140"/>
      <c r="M28" s="62"/>
    </row>
    <row r="29" spans="5:13" ht="26.1">
      <c r="E29" s="650"/>
      <c r="F29" s="198" t="s">
        <v>843</v>
      </c>
      <c r="G29" s="197">
        <v>10</v>
      </c>
      <c r="H29" s="197">
        <v>10</v>
      </c>
      <c r="K29" s="140" t="s">
        <v>844</v>
      </c>
      <c r="L29" s="140"/>
      <c r="M29" s="62"/>
    </row>
    <row r="30" spans="5:13" ht="26.1">
      <c r="E30" s="650"/>
      <c r="F30" s="198" t="s">
        <v>845</v>
      </c>
      <c r="G30" s="197">
        <v>0.5</v>
      </c>
      <c r="H30" s="197">
        <v>0.5</v>
      </c>
      <c r="K30" s="140" t="s">
        <v>846</v>
      </c>
      <c r="L30" s="140"/>
      <c r="M30" s="62"/>
    </row>
    <row r="31" spans="5:13">
      <c r="E31" s="650"/>
      <c r="F31" s="198" t="s">
        <v>847</v>
      </c>
      <c r="G31" s="197">
        <v>2</v>
      </c>
      <c r="H31" s="197">
        <v>1</v>
      </c>
      <c r="K31" s="140" t="s">
        <v>848</v>
      </c>
      <c r="L31" s="140"/>
      <c r="M31" s="62"/>
    </row>
    <row r="32" spans="5:13">
      <c r="E32" s="650"/>
      <c r="F32" s="198" t="s">
        <v>849</v>
      </c>
      <c r="G32" s="197">
        <v>3</v>
      </c>
      <c r="H32" s="197">
        <v>3</v>
      </c>
      <c r="K32" s="140" t="s">
        <v>850</v>
      </c>
      <c r="L32" s="140"/>
      <c r="M32" s="62"/>
    </row>
    <row r="33" spans="5:13">
      <c r="E33" s="650"/>
      <c r="F33" s="198" t="s">
        <v>851</v>
      </c>
      <c r="G33" s="197">
        <v>10</v>
      </c>
      <c r="H33" s="197">
        <v>10</v>
      </c>
      <c r="K33" s="140" t="s">
        <v>852</v>
      </c>
      <c r="L33" s="140"/>
      <c r="M33" s="62"/>
    </row>
    <row r="34" spans="5:13">
      <c r="E34" s="650"/>
      <c r="F34" s="198" t="s">
        <v>853</v>
      </c>
      <c r="G34" s="197">
        <v>5</v>
      </c>
      <c r="H34" s="197">
        <v>2</v>
      </c>
      <c r="K34" s="140" t="s">
        <v>854</v>
      </c>
      <c r="L34" s="140"/>
      <c r="M34" s="62"/>
    </row>
    <row r="35" spans="5:13">
      <c r="E35" s="650"/>
      <c r="F35" s="198" t="s">
        <v>855</v>
      </c>
      <c r="G35" s="197">
        <v>5</v>
      </c>
      <c r="H35" s="197">
        <v>2</v>
      </c>
      <c r="K35" s="140" t="s">
        <v>856</v>
      </c>
      <c r="L35" s="140"/>
      <c r="M35" s="62"/>
    </row>
    <row r="36" spans="5:13">
      <c r="E36" s="651"/>
      <c r="F36" s="198" t="s">
        <v>857</v>
      </c>
      <c r="G36" s="197">
        <v>2</v>
      </c>
      <c r="H36" s="197">
        <v>2</v>
      </c>
      <c r="K36" s="200" t="s">
        <v>858</v>
      </c>
      <c r="L36" s="140"/>
      <c r="M36" s="62"/>
    </row>
    <row r="37" spans="5:13" ht="29.1">
      <c r="E37" s="201"/>
      <c r="F37" s="198" t="s">
        <v>859</v>
      </c>
      <c r="G37" s="197">
        <v>1</v>
      </c>
      <c r="H37" s="197">
        <v>1</v>
      </c>
      <c r="K37" s="200" t="s">
        <v>860</v>
      </c>
      <c r="L37" s="140"/>
      <c r="M37" s="62"/>
    </row>
    <row r="38" spans="5:13">
      <c r="E38" s="201"/>
      <c r="F38" s="196" t="s">
        <v>861</v>
      </c>
      <c r="G38" s="197">
        <v>0.5</v>
      </c>
      <c r="H38" s="197">
        <v>0.5</v>
      </c>
      <c r="K38" s="200" t="s">
        <v>858</v>
      </c>
      <c r="L38" s="140"/>
      <c r="M38" s="62"/>
    </row>
    <row r="39" spans="5:13">
      <c r="E39" s="201"/>
      <c r="F39" s="196"/>
      <c r="G39" s="202">
        <v>100</v>
      </c>
      <c r="H39" s="202">
        <v>100</v>
      </c>
    </row>
  </sheetData>
  <mergeCells count="5">
    <mergeCell ref="E5:E16"/>
    <mergeCell ref="G5:G6"/>
    <mergeCell ref="G7:G10"/>
    <mergeCell ref="K19:M19"/>
    <mergeCell ref="E22:E3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Right="0"/>
  </sheetPr>
  <dimension ref="A1:CK259"/>
  <sheetViews>
    <sheetView tabSelected="1" view="pageBreakPreview" zoomScale="60" zoomScaleNormal="48" workbookViewId="0">
      <selection activeCell="F2" sqref="F2"/>
    </sheetView>
  </sheetViews>
  <sheetFormatPr defaultColWidth="11.42578125" defaultRowHeight="15" customHeight="1" outlineLevelCol="1"/>
  <cols>
    <col min="1" max="1" width="13.5703125" style="22" customWidth="1"/>
    <col min="2" max="4" width="11.42578125" style="25" customWidth="1"/>
    <col min="5" max="7" width="11.42578125" style="22" customWidth="1"/>
    <col min="8" max="8" width="13.7109375" style="30" bestFit="1" customWidth="1"/>
    <col min="9" max="9" width="17.42578125" style="24" customWidth="1"/>
    <col min="10" max="10" width="35.7109375" style="22" customWidth="1"/>
    <col min="11" max="13" width="11.42578125" style="22" customWidth="1"/>
    <col min="14" max="14" width="37.5703125" style="22" customWidth="1"/>
    <col min="15" max="15" width="11.42578125" style="28" customWidth="1"/>
    <col min="16" max="17" width="11.140625" style="28" hidden="1" customWidth="1"/>
    <col min="18" max="18" width="17.42578125" style="28" hidden="1" customWidth="1"/>
    <col min="19" max="19" width="17.28515625" style="28" hidden="1" customWidth="1"/>
    <col min="20" max="20" width="14.42578125" style="28" hidden="1" customWidth="1"/>
    <col min="21" max="21" width="18.42578125" style="22" hidden="1" customWidth="1"/>
    <col min="22" max="22" width="14.42578125" style="22" hidden="1" customWidth="1" collapsed="1"/>
    <col min="23" max="23" width="26.42578125" style="22" hidden="1" customWidth="1"/>
    <col min="24" max="24" width="12.42578125" style="22" hidden="1" customWidth="1"/>
    <col min="25" max="25" width="13.42578125" style="22" hidden="1" customWidth="1"/>
    <col min="26" max="26" width="12.5703125" style="22" hidden="1" customWidth="1"/>
    <col min="27" max="27" width="11.42578125" style="22" hidden="1" customWidth="1"/>
    <col min="28" max="28" width="44.42578125" style="29" hidden="1" customWidth="1"/>
    <col min="29" max="29" width="22.140625" style="22" hidden="1" customWidth="1" outlineLevel="1"/>
    <col min="30" max="30" width="12" style="22" hidden="1" customWidth="1" outlineLevel="1"/>
    <col min="31" max="31" width="16.140625" style="25" hidden="1" customWidth="1" outlineLevel="1"/>
    <col min="32" max="32" width="20.5703125" style="31" hidden="1" customWidth="1" outlineLevel="1"/>
    <col min="33" max="33" width="13.7109375" style="31" customWidth="1" outlineLevel="1"/>
    <col min="34" max="34" width="12.7109375" style="22" hidden="1" customWidth="1" outlineLevel="1"/>
    <col min="35" max="35" width="11.42578125" style="22" hidden="1" customWidth="1" outlineLevel="1"/>
    <col min="36" max="36" width="12" style="26" hidden="1" customWidth="1" outlineLevel="1"/>
    <col min="37" max="37" width="13" style="22" hidden="1" customWidth="1" outlineLevel="1"/>
    <col min="38" max="38" width="21.5703125" style="22" hidden="1" customWidth="1" outlineLevel="1"/>
    <col min="39" max="39" width="14.85546875" style="27" hidden="1" customWidth="1"/>
    <col min="40" max="40" width="0.140625" style="27" customWidth="1"/>
    <col min="41" max="41" width="13.85546875" style="27" customWidth="1"/>
    <col min="42" max="42" width="22.140625" style="22" hidden="1" customWidth="1"/>
    <col min="43" max="43" width="22.85546875" style="25" hidden="1" customWidth="1"/>
    <col min="44" max="44" width="17.5703125" style="25" hidden="1" customWidth="1"/>
    <col min="45" max="45" width="13.28515625" style="27" customWidth="1"/>
    <col min="46" max="47" width="11.42578125" style="26" customWidth="1"/>
    <col min="48" max="49" width="11.42578125" style="22" hidden="1" customWidth="1"/>
    <col min="50" max="51" width="11.42578125" style="22" customWidth="1"/>
    <col min="52" max="54" width="11.42578125" style="22" hidden="1" customWidth="1"/>
    <col min="55" max="55" width="11.42578125" style="22" hidden="1" customWidth="1" collapsed="1"/>
    <col min="56" max="60" width="11.42578125" style="28" hidden="1" customWidth="1" outlineLevel="1"/>
    <col min="61" max="61" width="11.42578125" style="28" hidden="1" customWidth="1" collapsed="1"/>
    <col min="62" max="64" width="11.42578125" style="28" hidden="1" customWidth="1" outlineLevel="1"/>
    <col min="65" max="65" width="11.42578125" style="32" hidden="1" customWidth="1" outlineLevel="1"/>
    <col min="66" max="66" width="11.42578125" style="22" hidden="1" customWidth="1"/>
    <col min="67" max="69" width="11.42578125" style="25" hidden="1" customWidth="1"/>
    <col min="70" max="70" width="11.42578125" style="22" hidden="1" customWidth="1"/>
    <col min="71" max="71" width="11.42578125" style="27" hidden="1" customWidth="1"/>
    <col min="72" max="72" width="11.42578125" style="22" hidden="1" customWidth="1"/>
    <col min="73" max="73" width="11.42578125" style="27" hidden="1" customWidth="1"/>
    <col min="74" max="78" width="11.42578125" style="22" hidden="1" customWidth="1"/>
    <col min="79" max="79" width="11.42578125" style="23" hidden="1" customWidth="1"/>
    <col min="80" max="80" width="11.42578125" style="105" customWidth="1"/>
    <col min="81" max="81" width="11.42578125" style="103" customWidth="1"/>
    <col min="82" max="88" width="11.42578125" style="23" customWidth="1"/>
    <col min="89" max="16384" width="11.42578125" style="23"/>
  </cols>
  <sheetData>
    <row r="1" spans="1:89" s="30" customFormat="1" ht="57.95" customHeight="1">
      <c r="A1" s="64" t="s">
        <v>0</v>
      </c>
      <c r="B1" s="66" t="s">
        <v>1</v>
      </c>
      <c r="C1" s="66" t="s">
        <v>2</v>
      </c>
      <c r="D1" s="67" t="s">
        <v>3</v>
      </c>
      <c r="E1" s="68" t="s">
        <v>4</v>
      </c>
      <c r="F1" s="65" t="s">
        <v>5</v>
      </c>
      <c r="G1" s="69" t="s">
        <v>6</v>
      </c>
      <c r="H1" s="65" t="s">
        <v>7</v>
      </c>
      <c r="I1" s="70" t="s">
        <v>8</v>
      </c>
      <c r="J1" s="71" t="s">
        <v>9</v>
      </c>
      <c r="K1" s="72" t="s">
        <v>10</v>
      </c>
      <c r="L1" s="73" t="s">
        <v>11</v>
      </c>
      <c r="M1" s="74" t="s">
        <v>12</v>
      </c>
      <c r="N1" s="75" t="s">
        <v>13</v>
      </c>
      <c r="O1" s="76" t="s">
        <v>14</v>
      </c>
      <c r="P1" s="67" t="s">
        <v>15</v>
      </c>
      <c r="Q1" s="67" t="s">
        <v>16</v>
      </c>
      <c r="R1" s="67" t="s">
        <v>17</v>
      </c>
      <c r="S1" s="67" t="s">
        <v>18</v>
      </c>
      <c r="T1" s="67" t="s">
        <v>19</v>
      </c>
      <c r="U1" s="76" t="s">
        <v>20</v>
      </c>
      <c r="V1" s="76" t="s">
        <v>21</v>
      </c>
      <c r="W1" s="76" t="s">
        <v>22</v>
      </c>
      <c r="X1" s="76" t="s">
        <v>23</v>
      </c>
      <c r="Y1" s="77" t="s">
        <v>24</v>
      </c>
      <c r="Z1" s="78" t="s">
        <v>25</v>
      </c>
      <c r="AA1" s="79" t="s">
        <v>26</v>
      </c>
      <c r="AB1" s="80" t="s">
        <v>27</v>
      </c>
      <c r="AC1" s="65" t="s">
        <v>28</v>
      </c>
      <c r="AD1" s="65" t="s">
        <v>29</v>
      </c>
      <c r="AE1" s="81" t="s">
        <v>30</v>
      </c>
      <c r="AF1" s="82" t="s">
        <v>31</v>
      </c>
      <c r="AG1" s="83" t="s">
        <v>32</v>
      </c>
      <c r="AH1" s="83" t="s">
        <v>33</v>
      </c>
      <c r="AI1" s="69" t="s">
        <v>34</v>
      </c>
      <c r="AJ1" s="80" t="s">
        <v>35</v>
      </c>
      <c r="AK1" s="65" t="s">
        <v>36</v>
      </c>
      <c r="AL1" s="65" t="s">
        <v>37</v>
      </c>
      <c r="AM1" s="84" t="s">
        <v>38</v>
      </c>
      <c r="AN1" s="85" t="s">
        <v>39</v>
      </c>
      <c r="AO1" s="85" t="s">
        <v>40</v>
      </c>
      <c r="AP1" s="86" t="s">
        <v>41</v>
      </c>
      <c r="AQ1" s="87" t="s">
        <v>42</v>
      </c>
      <c r="AR1" s="87" t="s">
        <v>43</v>
      </c>
      <c r="AS1" s="85" t="s">
        <v>44</v>
      </c>
      <c r="AT1" s="85" t="s">
        <v>45</v>
      </c>
      <c r="AU1" s="85" t="s">
        <v>46</v>
      </c>
      <c r="AV1" s="76" t="s">
        <v>47</v>
      </c>
      <c r="AW1" s="88" t="s">
        <v>48</v>
      </c>
      <c r="AX1" s="89" t="s">
        <v>49</v>
      </c>
      <c r="AY1" s="71" t="s">
        <v>50</v>
      </c>
      <c r="AZ1" s="75" t="s">
        <v>51</v>
      </c>
      <c r="BA1" s="75" t="s">
        <v>52</v>
      </c>
      <c r="BB1" s="90" t="s">
        <v>53</v>
      </c>
      <c r="BC1" s="90" t="s">
        <v>54</v>
      </c>
      <c r="BD1" s="91" t="s">
        <v>55</v>
      </c>
      <c r="BE1" s="91" t="s">
        <v>56</v>
      </c>
      <c r="BF1" s="91" t="s">
        <v>57</v>
      </c>
      <c r="BG1" s="91" t="s">
        <v>58</v>
      </c>
      <c r="BH1" s="91" t="s">
        <v>59</v>
      </c>
      <c r="BI1" s="92" t="s">
        <v>60</v>
      </c>
      <c r="BJ1" s="91" t="s">
        <v>61</v>
      </c>
      <c r="BK1" s="91" t="s">
        <v>62</v>
      </c>
      <c r="BL1" s="91" t="s">
        <v>63</v>
      </c>
      <c r="BM1" s="91" t="s">
        <v>64</v>
      </c>
      <c r="BN1" s="91" t="s">
        <v>65</v>
      </c>
      <c r="BO1" s="91" t="s">
        <v>66</v>
      </c>
      <c r="BP1" s="91" t="s">
        <v>67</v>
      </c>
      <c r="BQ1" s="91" t="s">
        <v>68</v>
      </c>
      <c r="BR1" s="91" t="s">
        <v>69</v>
      </c>
      <c r="BS1" s="91" t="s">
        <v>70</v>
      </c>
      <c r="BT1" s="91" t="s">
        <v>71</v>
      </c>
      <c r="BU1" s="91" t="s">
        <v>72</v>
      </c>
      <c r="BV1" s="91" t="s">
        <v>73</v>
      </c>
      <c r="BW1" s="91" t="s">
        <v>74</v>
      </c>
      <c r="BX1" s="91" t="s">
        <v>75</v>
      </c>
      <c r="BY1" s="91" t="s">
        <v>76</v>
      </c>
      <c r="BZ1" s="91" t="s">
        <v>77</v>
      </c>
      <c r="CA1" s="91" t="s">
        <v>78</v>
      </c>
      <c r="CB1" s="104" t="s">
        <v>79</v>
      </c>
      <c r="CC1" s="102" t="s">
        <v>80</v>
      </c>
      <c r="CD1" s="91" t="s">
        <v>81</v>
      </c>
      <c r="CE1" s="91" t="s">
        <v>82</v>
      </c>
      <c r="CF1" s="91" t="s">
        <v>83</v>
      </c>
      <c r="CG1" s="91" t="s">
        <v>84</v>
      </c>
      <c r="CH1" s="91" t="s">
        <v>85</v>
      </c>
      <c r="CI1" s="91" t="s">
        <v>86</v>
      </c>
      <c r="CJ1" s="91" t="s">
        <v>87</v>
      </c>
      <c r="CK1" s="102" t="s">
        <v>862</v>
      </c>
    </row>
    <row r="2" spans="1:89" ht="188.45">
      <c r="A2" s="106" t="s">
        <v>863</v>
      </c>
      <c r="B2" s="107">
        <f>7+7+6+6+6.5+8+8+8</f>
        <v>56.5</v>
      </c>
      <c r="C2" s="49">
        <v>250</v>
      </c>
      <c r="D2" s="107">
        <f>Tracker[[#This Row],[Estimated Hrs]]-Tracker[[#This Row],[Actual Efforts (Hrs)]]</f>
        <v>193.5</v>
      </c>
      <c r="E2" s="108"/>
      <c r="F2" s="108"/>
      <c r="G2" s="108"/>
      <c r="H2" s="109">
        <v>19758513</v>
      </c>
      <c r="I2" s="109">
        <f>Tracker[[#This Row],[DCR ID - PTC]]</f>
        <v>19758513</v>
      </c>
      <c r="J2" s="108" t="s">
        <v>864</v>
      </c>
      <c r="K2" s="108" t="s">
        <v>118</v>
      </c>
      <c r="L2" s="108"/>
      <c r="M2" s="108"/>
      <c r="N2" s="108" t="s">
        <v>865</v>
      </c>
      <c r="O2" s="111" t="s">
        <v>115</v>
      </c>
      <c r="P2" s="111"/>
      <c r="Q2" s="111"/>
      <c r="R2" s="111"/>
      <c r="S2" s="111"/>
      <c r="T2" s="111"/>
      <c r="U2" s="108"/>
      <c r="V2" s="108"/>
      <c r="W2" s="108"/>
      <c r="X2" s="108">
        <f t="shared" ref="X2:X65" si="0">4+8+8+8+10+0.25+0.15+2</f>
        <v>40.4</v>
      </c>
      <c r="Y2" s="108"/>
      <c r="Z2" s="108"/>
      <c r="AA2" s="108"/>
      <c r="AB2" s="112"/>
      <c r="AC2" s="108"/>
      <c r="AD2" s="108"/>
      <c r="AE2" s="107"/>
      <c r="AF2" s="113"/>
      <c r="AG2" s="115"/>
      <c r="AH2" s="108"/>
      <c r="AI2" s="108"/>
      <c r="AJ2" s="114"/>
      <c r="AK2" s="108"/>
      <c r="AL2" s="115"/>
      <c r="AM2" s="116"/>
      <c r="AN2" s="116"/>
      <c r="AO2" s="546"/>
      <c r="AP2" s="108"/>
      <c r="AQ2" s="107"/>
      <c r="AR2" s="107"/>
      <c r="AS2" s="116"/>
      <c r="AT2" s="114">
        <f t="shared" ref="AT2:AT65" si="1">4+8+8+8+10+0.25+0.15+2</f>
        <v>40.4</v>
      </c>
      <c r="AU2" s="114"/>
      <c r="AV2" s="108"/>
      <c r="AW2" s="108"/>
      <c r="AX2" s="108"/>
      <c r="AY2" s="108"/>
      <c r="AZ2" s="108"/>
      <c r="BA2" s="108"/>
      <c r="BB2" s="108"/>
      <c r="BC2" s="108"/>
      <c r="BD2" s="111"/>
      <c r="BE2" s="111">
        <f t="shared" ref="BE2:BE65" si="2">4+8+8+8+10+0.25+0.15+2</f>
        <v>40.4</v>
      </c>
      <c r="BF2" s="111"/>
      <c r="BG2" s="111"/>
      <c r="BH2" s="111"/>
      <c r="BI2" s="111"/>
      <c r="BJ2" s="111"/>
      <c r="BK2" s="111"/>
      <c r="BL2" s="111"/>
      <c r="BM2" s="117"/>
      <c r="BN2" s="111"/>
      <c r="BO2" s="117"/>
      <c r="BP2" s="117">
        <f t="shared" ref="BP2:BP65" si="3">4+8+8+8+10+0.25+0.15+2</f>
        <v>40.4</v>
      </c>
      <c r="BQ2" s="117"/>
      <c r="BR2" s="111"/>
      <c r="BS2" s="118"/>
      <c r="BT2" s="111"/>
      <c r="BU2" s="118"/>
      <c r="BV2" s="111"/>
      <c r="BW2" s="111"/>
      <c r="BX2" s="111"/>
      <c r="BY2" s="111"/>
      <c r="BZ2" s="111"/>
      <c r="CA2" s="111">
        <f t="shared" ref="CA2:CA65" si="4">4+8+8+8+10+0.25+0.15+2</f>
        <v>40.4</v>
      </c>
      <c r="CB2" s="119"/>
      <c r="CC2" s="117"/>
      <c r="CD2" s="120"/>
      <c r="CE2" s="120"/>
      <c r="CF2" s="120"/>
      <c r="CG2" s="123"/>
      <c r="CH2" s="120"/>
      <c r="CI2" s="120"/>
      <c r="CJ2" s="123"/>
      <c r="CK2" s="132"/>
    </row>
    <row r="3" spans="1:89" ht="377.1">
      <c r="A3" s="106" t="s">
        <v>623</v>
      </c>
      <c r="B3" s="107">
        <v>0</v>
      </c>
      <c r="C3" s="49">
        <v>0</v>
      </c>
      <c r="D3" s="107">
        <f>Tracker[[#This Row],[Estimated Hrs]]-Tracker[[#This Row],[Actual Efforts (Hrs)]]</f>
        <v>0</v>
      </c>
      <c r="E3" s="108"/>
      <c r="F3" s="108"/>
      <c r="G3" s="121"/>
      <c r="H3" s="151">
        <v>17808035</v>
      </c>
      <c r="I3" s="109">
        <f>Tracker[[#This Row],[DCR ID - PTC]]</f>
        <v>17808035</v>
      </c>
      <c r="J3" s="108" t="s">
        <v>552</v>
      </c>
      <c r="K3" s="108" t="s">
        <v>101</v>
      </c>
      <c r="L3" s="108"/>
      <c r="M3" s="108"/>
      <c r="N3" s="116" t="str">
        <f>N5</f>
        <v>15-06 : Bench testing for OBD Arbitration issue and discussion with Snehal
12-06  :Analysis for DOC arbitration issue
10-06 : worked on data analysis and discusison.
09-06 : Testing issue analysis, its discussions and testing logs analysis
08-06  : action item is closed and Ms4-5 is passed
04-06 : action item closure waiting inputs from Mayra
03-06 : working on 2nd action items
01-06 : IPD Bench testing: Plotting completed &amp; Presentation updated. Attended OBD Forum. Closed 1st AI . For 2nd AI need to show plots to Kareeshma as the AI was given by her. Need to appear forum on this Friday again Time spent
29-05  : working on PPT and plotting
28-05 : Testing is completed, forum review plan today
27-05 : working on testing. 
26-05 : Testing in progress
22-05 : Testing to be inititiated for code
13-05 : Awaiting reply from Edger
08-05 : 2 code 1 action items</v>
      </c>
      <c r="O3" s="111"/>
      <c r="P3" s="111"/>
      <c r="Q3" s="111"/>
      <c r="R3" s="111"/>
      <c r="S3" s="111"/>
      <c r="T3" s="111"/>
      <c r="U3" s="108"/>
      <c r="V3" s="108"/>
      <c r="W3" s="108"/>
      <c r="X3" s="108">
        <f t="shared" si="0"/>
        <v>40.4</v>
      </c>
      <c r="Y3" s="108"/>
      <c r="Z3" s="108"/>
      <c r="AA3" s="108" t="s">
        <v>253</v>
      </c>
      <c r="AB3" s="112"/>
      <c r="AC3" s="108"/>
      <c r="AD3" s="108" t="s">
        <v>93</v>
      </c>
      <c r="AE3" s="107"/>
      <c r="AF3" s="113"/>
      <c r="AG3" s="115"/>
      <c r="AH3" s="108" t="s">
        <v>100</v>
      </c>
      <c r="AI3" s="108" t="s">
        <v>101</v>
      </c>
      <c r="AJ3" s="114">
        <v>46053.473229166666</v>
      </c>
      <c r="AK3" s="108" t="s">
        <v>96</v>
      </c>
      <c r="AL3" s="115">
        <v>45965.475497685184</v>
      </c>
      <c r="AM3" s="116"/>
      <c r="AN3" s="116"/>
      <c r="AO3" s="116"/>
      <c r="AP3" s="108"/>
      <c r="AQ3" s="107"/>
      <c r="AR3" s="107"/>
      <c r="AS3" s="116"/>
      <c r="AT3" s="114">
        <f t="shared" si="1"/>
        <v>40.4</v>
      </c>
      <c r="AU3" s="114"/>
      <c r="AV3" s="108"/>
      <c r="AW3" s="108"/>
      <c r="AX3" s="108"/>
      <c r="AY3" s="108" t="s">
        <v>866</v>
      </c>
      <c r="AZ3" s="108"/>
      <c r="BA3" s="108"/>
      <c r="BB3" s="108"/>
      <c r="BC3" s="108"/>
      <c r="BD3" s="111"/>
      <c r="BE3" s="111">
        <f t="shared" si="2"/>
        <v>40.4</v>
      </c>
      <c r="BF3" s="111"/>
      <c r="BG3" s="111"/>
      <c r="BH3" s="111"/>
      <c r="BI3" s="111"/>
      <c r="BJ3" s="111"/>
      <c r="BK3" s="111"/>
      <c r="BL3" s="111"/>
      <c r="BM3" s="117"/>
      <c r="BN3" s="111"/>
      <c r="BO3" s="117"/>
      <c r="BP3" s="117">
        <f t="shared" si="3"/>
        <v>40.4</v>
      </c>
      <c r="BQ3" s="117"/>
      <c r="BR3" s="111"/>
      <c r="BS3" s="118"/>
      <c r="BT3" s="111"/>
      <c r="BU3" s="118"/>
      <c r="BV3" s="111"/>
      <c r="BW3" s="111"/>
      <c r="BX3" s="111"/>
      <c r="BY3" s="111"/>
      <c r="BZ3" s="111"/>
      <c r="CA3" s="111">
        <f t="shared" si="4"/>
        <v>40.4</v>
      </c>
      <c r="CB3" s="119"/>
      <c r="CC3" s="117"/>
      <c r="CD3" s="120" t="e">
        <v>#N/A</v>
      </c>
      <c r="CE3" s="120" t="e">
        <v>#N/A</v>
      </c>
      <c r="CF3" s="120" t="e">
        <v>#N/A</v>
      </c>
      <c r="CG3" s="123"/>
      <c r="CH3" s="120"/>
      <c r="CI3" s="120"/>
      <c r="CJ3" s="123"/>
      <c r="CK3" s="132"/>
    </row>
    <row r="4" spans="1:89" ht="144.94999999999999">
      <c r="A4" s="106" t="s">
        <v>623</v>
      </c>
      <c r="B4" s="107">
        <f>10.5+4.5+4.5+17.5+10+6.5+1</f>
        <v>54.5</v>
      </c>
      <c r="C4" s="49">
        <v>55</v>
      </c>
      <c r="D4" s="107">
        <f>Tracker[[#This Row],[Estimated Hrs]]-Tracker[[#This Row],[Actual Efforts (Hrs)]]</f>
        <v>0.5</v>
      </c>
      <c r="E4" s="108"/>
      <c r="F4" s="108" t="s">
        <v>867</v>
      </c>
      <c r="G4" s="108" t="s">
        <v>867</v>
      </c>
      <c r="H4" s="151">
        <v>19572045</v>
      </c>
      <c r="I4" s="109">
        <f>Tracker[[#This Row],[DCR ID - PTC]]</f>
        <v>19572045</v>
      </c>
      <c r="J4" s="108" t="s">
        <v>868</v>
      </c>
      <c r="K4" s="108" t="s">
        <v>104</v>
      </c>
      <c r="L4" s="108"/>
      <c r="M4" s="108"/>
      <c r="N4" s="108" t="s">
        <v>869</v>
      </c>
      <c r="O4" s="111" t="s">
        <v>106</v>
      </c>
      <c r="P4" s="111"/>
      <c r="Q4" s="111"/>
      <c r="R4" s="111"/>
      <c r="S4" s="111"/>
      <c r="T4" s="111"/>
      <c r="U4" s="108"/>
      <c r="V4" s="108"/>
      <c r="W4" s="108"/>
      <c r="X4" s="108">
        <f t="shared" si="0"/>
        <v>40.4</v>
      </c>
      <c r="Y4" s="108"/>
      <c r="Z4" s="108"/>
      <c r="AA4" s="108"/>
      <c r="AB4" s="112">
        <v>46203</v>
      </c>
      <c r="AC4" s="108"/>
      <c r="AD4" s="108" t="s">
        <v>146</v>
      </c>
      <c r="AE4" s="107"/>
      <c r="AF4" s="113"/>
      <c r="AG4" s="115">
        <v>46146</v>
      </c>
      <c r="AH4" s="108" t="s">
        <v>109</v>
      </c>
      <c r="AI4" s="108" t="s">
        <v>95</v>
      </c>
      <c r="AJ4" s="114">
        <v>46203.395833333336</v>
      </c>
      <c r="AK4" s="108" t="s">
        <v>96</v>
      </c>
      <c r="AL4" s="115">
        <v>46141.912060185183</v>
      </c>
      <c r="AM4" s="116"/>
      <c r="AN4" s="116"/>
      <c r="AO4" s="116">
        <v>46163</v>
      </c>
      <c r="AP4" s="108"/>
      <c r="AQ4" s="107"/>
      <c r="AR4" s="107"/>
      <c r="AS4" s="116">
        <v>46175</v>
      </c>
      <c r="AT4" s="114">
        <v>46163</v>
      </c>
      <c r="AU4" s="114">
        <v>46164</v>
      </c>
      <c r="AV4" s="108"/>
      <c r="AW4" s="108"/>
      <c r="AX4" s="108" t="s">
        <v>97</v>
      </c>
      <c r="AY4" s="108" t="s">
        <v>98</v>
      </c>
      <c r="AZ4" s="108"/>
      <c r="BA4" s="108"/>
      <c r="BB4" s="108"/>
      <c r="BC4" s="108"/>
      <c r="BD4" s="111"/>
      <c r="BE4" s="111">
        <f t="shared" si="2"/>
        <v>40.4</v>
      </c>
      <c r="BF4" s="111"/>
      <c r="BG4" s="111"/>
      <c r="BH4" s="111"/>
      <c r="BI4" s="111"/>
      <c r="BJ4" s="111"/>
      <c r="BK4" s="111"/>
      <c r="BL4" s="111"/>
      <c r="BM4" s="117"/>
      <c r="BN4" s="111"/>
      <c r="BO4" s="117"/>
      <c r="BP4" s="117">
        <f t="shared" si="3"/>
        <v>40.4</v>
      </c>
      <c r="BQ4" s="117"/>
      <c r="BR4" s="111"/>
      <c r="BS4" s="118"/>
      <c r="BT4" s="111"/>
      <c r="BU4" s="118"/>
      <c r="BV4" s="111"/>
      <c r="BW4" s="111"/>
      <c r="BX4" s="111"/>
      <c r="BY4" s="111"/>
      <c r="BZ4" s="111"/>
      <c r="CA4" s="111">
        <f t="shared" si="4"/>
        <v>40.4</v>
      </c>
      <c r="CB4" s="119">
        <v>1</v>
      </c>
      <c r="CC4" s="117"/>
      <c r="CD4" s="120">
        <v>46155</v>
      </c>
      <c r="CE4" s="120">
        <v>0</v>
      </c>
      <c r="CF4" s="120">
        <v>0</v>
      </c>
      <c r="CG4" s="123"/>
      <c r="CH4" s="120"/>
      <c r="CI4" s="120"/>
      <c r="CJ4" s="123"/>
      <c r="CK4" s="132" t="s">
        <v>870</v>
      </c>
    </row>
    <row r="5" spans="1:89" ht="377.1">
      <c r="A5" s="106" t="s">
        <v>623</v>
      </c>
      <c r="B5" s="107">
        <f>15+6.5+6.5+7.5+6.5+7.5+4+3+0.25+2+2.5+5+5+6+3</f>
        <v>80.25</v>
      </c>
      <c r="C5" s="49">
        <v>0</v>
      </c>
      <c r="D5" s="107">
        <f>Tracker[[#This Row],[Estimated Hrs]]-Tracker[[#This Row],[Actual Efforts (Hrs)]]</f>
        <v>-80.25</v>
      </c>
      <c r="E5" s="108"/>
      <c r="F5" s="108" t="s">
        <v>89</v>
      </c>
      <c r="G5" s="108"/>
      <c r="H5" s="151">
        <v>14468900</v>
      </c>
      <c r="I5" s="109">
        <f>Tracker[[#This Row],[DCR ID - PTC]]</f>
        <v>14468900</v>
      </c>
      <c r="J5" s="108" t="s">
        <v>519</v>
      </c>
      <c r="K5" s="108"/>
      <c r="L5" s="108" t="s">
        <v>520</v>
      </c>
      <c r="M5" s="108"/>
      <c r="N5" s="108" t="s">
        <v>871</v>
      </c>
      <c r="O5" s="111" t="s">
        <v>115</v>
      </c>
      <c r="P5" s="111"/>
      <c r="Q5" s="111"/>
      <c r="R5" s="111"/>
      <c r="S5" s="111"/>
      <c r="T5" s="111"/>
      <c r="U5" s="108"/>
      <c r="V5" s="108"/>
      <c r="W5" s="108"/>
      <c r="X5" s="108">
        <f t="shared" si="0"/>
        <v>40.4</v>
      </c>
      <c r="Y5" s="108"/>
      <c r="Z5" s="108"/>
      <c r="AA5" s="108" t="s">
        <v>92</v>
      </c>
      <c r="AB5" s="112"/>
      <c r="AC5" s="108" t="s">
        <v>520</v>
      </c>
      <c r="AD5" s="108" t="s">
        <v>93</v>
      </c>
      <c r="AE5" s="107"/>
      <c r="AF5" s="113"/>
      <c r="AG5" s="115">
        <v>45876.995532407411</v>
      </c>
      <c r="AH5" s="108" t="s">
        <v>94</v>
      </c>
      <c r="AI5" s="108" t="s">
        <v>95</v>
      </c>
      <c r="AJ5" s="114">
        <v>45994.4375</v>
      </c>
      <c r="AK5" s="108" t="s">
        <v>96</v>
      </c>
      <c r="AL5" s="115">
        <v>45499.858622685184</v>
      </c>
      <c r="AM5" s="116"/>
      <c r="AN5" s="116"/>
      <c r="AO5" s="116"/>
      <c r="AP5" s="108"/>
      <c r="AQ5" s="107"/>
      <c r="AR5" s="107"/>
      <c r="AS5" s="116"/>
      <c r="AT5" s="114">
        <f t="shared" si="1"/>
        <v>40.4</v>
      </c>
      <c r="AU5" s="114"/>
      <c r="AV5" s="108"/>
      <c r="AW5" s="108"/>
      <c r="AX5" s="108"/>
      <c r="AY5" s="108" t="s">
        <v>866</v>
      </c>
      <c r="AZ5" s="108"/>
      <c r="BA5" s="108"/>
      <c r="BB5" s="108"/>
      <c r="BC5" s="108"/>
      <c r="BD5" s="111"/>
      <c r="BE5" s="111">
        <f t="shared" si="2"/>
        <v>40.4</v>
      </c>
      <c r="BF5" s="111"/>
      <c r="BG5" s="111"/>
      <c r="BH5" s="111"/>
      <c r="BI5" s="111"/>
      <c r="BJ5" s="111"/>
      <c r="BK5" s="111"/>
      <c r="BL5" s="111"/>
      <c r="BM5" s="117"/>
      <c r="BN5" s="111"/>
      <c r="BO5" s="117"/>
      <c r="BP5" s="117">
        <f t="shared" si="3"/>
        <v>40.4</v>
      </c>
      <c r="BQ5" s="117"/>
      <c r="BR5" s="111"/>
      <c r="BS5" s="118"/>
      <c r="BT5" s="111"/>
      <c r="BU5" s="118"/>
      <c r="BV5" s="111"/>
      <c r="BW5" s="111"/>
      <c r="BX5" s="111"/>
      <c r="BY5" s="111"/>
      <c r="BZ5" s="111"/>
      <c r="CA5" s="111">
        <f t="shared" si="4"/>
        <v>40.4</v>
      </c>
      <c r="CB5" s="119"/>
      <c r="CC5" s="117"/>
      <c r="CD5" s="120" t="e">
        <v>#N/A</v>
      </c>
      <c r="CE5" s="120" t="e">
        <v>#N/A</v>
      </c>
      <c r="CF5" s="120" t="e">
        <v>#N/A</v>
      </c>
      <c r="CG5" s="123"/>
      <c r="CH5" s="120"/>
      <c r="CI5" s="120"/>
      <c r="CJ5" s="314"/>
      <c r="CK5" s="132"/>
    </row>
    <row r="6" spans="1:89" ht="65.099999999999994" customHeight="1">
      <c r="A6" s="129" t="s">
        <v>623</v>
      </c>
      <c r="B6" s="130"/>
      <c r="C6" s="49">
        <v>0</v>
      </c>
      <c r="D6" s="107">
        <f>Tracker[[#This Row],[Estimated Hrs]]-Tracker[[#This Row],[Actual Efforts (Hrs)]]</f>
        <v>0</v>
      </c>
      <c r="E6" s="131"/>
      <c r="F6" s="131" t="s">
        <v>89</v>
      </c>
      <c r="G6" s="131"/>
      <c r="H6" s="356">
        <v>17462586</v>
      </c>
      <c r="I6" s="109">
        <f>Tracker[[#This Row],[DCR ID - PTC]]</f>
        <v>17462586</v>
      </c>
      <c r="J6" s="131" t="s">
        <v>630</v>
      </c>
      <c r="K6" s="131" t="s">
        <v>101</v>
      </c>
      <c r="L6" s="131" t="s">
        <v>131</v>
      </c>
      <c r="M6" s="131"/>
      <c r="N6" s="363"/>
      <c r="O6" s="132"/>
      <c r="P6" s="111"/>
      <c r="Q6" s="111"/>
      <c r="R6" s="111"/>
      <c r="S6" s="111"/>
      <c r="T6" s="111"/>
      <c r="U6" s="108"/>
      <c r="V6" s="108"/>
      <c r="W6" s="108"/>
      <c r="X6" s="108">
        <f t="shared" si="0"/>
        <v>40.4</v>
      </c>
      <c r="Y6" s="108"/>
      <c r="Z6" s="108"/>
      <c r="AA6" s="108" t="s">
        <v>92</v>
      </c>
      <c r="AB6" s="112"/>
      <c r="AC6" s="108" t="s">
        <v>131</v>
      </c>
      <c r="AD6" s="108" t="s">
        <v>146</v>
      </c>
      <c r="AE6" s="107"/>
      <c r="AF6" s="113"/>
      <c r="AG6" s="115">
        <v>45943.88857638889</v>
      </c>
      <c r="AH6" s="108" t="s">
        <v>94</v>
      </c>
      <c r="AI6" s="108" t="s">
        <v>95</v>
      </c>
      <c r="AJ6" s="114">
        <v>45961.395833333336</v>
      </c>
      <c r="AK6" s="108" t="s">
        <v>96</v>
      </c>
      <c r="AL6" s="115">
        <v>45910.638923611114</v>
      </c>
      <c r="AM6" s="116"/>
      <c r="AN6" s="116"/>
      <c r="AO6" s="116"/>
      <c r="AP6" s="108"/>
      <c r="AQ6" s="107"/>
      <c r="AR6" s="107"/>
      <c r="AS6" s="116"/>
      <c r="AT6" s="114">
        <f t="shared" si="1"/>
        <v>40.4</v>
      </c>
      <c r="AU6" s="114"/>
      <c r="AV6" s="108"/>
      <c r="AW6" s="108"/>
      <c r="AX6" s="108"/>
      <c r="AY6" s="108" t="s">
        <v>866</v>
      </c>
      <c r="AZ6" s="108"/>
      <c r="BA6" s="108"/>
      <c r="BB6" s="108"/>
      <c r="BC6" s="108"/>
      <c r="BD6" s="111"/>
      <c r="BE6" s="111">
        <f t="shared" si="2"/>
        <v>40.4</v>
      </c>
      <c r="BF6" s="111"/>
      <c r="BG6" s="111"/>
      <c r="BH6" s="111"/>
      <c r="BI6" s="111"/>
      <c r="BJ6" s="111"/>
      <c r="BK6" s="111"/>
      <c r="BL6" s="111"/>
      <c r="BM6" s="117"/>
      <c r="BN6" s="111"/>
      <c r="BO6" s="117"/>
      <c r="BP6" s="117">
        <f t="shared" si="3"/>
        <v>40.4</v>
      </c>
      <c r="BQ6" s="117"/>
      <c r="BR6" s="111"/>
      <c r="BS6" s="118"/>
      <c r="BT6" s="111"/>
      <c r="BU6" s="118"/>
      <c r="BV6" s="111"/>
      <c r="BW6" s="111"/>
      <c r="BX6" s="111"/>
      <c r="BY6" s="111"/>
      <c r="BZ6" s="111"/>
      <c r="CA6" s="111">
        <f t="shared" si="4"/>
        <v>40.4</v>
      </c>
      <c r="CB6" s="119"/>
      <c r="CC6" s="117"/>
      <c r="CD6" s="120">
        <v>0</v>
      </c>
      <c r="CE6" s="120">
        <v>0</v>
      </c>
      <c r="CF6" s="120">
        <v>0</v>
      </c>
      <c r="CG6" s="123"/>
      <c r="CH6" s="120"/>
      <c r="CI6" s="120"/>
      <c r="CJ6" s="123"/>
      <c r="CK6" s="132"/>
    </row>
    <row r="7" spans="1:89" ht="51" customHeight="1">
      <c r="A7" s="106" t="s">
        <v>623</v>
      </c>
      <c r="B7" s="107">
        <v>41</v>
      </c>
      <c r="C7" s="49">
        <v>0</v>
      </c>
      <c r="D7" s="107">
        <f>Tracker[[#This Row],[Estimated Hrs]]-Tracker[[#This Row],[Actual Efforts (Hrs)]]</f>
        <v>-41</v>
      </c>
      <c r="E7" s="108"/>
      <c r="F7" s="108" t="s">
        <v>89</v>
      </c>
      <c r="G7" s="121"/>
      <c r="H7" s="151">
        <v>17445400</v>
      </c>
      <c r="I7" s="109">
        <f>Tracker[[#This Row],[DCR ID - PTC]]</f>
        <v>17445400</v>
      </c>
      <c r="J7" s="107" t="s">
        <v>629</v>
      </c>
      <c r="K7" s="108"/>
      <c r="L7" s="108" t="s">
        <v>131</v>
      </c>
      <c r="M7" s="108"/>
      <c r="N7" s="280"/>
      <c r="O7" s="111"/>
      <c r="P7" s="111"/>
      <c r="Q7" s="111"/>
      <c r="R7" s="111"/>
      <c r="S7" s="111"/>
      <c r="T7" s="111"/>
      <c r="U7" s="108"/>
      <c r="V7" s="108"/>
      <c r="W7" s="108"/>
      <c r="X7" s="108">
        <f t="shared" si="0"/>
        <v>40.4</v>
      </c>
      <c r="Y7" s="108"/>
      <c r="Z7" s="108"/>
      <c r="AA7" s="108" t="s">
        <v>92</v>
      </c>
      <c r="AB7" s="112"/>
      <c r="AC7" s="108" t="s">
        <v>131</v>
      </c>
      <c r="AD7" s="108" t="s">
        <v>146</v>
      </c>
      <c r="AE7" s="107"/>
      <c r="AF7" s="113"/>
      <c r="AG7" s="115">
        <v>45943.889328703706</v>
      </c>
      <c r="AH7" s="108" t="s">
        <v>94</v>
      </c>
      <c r="AI7" s="108" t="s">
        <v>95</v>
      </c>
      <c r="AJ7" s="114">
        <v>45961.551504629628</v>
      </c>
      <c r="AK7" s="108" t="s">
        <v>96</v>
      </c>
      <c r="AL7" s="115">
        <v>45908.552060185182</v>
      </c>
      <c r="AM7" s="116"/>
      <c r="AN7" s="116"/>
      <c r="AO7" s="116"/>
      <c r="AP7" s="108"/>
      <c r="AQ7" s="107"/>
      <c r="AR7" s="107"/>
      <c r="AS7" s="116"/>
      <c r="AT7" s="114">
        <f t="shared" si="1"/>
        <v>40.4</v>
      </c>
      <c r="AU7" s="114"/>
      <c r="AV7" s="108"/>
      <c r="AW7" s="108"/>
      <c r="AX7" s="108"/>
      <c r="AY7" s="108" t="s">
        <v>866</v>
      </c>
      <c r="AZ7" s="108"/>
      <c r="BA7" s="108"/>
      <c r="BB7" s="108"/>
      <c r="BC7" s="108"/>
      <c r="BD7" s="111"/>
      <c r="BE7" s="111">
        <f t="shared" si="2"/>
        <v>40.4</v>
      </c>
      <c r="BF7" s="111"/>
      <c r="BG7" s="111"/>
      <c r="BH7" s="111"/>
      <c r="BI7" s="111"/>
      <c r="BJ7" s="111"/>
      <c r="BK7" s="111"/>
      <c r="BL7" s="111"/>
      <c r="BM7" s="117"/>
      <c r="BN7" s="111"/>
      <c r="BO7" s="117"/>
      <c r="BP7" s="117">
        <f t="shared" si="3"/>
        <v>40.4</v>
      </c>
      <c r="BQ7" s="117"/>
      <c r="BR7" s="111"/>
      <c r="BS7" s="118"/>
      <c r="BT7" s="111"/>
      <c r="BU7" s="118"/>
      <c r="BV7" s="111"/>
      <c r="BW7" s="111"/>
      <c r="BX7" s="111"/>
      <c r="BY7" s="111"/>
      <c r="BZ7" s="111"/>
      <c r="CA7" s="111">
        <f t="shared" si="4"/>
        <v>40.4</v>
      </c>
      <c r="CB7" s="119"/>
      <c r="CC7" s="117"/>
      <c r="CD7" s="120" t="e">
        <v>#N/A</v>
      </c>
      <c r="CE7" s="120" t="e">
        <v>#N/A</v>
      </c>
      <c r="CF7" s="120" t="e">
        <v>#N/A</v>
      </c>
      <c r="CG7" s="123"/>
      <c r="CH7" s="120"/>
      <c r="CI7" s="120"/>
      <c r="CJ7" s="123"/>
      <c r="CK7" s="132"/>
    </row>
    <row r="8" spans="1:89" ht="67.5" customHeight="1">
      <c r="A8" s="106" t="s">
        <v>623</v>
      </c>
      <c r="B8" s="107">
        <v>161.5</v>
      </c>
      <c r="C8" s="49">
        <v>0</v>
      </c>
      <c r="D8" s="107">
        <v>0</v>
      </c>
      <c r="E8" s="108"/>
      <c r="F8" s="108" t="s">
        <v>127</v>
      </c>
      <c r="G8" s="108"/>
      <c r="H8" s="357">
        <v>17728181</v>
      </c>
      <c r="I8" s="109">
        <f>Tracker[[#This Row],[DCR ID - PTC]]</f>
        <v>17728181</v>
      </c>
      <c r="J8" s="108" t="s">
        <v>550</v>
      </c>
      <c r="K8" s="108" t="s">
        <v>101</v>
      </c>
      <c r="L8" s="108" t="s">
        <v>131</v>
      </c>
      <c r="M8" s="108"/>
      <c r="N8" s="108"/>
      <c r="O8" s="111"/>
      <c r="P8" s="111"/>
      <c r="Q8" s="111"/>
      <c r="R8" s="111"/>
      <c r="S8" s="111"/>
      <c r="T8" s="111"/>
      <c r="U8" s="108"/>
      <c r="V8" s="108"/>
      <c r="W8" s="108"/>
      <c r="X8" s="108">
        <f t="shared" si="0"/>
        <v>40.4</v>
      </c>
      <c r="Y8" s="108"/>
      <c r="Z8" s="108"/>
      <c r="AA8" s="108" t="s">
        <v>130</v>
      </c>
      <c r="AB8" s="112"/>
      <c r="AC8" s="108" t="s">
        <v>131</v>
      </c>
      <c r="AD8" s="108" t="s">
        <v>93</v>
      </c>
      <c r="AE8" s="107"/>
      <c r="AF8" s="113"/>
      <c r="AG8" s="115">
        <v>45996.721550925926</v>
      </c>
      <c r="AH8" s="108" t="s">
        <v>94</v>
      </c>
      <c r="AI8" s="108" t="s">
        <v>95</v>
      </c>
      <c r="AJ8" s="114">
        <v>45976.395833333336</v>
      </c>
      <c r="AK8" s="108" t="s">
        <v>96</v>
      </c>
      <c r="AL8" s="115">
        <v>45947.7034375</v>
      </c>
      <c r="AM8" s="116"/>
      <c r="AN8" s="116"/>
      <c r="AO8" s="116"/>
      <c r="AP8" s="108"/>
      <c r="AQ8" s="107"/>
      <c r="AR8" s="107"/>
      <c r="AS8" s="116"/>
      <c r="AT8" s="114">
        <f t="shared" si="1"/>
        <v>40.4</v>
      </c>
      <c r="AU8" s="114"/>
      <c r="AV8" s="108"/>
      <c r="AW8" s="108"/>
      <c r="AX8" s="108"/>
      <c r="AY8" s="108" t="s">
        <v>866</v>
      </c>
      <c r="AZ8" s="108"/>
      <c r="BA8" s="108"/>
      <c r="BB8" s="108"/>
      <c r="BC8" s="108"/>
      <c r="BD8" s="111"/>
      <c r="BE8" s="111">
        <f t="shared" si="2"/>
        <v>40.4</v>
      </c>
      <c r="BF8" s="111"/>
      <c r="BG8" s="111"/>
      <c r="BH8" s="111"/>
      <c r="BI8" s="111"/>
      <c r="BJ8" s="111"/>
      <c r="BK8" s="111"/>
      <c r="BL8" s="111"/>
      <c r="BM8" s="117"/>
      <c r="BN8" s="111"/>
      <c r="BO8" s="117"/>
      <c r="BP8" s="117">
        <f t="shared" si="3"/>
        <v>40.4</v>
      </c>
      <c r="BQ8" s="117"/>
      <c r="BR8" s="111"/>
      <c r="BS8" s="118"/>
      <c r="BT8" s="111"/>
      <c r="BU8" s="118"/>
      <c r="BV8" s="111"/>
      <c r="BW8" s="111"/>
      <c r="BX8" s="111"/>
      <c r="BY8" s="111"/>
      <c r="BZ8" s="111"/>
      <c r="CA8" s="111">
        <f t="shared" si="4"/>
        <v>40.4</v>
      </c>
      <c r="CB8" s="119"/>
      <c r="CC8" s="117"/>
      <c r="CD8" s="120">
        <v>0</v>
      </c>
      <c r="CE8" s="120">
        <v>0</v>
      </c>
      <c r="CF8" s="120">
        <v>0</v>
      </c>
      <c r="CG8" s="123"/>
      <c r="CH8" s="120"/>
      <c r="CI8" s="120"/>
      <c r="CJ8" s="123"/>
      <c r="CK8" s="132"/>
    </row>
    <row r="9" spans="1:89" ht="101.45">
      <c r="A9" s="106" t="s">
        <v>623</v>
      </c>
      <c r="B9" s="107">
        <v>23</v>
      </c>
      <c r="C9" s="49">
        <v>0</v>
      </c>
      <c r="D9" s="107">
        <f>Tracker[[#This Row],[Estimated Hrs]]-Tracker[[#This Row],[Actual Efforts (Hrs)]]</f>
        <v>-23</v>
      </c>
      <c r="E9" s="108"/>
      <c r="F9" s="108" t="s">
        <v>89</v>
      </c>
      <c r="G9" s="108"/>
      <c r="H9" s="151">
        <v>17305532</v>
      </c>
      <c r="I9" s="109">
        <f>Tracker[[#This Row],[DCR ID - PTC]]</f>
        <v>17305532</v>
      </c>
      <c r="J9" s="107" t="s">
        <v>627</v>
      </c>
      <c r="K9" s="108"/>
      <c r="L9" s="108" t="s">
        <v>628</v>
      </c>
      <c r="M9" s="108"/>
      <c r="N9" s="108"/>
      <c r="O9" s="111"/>
      <c r="P9" s="111"/>
      <c r="Q9" s="111"/>
      <c r="R9" s="111"/>
      <c r="S9" s="111"/>
      <c r="T9" s="111"/>
      <c r="U9" s="108"/>
      <c r="V9" s="108"/>
      <c r="W9" s="108"/>
      <c r="X9" s="108">
        <f t="shared" si="0"/>
        <v>40.4</v>
      </c>
      <c r="Y9" s="108"/>
      <c r="Z9" s="108"/>
      <c r="AA9" s="108" t="s">
        <v>92</v>
      </c>
      <c r="AB9" s="112">
        <v>45961</v>
      </c>
      <c r="AC9" s="108" t="s">
        <v>628</v>
      </c>
      <c r="AD9" s="108" t="s">
        <v>93</v>
      </c>
      <c r="AE9" s="107"/>
      <c r="AF9" s="113"/>
      <c r="AG9" s="115">
        <v>45945.04482638889</v>
      </c>
      <c r="AH9" s="108" t="s">
        <v>94</v>
      </c>
      <c r="AI9" s="108" t="s">
        <v>95</v>
      </c>
      <c r="AJ9" s="114">
        <v>45869.609027777777</v>
      </c>
      <c r="AK9" s="108" t="s">
        <v>96</v>
      </c>
      <c r="AL9" s="115">
        <v>45888.609270833331</v>
      </c>
      <c r="AM9" s="116"/>
      <c r="AN9" s="116"/>
      <c r="AO9" s="116"/>
      <c r="AP9" s="108"/>
      <c r="AQ9" s="107"/>
      <c r="AR9" s="107"/>
      <c r="AS9" s="116"/>
      <c r="AT9" s="114">
        <f t="shared" si="1"/>
        <v>40.4</v>
      </c>
      <c r="AU9" s="114"/>
      <c r="AV9" s="108"/>
      <c r="AW9" s="108"/>
      <c r="AX9" s="108"/>
      <c r="AY9" s="108" t="s">
        <v>866</v>
      </c>
      <c r="AZ9" s="108"/>
      <c r="BA9" s="108"/>
      <c r="BB9" s="108"/>
      <c r="BC9" s="108"/>
      <c r="BD9" s="111"/>
      <c r="BE9" s="111">
        <f t="shared" si="2"/>
        <v>40.4</v>
      </c>
      <c r="BF9" s="111"/>
      <c r="BG9" s="111"/>
      <c r="BH9" s="111"/>
      <c r="BI9" s="111"/>
      <c r="BJ9" s="111"/>
      <c r="BK9" s="111"/>
      <c r="BL9" s="111"/>
      <c r="BM9" s="117"/>
      <c r="BN9" s="111"/>
      <c r="BO9" s="117"/>
      <c r="BP9" s="117">
        <f t="shared" si="3"/>
        <v>40.4</v>
      </c>
      <c r="BQ9" s="117"/>
      <c r="BR9" s="111"/>
      <c r="BS9" s="118"/>
      <c r="BT9" s="111"/>
      <c r="BU9" s="118"/>
      <c r="BV9" s="111"/>
      <c r="BW9" s="111"/>
      <c r="BX9" s="111"/>
      <c r="BY9" s="111"/>
      <c r="BZ9" s="111"/>
      <c r="CA9" s="111">
        <f t="shared" si="4"/>
        <v>40.4</v>
      </c>
      <c r="CB9" s="119"/>
      <c r="CC9" s="117"/>
      <c r="CD9" s="120" t="e">
        <v>#N/A</v>
      </c>
      <c r="CE9" s="120" t="e">
        <v>#N/A</v>
      </c>
      <c r="CF9" s="120" t="e">
        <v>#N/A</v>
      </c>
      <c r="CG9" s="123"/>
      <c r="CH9" s="120"/>
      <c r="CI9" s="120"/>
      <c r="CJ9" s="123"/>
      <c r="CK9" s="132"/>
    </row>
    <row r="10" spans="1:89" ht="409.6">
      <c r="A10" s="106" t="s">
        <v>612</v>
      </c>
      <c r="B10" s="107">
        <f>2+6+5.25+6+6+5+4.5+6+5.5+7+5.5+5+6+6.5+5.75</f>
        <v>82</v>
      </c>
      <c r="C10" s="49">
        <v>70</v>
      </c>
      <c r="D10" s="107">
        <f>Tracker[[#This Row],[Estimated Hrs]]-Tracker[[#This Row],[Actual Efforts (Hrs)]]</f>
        <v>-12</v>
      </c>
      <c r="E10" s="108"/>
      <c r="F10" s="108"/>
      <c r="G10" s="146"/>
      <c r="H10" s="313">
        <v>16826540</v>
      </c>
      <c r="I10" s="109">
        <f>Tracker[[#This Row],[DCR ID - PTC]]</f>
        <v>16826540</v>
      </c>
      <c r="J10" s="108" t="s">
        <v>619</v>
      </c>
      <c r="K10" s="108" t="s">
        <v>101</v>
      </c>
      <c r="L10" s="108"/>
      <c r="M10" s="108"/>
      <c r="N10" s="580" t="s">
        <v>872</v>
      </c>
      <c r="O10" s="111" t="s">
        <v>115</v>
      </c>
      <c r="P10" s="111"/>
      <c r="Q10" s="111"/>
      <c r="R10" s="111"/>
      <c r="S10" s="111"/>
      <c r="T10" s="111"/>
      <c r="U10" s="108"/>
      <c r="V10" s="108"/>
      <c r="W10" s="108"/>
      <c r="X10" s="108">
        <f t="shared" si="0"/>
        <v>40.4</v>
      </c>
      <c r="Y10" s="108"/>
      <c r="Z10" s="108"/>
      <c r="AA10" s="108" t="s">
        <v>873</v>
      </c>
      <c r="AB10" s="112">
        <v>45869</v>
      </c>
      <c r="AC10" s="108"/>
      <c r="AD10" s="108" t="s">
        <v>93</v>
      </c>
      <c r="AE10" s="107"/>
      <c r="AF10" s="113"/>
      <c r="AG10" s="115"/>
      <c r="AH10" s="108" t="s">
        <v>100</v>
      </c>
      <c r="AI10" s="108" t="s">
        <v>101</v>
      </c>
      <c r="AJ10" s="114">
        <v>45869</v>
      </c>
      <c r="AK10" s="108" t="s">
        <v>96</v>
      </c>
      <c r="AL10" s="115">
        <v>45833.859664351854</v>
      </c>
      <c r="AM10" s="116"/>
      <c r="AN10" s="116"/>
      <c r="AO10" s="116"/>
      <c r="AP10" s="108"/>
      <c r="AQ10" s="107"/>
      <c r="AR10" s="107"/>
      <c r="AS10" s="116"/>
      <c r="AT10" s="114">
        <f t="shared" si="1"/>
        <v>40.4</v>
      </c>
      <c r="AU10" s="114"/>
      <c r="AV10" s="108"/>
      <c r="AW10" s="108"/>
      <c r="AX10" s="108"/>
      <c r="AY10" s="108" t="s">
        <v>866</v>
      </c>
      <c r="AZ10" s="108"/>
      <c r="BA10" s="108"/>
      <c r="BB10" s="108"/>
      <c r="BC10" s="108"/>
      <c r="BD10" s="111"/>
      <c r="BE10" s="111">
        <f t="shared" si="2"/>
        <v>40.4</v>
      </c>
      <c r="BF10" s="111"/>
      <c r="BG10" s="111"/>
      <c r="BH10" s="111"/>
      <c r="BI10" s="111"/>
      <c r="BJ10" s="111"/>
      <c r="BK10" s="111"/>
      <c r="BL10" s="111"/>
      <c r="BM10" s="117"/>
      <c r="BN10" s="111"/>
      <c r="BO10" s="117"/>
      <c r="BP10" s="117">
        <f t="shared" si="3"/>
        <v>40.4</v>
      </c>
      <c r="BQ10" s="117"/>
      <c r="BR10" s="111"/>
      <c r="BS10" s="118"/>
      <c r="BT10" s="111"/>
      <c r="BU10" s="118"/>
      <c r="BV10" s="111"/>
      <c r="BW10" s="111"/>
      <c r="BX10" s="111"/>
      <c r="BY10" s="111"/>
      <c r="BZ10" s="111"/>
      <c r="CA10" s="111">
        <f t="shared" si="4"/>
        <v>40.4</v>
      </c>
      <c r="CB10" s="119"/>
      <c r="CC10" s="117"/>
      <c r="CD10" s="120" t="s">
        <v>125</v>
      </c>
      <c r="CE10" s="120" t="s">
        <v>125</v>
      </c>
      <c r="CF10" s="120" t="s">
        <v>125</v>
      </c>
      <c r="CG10" s="123"/>
      <c r="CH10" s="120"/>
      <c r="CI10" s="120"/>
      <c r="CJ10" s="123"/>
      <c r="CK10" s="132"/>
    </row>
    <row r="11" spans="1:89" ht="124.5" customHeight="1">
      <c r="A11" s="106" t="s">
        <v>612</v>
      </c>
      <c r="B11" s="107">
        <f>3+5.25+5+5+4.75+3+0.5+0.75+1.5+(7.75+8+7.75+7.75+7.75+0.5+1.5+2.75+4)</f>
        <v>76.5</v>
      </c>
      <c r="C11" s="49">
        <v>60</v>
      </c>
      <c r="D11" s="107">
        <f>Tracker[[#This Row],[Estimated Hrs]]-Tracker[[#This Row],[Actual Efforts (Hrs)]]</f>
        <v>-16.5</v>
      </c>
      <c r="E11" s="108"/>
      <c r="F11" s="108"/>
      <c r="G11" s="108"/>
      <c r="H11" s="151">
        <v>19131416</v>
      </c>
      <c r="I11" s="109">
        <f>Tracker[[#This Row],[DCR ID - PTC]]</f>
        <v>19131416</v>
      </c>
      <c r="J11" s="108" t="s">
        <v>874</v>
      </c>
      <c r="K11" s="108" t="s">
        <v>118</v>
      </c>
      <c r="L11" s="108"/>
      <c r="M11" s="108"/>
      <c r="N11" s="334" t="s">
        <v>875</v>
      </c>
      <c r="O11" s="111" t="s">
        <v>115</v>
      </c>
      <c r="P11" s="111"/>
      <c r="Q11" s="111"/>
      <c r="R11" s="111"/>
      <c r="S11" s="111"/>
      <c r="T11" s="111"/>
      <c r="U11" s="108"/>
      <c r="V11" s="108"/>
      <c r="W11" s="108"/>
      <c r="X11" s="108">
        <f t="shared" si="0"/>
        <v>40.4</v>
      </c>
      <c r="Y11" s="108"/>
      <c r="Z11" s="108"/>
      <c r="AA11" s="108"/>
      <c r="AB11" s="112"/>
      <c r="AC11" s="108"/>
      <c r="AD11" s="108" t="s">
        <v>93</v>
      </c>
      <c r="AE11" s="107"/>
      <c r="AF11" s="113"/>
      <c r="AG11" s="115"/>
      <c r="AH11" s="108" t="s">
        <v>109</v>
      </c>
      <c r="AI11" s="108" t="s">
        <v>95</v>
      </c>
      <c r="AJ11" s="114">
        <v>46203</v>
      </c>
      <c r="AK11" s="108" t="s">
        <v>96</v>
      </c>
      <c r="AL11" s="115">
        <v>46093.707812499997</v>
      </c>
      <c r="AM11" s="116"/>
      <c r="AN11" s="116"/>
      <c r="AO11" s="116"/>
      <c r="AP11" s="108"/>
      <c r="AQ11" s="107"/>
      <c r="AR11" s="107"/>
      <c r="AS11" s="116"/>
      <c r="AT11" s="114">
        <f t="shared" si="1"/>
        <v>40.4</v>
      </c>
      <c r="AU11" s="114"/>
      <c r="AV11" s="108"/>
      <c r="AW11" s="108"/>
      <c r="AX11" s="108"/>
      <c r="AY11" s="108" t="s">
        <v>866</v>
      </c>
      <c r="AZ11" s="108"/>
      <c r="BA11" s="108"/>
      <c r="BB11" s="108"/>
      <c r="BC11" s="108"/>
      <c r="BD11" s="111"/>
      <c r="BE11" s="111">
        <f t="shared" si="2"/>
        <v>40.4</v>
      </c>
      <c r="BF11" s="111"/>
      <c r="BG11" s="111"/>
      <c r="BH11" s="111"/>
      <c r="BI11" s="111"/>
      <c r="BJ11" s="111"/>
      <c r="BK11" s="111"/>
      <c r="BL11" s="111"/>
      <c r="BM11" s="117"/>
      <c r="BN11" s="111"/>
      <c r="BO11" s="117"/>
      <c r="BP11" s="117">
        <f t="shared" si="3"/>
        <v>40.4</v>
      </c>
      <c r="BQ11" s="117"/>
      <c r="BR11" s="111"/>
      <c r="BS11" s="118"/>
      <c r="BT11" s="111"/>
      <c r="BU11" s="118"/>
      <c r="BV11" s="111"/>
      <c r="BW11" s="111"/>
      <c r="BX11" s="111"/>
      <c r="BY11" s="111"/>
      <c r="BZ11" s="111"/>
      <c r="CA11" s="111">
        <f t="shared" si="4"/>
        <v>40.4</v>
      </c>
      <c r="CB11" s="119"/>
      <c r="CC11" s="117"/>
      <c r="CD11" s="120" t="s">
        <v>876</v>
      </c>
      <c r="CE11" s="120">
        <v>46206</v>
      </c>
      <c r="CF11" s="120">
        <v>46213</v>
      </c>
      <c r="CG11" s="123"/>
      <c r="CH11" s="120"/>
      <c r="CI11" s="120"/>
      <c r="CJ11" s="123"/>
      <c r="CK11" s="132"/>
    </row>
    <row r="12" spans="1:89" ht="290.10000000000002">
      <c r="A12" s="106" t="s">
        <v>612</v>
      </c>
      <c r="B12" s="107">
        <f>5.75+5+1</f>
        <v>11.75</v>
      </c>
      <c r="C12" s="49">
        <v>25</v>
      </c>
      <c r="D12" s="107">
        <f>Tracker[[#This Row],[Estimated Hrs]]-Tracker[[#This Row],[Actual Efforts (Hrs)]]</f>
        <v>13.25</v>
      </c>
      <c r="E12" s="108"/>
      <c r="F12" s="108" t="s">
        <v>867</v>
      </c>
      <c r="G12" s="108" t="s">
        <v>867</v>
      </c>
      <c r="H12" s="151">
        <v>19579019</v>
      </c>
      <c r="I12" s="109">
        <f>Tracker[[#This Row],[DCR ID - PTC]]</f>
        <v>19579019</v>
      </c>
      <c r="J12" s="107" t="s">
        <v>877</v>
      </c>
      <c r="K12" s="108" t="s">
        <v>104</v>
      </c>
      <c r="L12" s="108"/>
      <c r="M12" s="108"/>
      <c r="N12" s="110" t="s">
        <v>878</v>
      </c>
      <c r="O12" s="111" t="s">
        <v>106</v>
      </c>
      <c r="P12" s="111"/>
      <c r="Q12" s="111"/>
      <c r="R12" s="111"/>
      <c r="S12" s="111"/>
      <c r="T12" s="111"/>
      <c r="U12" s="108"/>
      <c r="V12" s="108"/>
      <c r="W12" s="108"/>
      <c r="X12" s="108">
        <f t="shared" si="0"/>
        <v>40.4</v>
      </c>
      <c r="Y12" s="108"/>
      <c r="Z12" s="108"/>
      <c r="AA12" s="108"/>
      <c r="AB12" s="112"/>
      <c r="AC12" s="108"/>
      <c r="AD12" s="108" t="s">
        <v>93</v>
      </c>
      <c r="AE12" s="107"/>
      <c r="AF12" s="113"/>
      <c r="AG12" s="115">
        <v>46142</v>
      </c>
      <c r="AH12" s="108" t="s">
        <v>109</v>
      </c>
      <c r="AI12" s="108" t="s">
        <v>110</v>
      </c>
      <c r="AJ12" s="114">
        <v>46164.395833333336</v>
      </c>
      <c r="AK12" s="108" t="s">
        <v>96</v>
      </c>
      <c r="AL12" s="115">
        <v>46142.878541666665</v>
      </c>
      <c r="AM12" s="116"/>
      <c r="AN12" s="116"/>
      <c r="AO12" s="116">
        <v>46149</v>
      </c>
      <c r="AP12" s="108"/>
      <c r="AQ12" s="107"/>
      <c r="AR12" s="107"/>
      <c r="AS12" s="116">
        <v>46149</v>
      </c>
      <c r="AT12" s="114">
        <v>46147</v>
      </c>
      <c r="AU12" s="114">
        <v>46148</v>
      </c>
      <c r="AV12" s="108"/>
      <c r="AW12" s="108"/>
      <c r="AX12" s="108" t="s">
        <v>97</v>
      </c>
      <c r="AY12" s="108" t="s">
        <v>98</v>
      </c>
      <c r="AZ12" s="108"/>
      <c r="BA12" s="108"/>
      <c r="BB12" s="108"/>
      <c r="BC12" s="108"/>
      <c r="BD12" s="111"/>
      <c r="BE12" s="111">
        <f t="shared" si="2"/>
        <v>40.4</v>
      </c>
      <c r="BF12" s="111"/>
      <c r="BG12" s="111"/>
      <c r="BH12" s="111"/>
      <c r="BI12" s="111"/>
      <c r="BJ12" s="111"/>
      <c r="BK12" s="111"/>
      <c r="BL12" s="111"/>
      <c r="BM12" s="117"/>
      <c r="BN12" s="111"/>
      <c r="BO12" s="117"/>
      <c r="BP12" s="117">
        <f t="shared" si="3"/>
        <v>40.4</v>
      </c>
      <c r="BQ12" s="117"/>
      <c r="BR12" s="111"/>
      <c r="BS12" s="118"/>
      <c r="BT12" s="111"/>
      <c r="BU12" s="118"/>
      <c r="BV12" s="111"/>
      <c r="BW12" s="111"/>
      <c r="BX12" s="111"/>
      <c r="BY12" s="111"/>
      <c r="BZ12" s="111"/>
      <c r="CA12" s="111">
        <f t="shared" si="4"/>
        <v>40.4</v>
      </c>
      <c r="CB12" s="119">
        <v>1</v>
      </c>
      <c r="CC12" s="117"/>
      <c r="CD12" s="120">
        <v>46142</v>
      </c>
      <c r="CE12" s="120">
        <v>46155</v>
      </c>
      <c r="CF12" s="120">
        <v>46155</v>
      </c>
      <c r="CG12" s="123"/>
      <c r="CH12" s="120"/>
      <c r="CI12" s="120"/>
      <c r="CJ12" s="314"/>
      <c r="CK12" s="132" t="s">
        <v>870</v>
      </c>
    </row>
    <row r="13" spans="1:89" ht="43.5">
      <c r="A13" s="106" t="s">
        <v>612</v>
      </c>
      <c r="B13" s="107"/>
      <c r="C13" s="49">
        <v>0</v>
      </c>
      <c r="D13" s="107">
        <f>Tracker[[#This Row],[Estimated Hrs]]-Tracker[[#This Row],[Actual Efforts (Hrs)]]</f>
        <v>0</v>
      </c>
      <c r="E13" s="108"/>
      <c r="F13" s="299" t="s">
        <v>136</v>
      </c>
      <c r="G13" s="108"/>
      <c r="H13" s="151">
        <v>18920541</v>
      </c>
      <c r="I13" s="109">
        <f>Tracker[[#This Row],[DCR ID - PTC]]</f>
        <v>18920541</v>
      </c>
      <c r="J13" s="108" t="s">
        <v>151</v>
      </c>
      <c r="K13" s="108" t="s">
        <v>101</v>
      </c>
      <c r="L13" s="108" t="s">
        <v>165</v>
      </c>
      <c r="M13" s="108"/>
      <c r="N13" s="108"/>
      <c r="O13" s="111"/>
      <c r="P13" s="111"/>
      <c r="Q13" s="111"/>
      <c r="R13" s="111"/>
      <c r="S13" s="111"/>
      <c r="T13" s="111"/>
      <c r="U13" s="108"/>
      <c r="V13" s="108"/>
      <c r="W13" s="108"/>
      <c r="X13" s="108">
        <f t="shared" si="0"/>
        <v>40.4</v>
      </c>
      <c r="Y13" s="108"/>
      <c r="Z13" s="108"/>
      <c r="AA13" s="108" t="s">
        <v>879</v>
      </c>
      <c r="AB13" s="112">
        <v>46090</v>
      </c>
      <c r="AC13" s="108" t="s">
        <v>165</v>
      </c>
      <c r="AD13" s="108" t="s">
        <v>93</v>
      </c>
      <c r="AE13" s="107"/>
      <c r="AF13" s="113"/>
      <c r="AG13" s="115">
        <v>46080.008287037039</v>
      </c>
      <c r="AH13" s="108" t="s">
        <v>94</v>
      </c>
      <c r="AI13" s="108" t="s">
        <v>95</v>
      </c>
      <c r="AJ13" s="114">
        <v>46139.395833333336</v>
      </c>
      <c r="AK13" s="108" t="s">
        <v>96</v>
      </c>
      <c r="AL13" s="115">
        <v>46078.626168981478</v>
      </c>
      <c r="AM13" s="116"/>
      <c r="AN13" s="116"/>
      <c r="AO13" s="116"/>
      <c r="AP13" s="108"/>
      <c r="AQ13" s="107"/>
      <c r="AR13" s="107"/>
      <c r="AS13" s="116"/>
      <c r="AT13" s="114">
        <f t="shared" si="1"/>
        <v>40.4</v>
      </c>
      <c r="AU13" s="114"/>
      <c r="AV13" s="108"/>
      <c r="AW13" s="108"/>
      <c r="AX13" s="108"/>
      <c r="AY13" s="108" t="s">
        <v>866</v>
      </c>
      <c r="AZ13" s="108"/>
      <c r="BA13" s="108"/>
      <c r="BB13" s="108"/>
      <c r="BC13" s="108"/>
      <c r="BD13" s="111"/>
      <c r="BE13" s="111">
        <f t="shared" si="2"/>
        <v>40.4</v>
      </c>
      <c r="BF13" s="111"/>
      <c r="BG13" s="111"/>
      <c r="BH13" s="111"/>
      <c r="BI13" s="111"/>
      <c r="BJ13" s="111"/>
      <c r="BK13" s="111"/>
      <c r="BL13" s="111"/>
      <c r="BM13" s="117"/>
      <c r="BN13" s="111"/>
      <c r="BO13" s="117"/>
      <c r="BP13" s="117">
        <f t="shared" si="3"/>
        <v>40.4</v>
      </c>
      <c r="BQ13" s="117"/>
      <c r="BR13" s="111"/>
      <c r="BS13" s="118"/>
      <c r="BT13" s="111"/>
      <c r="BU13" s="118"/>
      <c r="BV13" s="111"/>
      <c r="BW13" s="111"/>
      <c r="BX13" s="111"/>
      <c r="BY13" s="111"/>
      <c r="BZ13" s="111"/>
      <c r="CA13" s="111">
        <f t="shared" si="4"/>
        <v>40.4</v>
      </c>
      <c r="CB13" s="119"/>
      <c r="CC13" s="117"/>
      <c r="CD13" s="120" t="e">
        <v>#N/A</v>
      </c>
      <c r="CE13" s="120" t="e">
        <v>#N/A</v>
      </c>
      <c r="CF13" s="120" t="e">
        <v>#N/A</v>
      </c>
      <c r="CG13" s="123"/>
      <c r="CH13" s="120"/>
      <c r="CI13" s="120"/>
      <c r="CJ13" s="123"/>
      <c r="CK13" s="132"/>
    </row>
    <row r="14" spans="1:89" ht="43.5">
      <c r="A14" s="310" t="s">
        <v>612</v>
      </c>
      <c r="B14" s="107"/>
      <c r="C14" s="49">
        <v>0</v>
      </c>
      <c r="D14" s="107">
        <f>Tracker[[#This Row],[Estimated Hrs]]-Tracker[[#This Row],[Actual Efforts (Hrs)]]</f>
        <v>0</v>
      </c>
      <c r="E14" s="108"/>
      <c r="F14" s="299" t="s">
        <v>136</v>
      </c>
      <c r="G14" s="121"/>
      <c r="H14" s="151">
        <v>18137175</v>
      </c>
      <c r="I14" s="109">
        <f>Tracker[[#This Row],[DCR ID - PTC]]</f>
        <v>18137175</v>
      </c>
      <c r="J14" s="107" t="s">
        <v>178</v>
      </c>
      <c r="K14" s="108" t="s">
        <v>101</v>
      </c>
      <c r="L14" s="108" t="s">
        <v>165</v>
      </c>
      <c r="M14" s="108"/>
      <c r="N14" s="108"/>
      <c r="O14" s="111"/>
      <c r="P14" s="111"/>
      <c r="Q14" s="111"/>
      <c r="R14" s="111"/>
      <c r="S14" s="111"/>
      <c r="T14" s="111"/>
      <c r="U14" s="108"/>
      <c r="V14" s="108"/>
      <c r="W14" s="108"/>
      <c r="X14" s="108">
        <f t="shared" si="0"/>
        <v>40.4</v>
      </c>
      <c r="Y14" s="108"/>
      <c r="Z14" s="108"/>
      <c r="AA14" s="108" t="s">
        <v>879</v>
      </c>
      <c r="AB14" s="112"/>
      <c r="AC14" s="108" t="s">
        <v>165</v>
      </c>
      <c r="AD14" s="108" t="s">
        <v>93</v>
      </c>
      <c r="AE14" s="107"/>
      <c r="AF14" s="113"/>
      <c r="AG14" s="115">
        <v>46059.070023148146</v>
      </c>
      <c r="AH14" s="108" t="s">
        <v>94</v>
      </c>
      <c r="AI14" s="108" t="s">
        <v>95</v>
      </c>
      <c r="AJ14" s="114">
        <v>46090.395833333336</v>
      </c>
      <c r="AK14" s="108" t="s">
        <v>96</v>
      </c>
      <c r="AL14" s="115">
        <v>46000.26835648148</v>
      </c>
      <c r="AM14" s="116"/>
      <c r="AN14" s="116"/>
      <c r="AO14" s="338"/>
      <c r="AP14" s="108"/>
      <c r="AQ14" s="107"/>
      <c r="AR14" s="107"/>
      <c r="AS14" s="116"/>
      <c r="AT14" s="114">
        <f t="shared" si="1"/>
        <v>40.4</v>
      </c>
      <c r="AU14" s="114"/>
      <c r="AV14" s="108"/>
      <c r="AW14" s="108"/>
      <c r="AX14" s="108"/>
      <c r="AY14" s="108" t="s">
        <v>866</v>
      </c>
      <c r="AZ14" s="108"/>
      <c r="BA14" s="108"/>
      <c r="BB14" s="108"/>
      <c r="BC14" s="108"/>
      <c r="BD14" s="111"/>
      <c r="BE14" s="111">
        <f t="shared" si="2"/>
        <v>40.4</v>
      </c>
      <c r="BF14" s="111"/>
      <c r="BG14" s="111"/>
      <c r="BH14" s="111"/>
      <c r="BI14" s="111"/>
      <c r="BJ14" s="111"/>
      <c r="BK14" s="111"/>
      <c r="BL14" s="111"/>
      <c r="BM14" s="117"/>
      <c r="BN14" s="111"/>
      <c r="BO14" s="117"/>
      <c r="BP14" s="117">
        <f t="shared" si="3"/>
        <v>40.4</v>
      </c>
      <c r="BQ14" s="117"/>
      <c r="BR14" s="111"/>
      <c r="BS14" s="118"/>
      <c r="BT14" s="111"/>
      <c r="BU14" s="118"/>
      <c r="BV14" s="111"/>
      <c r="BW14" s="111"/>
      <c r="BX14" s="111"/>
      <c r="BY14" s="111"/>
      <c r="BZ14" s="111"/>
      <c r="CA14" s="111">
        <f t="shared" si="4"/>
        <v>40.4</v>
      </c>
      <c r="CB14" s="119"/>
      <c r="CC14" s="117"/>
      <c r="CD14" s="120" t="e">
        <v>#N/A</v>
      </c>
      <c r="CE14" s="120" t="e">
        <v>#N/A</v>
      </c>
      <c r="CF14" s="120" t="e">
        <v>#N/A</v>
      </c>
      <c r="CG14" s="123"/>
      <c r="CH14" s="120"/>
      <c r="CI14" s="120"/>
      <c r="CJ14" s="123"/>
      <c r="CK14" s="132"/>
    </row>
    <row r="15" spans="1:89" ht="43.5">
      <c r="A15" s="106" t="s">
        <v>612</v>
      </c>
      <c r="B15" s="107"/>
      <c r="C15" s="49">
        <v>0</v>
      </c>
      <c r="D15" s="107">
        <f>Tracker[[#This Row],[Estimated Hrs]]-Tracker[[#This Row],[Actual Efforts (Hrs)]]</f>
        <v>0</v>
      </c>
      <c r="E15" s="108"/>
      <c r="F15" s="146" t="s">
        <v>127</v>
      </c>
      <c r="G15" s="312"/>
      <c r="H15" s="153">
        <v>17649144</v>
      </c>
      <c r="I15" s="109">
        <f>Tracker[[#This Row],[DCR ID - PTC]]</f>
        <v>17649144</v>
      </c>
      <c r="J15" s="108" t="s">
        <v>613</v>
      </c>
      <c r="K15" s="108" t="s">
        <v>101</v>
      </c>
      <c r="L15" s="108" t="s">
        <v>165</v>
      </c>
      <c r="M15" s="108"/>
      <c r="N15" s="116"/>
      <c r="O15" s="111"/>
      <c r="P15" s="111"/>
      <c r="Q15" s="111"/>
      <c r="R15" s="111"/>
      <c r="S15" s="111"/>
      <c r="T15" s="111"/>
      <c r="U15" s="108"/>
      <c r="V15" s="108"/>
      <c r="W15" s="108"/>
      <c r="X15" s="108">
        <f t="shared" si="0"/>
        <v>40.4</v>
      </c>
      <c r="Y15" s="108"/>
      <c r="Z15" s="108"/>
      <c r="AA15" s="108" t="s">
        <v>139</v>
      </c>
      <c r="AB15" s="112"/>
      <c r="AC15" s="108" t="s">
        <v>165</v>
      </c>
      <c r="AD15" s="108" t="s">
        <v>93</v>
      </c>
      <c r="AE15" s="107"/>
      <c r="AF15" s="113"/>
      <c r="AG15" s="115">
        <v>46003.060347222221</v>
      </c>
      <c r="AH15" s="108" t="s">
        <v>94</v>
      </c>
      <c r="AI15" s="108" t="s">
        <v>95</v>
      </c>
      <c r="AJ15" s="114">
        <v>46034.4375</v>
      </c>
      <c r="AK15" s="108" t="s">
        <v>96</v>
      </c>
      <c r="AL15" s="115">
        <v>45939.505243055559</v>
      </c>
      <c r="AM15" s="116"/>
      <c r="AN15" s="116"/>
      <c r="AO15" s="116"/>
      <c r="AP15" s="108"/>
      <c r="AQ15" s="107"/>
      <c r="AR15" s="107"/>
      <c r="AS15" s="116"/>
      <c r="AT15" s="114">
        <f t="shared" si="1"/>
        <v>40.4</v>
      </c>
      <c r="AU15" s="114"/>
      <c r="AV15" s="108"/>
      <c r="AW15" s="108"/>
      <c r="AX15" s="108"/>
      <c r="AY15" s="108" t="s">
        <v>866</v>
      </c>
      <c r="AZ15" s="108"/>
      <c r="BA15" s="108"/>
      <c r="BB15" s="108"/>
      <c r="BC15" s="108"/>
      <c r="BD15" s="111"/>
      <c r="BE15" s="111">
        <f t="shared" si="2"/>
        <v>40.4</v>
      </c>
      <c r="BF15" s="111"/>
      <c r="BG15" s="111"/>
      <c r="BH15" s="111"/>
      <c r="BI15" s="111"/>
      <c r="BJ15" s="111"/>
      <c r="BK15" s="111"/>
      <c r="BL15" s="111"/>
      <c r="BM15" s="117"/>
      <c r="BN15" s="111"/>
      <c r="BO15" s="117"/>
      <c r="BP15" s="117">
        <f t="shared" si="3"/>
        <v>40.4</v>
      </c>
      <c r="BQ15" s="117"/>
      <c r="BR15" s="111"/>
      <c r="BS15" s="118"/>
      <c r="BT15" s="111"/>
      <c r="BU15" s="118"/>
      <c r="BV15" s="111"/>
      <c r="BW15" s="111"/>
      <c r="BX15" s="111"/>
      <c r="BY15" s="111"/>
      <c r="BZ15" s="111"/>
      <c r="CA15" s="111">
        <f t="shared" si="4"/>
        <v>40.4</v>
      </c>
      <c r="CB15" s="119"/>
      <c r="CC15" s="117"/>
      <c r="CD15" s="120" t="e">
        <v>#N/A</v>
      </c>
      <c r="CE15" s="120" t="e">
        <v>#N/A</v>
      </c>
      <c r="CF15" s="120" t="e">
        <v>#N/A</v>
      </c>
      <c r="CG15" s="123"/>
      <c r="CH15" s="120"/>
      <c r="CI15" s="120"/>
      <c r="CJ15" s="123"/>
      <c r="CK15" s="132"/>
    </row>
    <row r="16" spans="1:89" ht="43.5">
      <c r="A16" s="106" t="s">
        <v>612</v>
      </c>
      <c r="B16" s="107"/>
      <c r="C16" s="49">
        <v>0</v>
      </c>
      <c r="D16" s="107">
        <f>Tracker[[#This Row],[Estimated Hrs]]-Tracker[[#This Row],[Actual Efforts (Hrs)]]</f>
        <v>0</v>
      </c>
      <c r="E16" s="108"/>
      <c r="F16" s="108" t="s">
        <v>136</v>
      </c>
      <c r="G16" s="121"/>
      <c r="H16" s="151">
        <v>18664459</v>
      </c>
      <c r="I16" s="109">
        <f>Tracker[[#This Row],[DCR ID - PTC]]</f>
        <v>18664459</v>
      </c>
      <c r="J16" s="107" t="s">
        <v>258</v>
      </c>
      <c r="K16" s="107" t="s">
        <v>101</v>
      </c>
      <c r="L16" s="108" t="s">
        <v>880</v>
      </c>
      <c r="M16" s="108"/>
      <c r="N16" s="116"/>
      <c r="O16" s="111"/>
      <c r="P16" s="111"/>
      <c r="Q16" s="111"/>
      <c r="R16" s="111"/>
      <c r="S16" s="111"/>
      <c r="T16" s="111"/>
      <c r="U16" s="108"/>
      <c r="V16" s="108"/>
      <c r="W16" s="108"/>
      <c r="X16" s="108">
        <f t="shared" si="0"/>
        <v>40.4</v>
      </c>
      <c r="Y16" s="108"/>
      <c r="Z16" s="108"/>
      <c r="AA16" s="108" t="s">
        <v>873</v>
      </c>
      <c r="AB16" s="112">
        <v>46112</v>
      </c>
      <c r="AC16" s="108" t="s">
        <v>880</v>
      </c>
      <c r="AD16" s="108" t="s">
        <v>116</v>
      </c>
      <c r="AE16" s="107"/>
      <c r="AF16" s="113"/>
      <c r="AG16" s="115">
        <v>46097.876122685186</v>
      </c>
      <c r="AH16" s="108" t="s">
        <v>254</v>
      </c>
      <c r="AI16" s="108" t="s">
        <v>95</v>
      </c>
      <c r="AJ16" s="114">
        <v>46120.395833333336</v>
      </c>
      <c r="AK16" s="108" t="s">
        <v>96</v>
      </c>
      <c r="AL16" s="115">
        <v>46057.586284722223</v>
      </c>
      <c r="AM16" s="116"/>
      <c r="AN16" s="116"/>
      <c r="AO16" s="139"/>
      <c r="AP16" s="108"/>
      <c r="AQ16" s="107"/>
      <c r="AR16" s="107"/>
      <c r="AS16" s="116"/>
      <c r="AT16" s="114">
        <f t="shared" si="1"/>
        <v>40.4</v>
      </c>
      <c r="AU16" s="114"/>
      <c r="AV16" s="108"/>
      <c r="AW16" s="108"/>
      <c r="AX16" s="108"/>
      <c r="AY16" s="108" t="s">
        <v>866</v>
      </c>
      <c r="AZ16" s="108"/>
      <c r="BA16" s="108"/>
      <c r="BB16" s="108"/>
      <c r="BC16" s="108"/>
      <c r="BD16" s="111"/>
      <c r="BE16" s="111">
        <f t="shared" si="2"/>
        <v>40.4</v>
      </c>
      <c r="BF16" s="111"/>
      <c r="BG16" s="111"/>
      <c r="BH16" s="111"/>
      <c r="BI16" s="111"/>
      <c r="BJ16" s="111"/>
      <c r="BK16" s="111"/>
      <c r="BL16" s="111"/>
      <c r="BM16" s="117"/>
      <c r="BN16" s="111"/>
      <c r="BO16" s="117"/>
      <c r="BP16" s="117">
        <f t="shared" si="3"/>
        <v>40.4</v>
      </c>
      <c r="BQ16" s="117"/>
      <c r="BR16" s="111"/>
      <c r="BS16" s="118"/>
      <c r="BT16" s="111"/>
      <c r="BU16" s="118"/>
      <c r="BV16" s="111"/>
      <c r="BW16" s="111"/>
      <c r="BX16" s="111"/>
      <c r="BY16" s="111"/>
      <c r="BZ16" s="111"/>
      <c r="CA16" s="111">
        <f t="shared" si="4"/>
        <v>40.4</v>
      </c>
      <c r="CB16" s="119"/>
      <c r="CC16" s="117"/>
      <c r="CD16" s="120">
        <v>0</v>
      </c>
      <c r="CE16" s="120">
        <v>0</v>
      </c>
      <c r="CF16" s="120">
        <v>0</v>
      </c>
      <c r="CG16" s="123"/>
      <c r="CH16" s="120"/>
      <c r="CI16" s="120"/>
      <c r="CJ16" s="123"/>
      <c r="CK16" s="132"/>
    </row>
    <row r="17" spans="1:89" ht="362.45">
      <c r="A17" s="106" t="s">
        <v>612</v>
      </c>
      <c r="B17" s="107">
        <f>9+4+6+10</f>
        <v>29</v>
      </c>
      <c r="C17" s="49">
        <v>29</v>
      </c>
      <c r="D17" s="107">
        <f>Tracker[[#This Row],[Estimated Hrs]]-Tracker[[#This Row],[Actual Efforts (Hrs)]]</f>
        <v>0</v>
      </c>
      <c r="E17" s="108"/>
      <c r="F17" s="146" t="s">
        <v>867</v>
      </c>
      <c r="G17" s="146" t="s">
        <v>867</v>
      </c>
      <c r="H17" s="109">
        <v>19579019</v>
      </c>
      <c r="I17" s="109">
        <f>Tracker[[#This Row],[DCR ID - PTC]]</f>
        <v>19579019</v>
      </c>
      <c r="J17" s="107" t="s">
        <v>877</v>
      </c>
      <c r="K17" s="108" t="s">
        <v>118</v>
      </c>
      <c r="L17" s="108"/>
      <c r="M17" s="108"/>
      <c r="N17" s="116" t="s">
        <v>881</v>
      </c>
      <c r="O17" s="111" t="s">
        <v>106</v>
      </c>
      <c r="P17" s="111"/>
      <c r="Q17" s="111"/>
      <c r="R17" s="111"/>
      <c r="S17" s="111"/>
      <c r="T17" s="111"/>
      <c r="U17" s="108"/>
      <c r="V17" s="108"/>
      <c r="W17" s="108"/>
      <c r="X17" s="108">
        <f t="shared" si="0"/>
        <v>40.4</v>
      </c>
      <c r="Y17" s="108"/>
      <c r="Z17" s="108"/>
      <c r="AA17" s="108"/>
      <c r="AB17" s="112"/>
      <c r="AC17" s="108"/>
      <c r="AD17" s="108" t="s">
        <v>93</v>
      </c>
      <c r="AE17" s="107"/>
      <c r="AF17" s="113"/>
      <c r="AG17" s="115">
        <v>46151</v>
      </c>
      <c r="AH17" s="108" t="s">
        <v>109</v>
      </c>
      <c r="AI17" s="108" t="s">
        <v>110</v>
      </c>
      <c r="AJ17" s="114">
        <v>46164.395833333336</v>
      </c>
      <c r="AK17" s="108" t="s">
        <v>96</v>
      </c>
      <c r="AL17" s="115">
        <v>46142.878541666665</v>
      </c>
      <c r="AM17" s="116"/>
      <c r="AN17" s="116"/>
      <c r="AO17" s="139">
        <v>46157</v>
      </c>
      <c r="AP17" s="108"/>
      <c r="AQ17" s="107"/>
      <c r="AR17" s="107"/>
      <c r="AS17" s="116">
        <v>46157</v>
      </c>
      <c r="AT17" s="114">
        <v>46157</v>
      </c>
      <c r="AU17" s="114">
        <v>46157</v>
      </c>
      <c r="AV17" s="108"/>
      <c r="AW17" s="108"/>
      <c r="AX17" s="108" t="s">
        <v>97</v>
      </c>
      <c r="AY17" s="108" t="s">
        <v>98</v>
      </c>
      <c r="AZ17" s="108"/>
      <c r="BA17" s="108"/>
      <c r="BB17" s="108"/>
      <c r="BC17" s="108"/>
      <c r="BD17" s="111"/>
      <c r="BE17" s="111">
        <f t="shared" si="2"/>
        <v>40.4</v>
      </c>
      <c r="BF17" s="111"/>
      <c r="BG17" s="111"/>
      <c r="BH17" s="111"/>
      <c r="BI17" s="111"/>
      <c r="BJ17" s="111"/>
      <c r="BK17" s="111"/>
      <c r="BL17" s="111"/>
      <c r="BM17" s="117"/>
      <c r="BN17" s="111"/>
      <c r="BO17" s="117"/>
      <c r="BP17" s="117">
        <f t="shared" si="3"/>
        <v>40.4</v>
      </c>
      <c r="BQ17" s="117"/>
      <c r="BR17" s="111"/>
      <c r="BS17" s="118"/>
      <c r="BT17" s="111"/>
      <c r="BU17" s="118"/>
      <c r="BV17" s="111"/>
      <c r="BW17" s="111"/>
      <c r="BX17" s="111"/>
      <c r="BY17" s="111"/>
      <c r="BZ17" s="111"/>
      <c r="CA17" s="111">
        <f t="shared" si="4"/>
        <v>40.4</v>
      </c>
      <c r="CB17" s="119">
        <v>1</v>
      </c>
      <c r="CC17" s="117"/>
      <c r="CD17" s="120">
        <v>46155</v>
      </c>
      <c r="CE17" s="120">
        <v>46155</v>
      </c>
      <c r="CF17" s="120">
        <v>46155</v>
      </c>
      <c r="CG17" s="123"/>
      <c r="CH17" s="120"/>
      <c r="CI17" s="120"/>
      <c r="CJ17" s="123"/>
      <c r="CK17" s="586" t="s">
        <v>882</v>
      </c>
    </row>
    <row r="18" spans="1:89" ht="246.6">
      <c r="A18" s="106" t="s">
        <v>577</v>
      </c>
      <c r="B18" s="107">
        <f>7+8+5.5+6</f>
        <v>26.5</v>
      </c>
      <c r="C18" s="49">
        <v>80</v>
      </c>
      <c r="D18" s="107">
        <f>Tracker[[#This Row],[Estimated Hrs]]-Tracker[[#This Row],[Actual Efforts (Hrs)]]</f>
        <v>53.5</v>
      </c>
      <c r="E18" s="108"/>
      <c r="F18" s="108" t="s">
        <v>243</v>
      </c>
      <c r="G18" s="121" t="s">
        <v>243</v>
      </c>
      <c r="H18" s="151">
        <v>19026292</v>
      </c>
      <c r="I18" s="109">
        <f>Tracker[[#This Row],[DCR ID - PTC]]</f>
        <v>19026292</v>
      </c>
      <c r="J18" s="108" t="s">
        <v>666</v>
      </c>
      <c r="K18" s="108" t="s">
        <v>118</v>
      </c>
      <c r="L18" s="108"/>
      <c r="M18" s="108"/>
      <c r="N18" s="116" t="s">
        <v>883</v>
      </c>
      <c r="O18" s="111" t="s">
        <v>106</v>
      </c>
      <c r="P18" s="111"/>
      <c r="Q18" s="111"/>
      <c r="R18" s="111"/>
      <c r="S18" s="111"/>
      <c r="T18" s="111"/>
      <c r="U18" s="108"/>
      <c r="V18" s="108"/>
      <c r="W18" s="108"/>
      <c r="X18" s="108">
        <f t="shared" si="0"/>
        <v>40.4</v>
      </c>
      <c r="Y18" s="108"/>
      <c r="Z18" s="108"/>
      <c r="AA18" s="108"/>
      <c r="AB18" s="112"/>
      <c r="AC18" s="108"/>
      <c r="AD18" s="108" t="s">
        <v>116</v>
      </c>
      <c r="AE18" s="107"/>
      <c r="AF18" s="113"/>
      <c r="AG18" s="115">
        <v>46130.053402777776</v>
      </c>
      <c r="AH18" s="108" t="s">
        <v>100</v>
      </c>
      <c r="AI18" s="108" t="s">
        <v>95</v>
      </c>
      <c r="AJ18" s="114">
        <v>46112.395833333336</v>
      </c>
      <c r="AK18" s="108" t="s">
        <v>321</v>
      </c>
      <c r="AL18" s="115">
        <v>46086.095138888886</v>
      </c>
      <c r="AM18" s="116"/>
      <c r="AN18" s="116"/>
      <c r="AO18" s="139">
        <v>46157</v>
      </c>
      <c r="AP18" s="108"/>
      <c r="AQ18" s="107"/>
      <c r="AR18" s="107"/>
      <c r="AS18" s="116">
        <v>46157</v>
      </c>
      <c r="AT18" s="114">
        <v>46150</v>
      </c>
      <c r="AU18" s="114">
        <v>46150</v>
      </c>
      <c r="AV18" s="108"/>
      <c r="AW18" s="108"/>
      <c r="AX18" s="108" t="s">
        <v>97</v>
      </c>
      <c r="AY18" s="108" t="s">
        <v>98</v>
      </c>
      <c r="AZ18" s="108"/>
      <c r="BA18" s="108"/>
      <c r="BB18" s="108"/>
      <c r="BC18" s="108"/>
      <c r="BD18" s="111"/>
      <c r="BE18" s="111">
        <f t="shared" si="2"/>
        <v>40.4</v>
      </c>
      <c r="BF18" s="111"/>
      <c r="BG18" s="111"/>
      <c r="BH18" s="111"/>
      <c r="BI18" s="111"/>
      <c r="BJ18" s="111"/>
      <c r="BK18" s="111"/>
      <c r="BL18" s="111"/>
      <c r="BM18" s="117"/>
      <c r="BN18" s="111"/>
      <c r="BO18" s="117"/>
      <c r="BP18" s="117">
        <f t="shared" si="3"/>
        <v>40.4</v>
      </c>
      <c r="BQ18" s="117"/>
      <c r="BR18" s="111"/>
      <c r="BS18" s="118"/>
      <c r="BT18" s="111"/>
      <c r="BU18" s="118"/>
      <c r="BV18" s="111"/>
      <c r="BW18" s="111"/>
      <c r="BX18" s="111"/>
      <c r="BY18" s="111"/>
      <c r="BZ18" s="111"/>
      <c r="CA18" s="111">
        <f t="shared" si="4"/>
        <v>40.4</v>
      </c>
      <c r="CB18" s="119">
        <v>1</v>
      </c>
      <c r="CC18" s="117"/>
      <c r="CD18" s="120" t="s">
        <v>125</v>
      </c>
      <c r="CE18" s="120" t="s">
        <v>125</v>
      </c>
      <c r="CF18" s="120" t="s">
        <v>125</v>
      </c>
      <c r="CG18" s="123"/>
      <c r="CH18" s="120"/>
      <c r="CI18" s="120"/>
      <c r="CJ18" s="123"/>
      <c r="CK18" s="132" t="s">
        <v>870</v>
      </c>
    </row>
    <row r="19" spans="1:89" ht="43.5">
      <c r="A19" s="106" t="s">
        <v>577</v>
      </c>
      <c r="B19" s="49">
        <v>0</v>
      </c>
      <c r="C19" s="49">
        <v>0</v>
      </c>
      <c r="D19" s="49">
        <v>0</v>
      </c>
      <c r="E19" s="134"/>
      <c r="F19" s="134"/>
      <c r="G19" s="134"/>
      <c r="H19" s="154">
        <v>19574220</v>
      </c>
      <c r="I19" s="109">
        <f>Tracker[[#This Row],[DCR ID - PTC]]</f>
        <v>19574220</v>
      </c>
      <c r="J19" s="134" t="s">
        <v>884</v>
      </c>
      <c r="K19" s="134" t="s">
        <v>101</v>
      </c>
      <c r="L19" s="134"/>
      <c r="M19" s="134"/>
      <c r="N19" s="116"/>
      <c r="O19" s="123" t="s">
        <v>115</v>
      </c>
      <c r="P19" s="123"/>
      <c r="Q19" s="123"/>
      <c r="R19" s="123"/>
      <c r="S19" s="123"/>
      <c r="T19" s="123"/>
      <c r="U19" s="134"/>
      <c r="V19" s="134"/>
      <c r="W19" s="134"/>
      <c r="X19" s="134">
        <f t="shared" si="0"/>
        <v>40.4</v>
      </c>
      <c r="Y19" s="134"/>
      <c r="Z19" s="134"/>
      <c r="AA19" s="134" t="s">
        <v>873</v>
      </c>
      <c r="AB19" s="29">
        <v>46171</v>
      </c>
      <c r="AC19" s="134"/>
      <c r="AD19" s="134" t="s">
        <v>116</v>
      </c>
      <c r="AE19" s="49"/>
      <c r="AF19" s="136"/>
      <c r="AG19" s="137"/>
      <c r="AH19" s="134" t="s">
        <v>100</v>
      </c>
      <c r="AI19" s="134" t="s">
        <v>101</v>
      </c>
      <c r="AJ19" s="138">
        <v>46112.395833333336</v>
      </c>
      <c r="AK19" s="134" t="s">
        <v>96</v>
      </c>
      <c r="AL19" s="137">
        <v>46142.467256944445</v>
      </c>
      <c r="AM19" s="139"/>
      <c r="AN19" s="139"/>
      <c r="AO19" s="139"/>
      <c r="AP19" s="134"/>
      <c r="AQ19" s="49"/>
      <c r="AR19" s="49"/>
      <c r="AS19" s="139"/>
      <c r="AT19" s="138">
        <f t="shared" si="1"/>
        <v>40.4</v>
      </c>
      <c r="AU19" s="138"/>
      <c r="AV19" s="134"/>
      <c r="AW19" s="134"/>
      <c r="AX19" s="108"/>
      <c r="AY19" s="108" t="s">
        <v>866</v>
      </c>
      <c r="AZ19" s="134"/>
      <c r="BA19" s="134"/>
      <c r="BB19" s="134"/>
      <c r="BC19" s="134"/>
      <c r="BD19" s="123"/>
      <c r="BE19" s="123">
        <f t="shared" si="2"/>
        <v>40.4</v>
      </c>
      <c r="BF19" s="123"/>
      <c r="BG19" s="123"/>
      <c r="BH19" s="123"/>
      <c r="BI19" s="123"/>
      <c r="BJ19" s="123"/>
      <c r="BK19" s="123"/>
      <c r="BL19" s="123"/>
      <c r="BM19" s="117"/>
      <c r="BN19" s="123"/>
      <c r="BO19" s="140"/>
      <c r="BP19" s="140">
        <f t="shared" si="3"/>
        <v>40.4</v>
      </c>
      <c r="BQ19" s="140"/>
      <c r="BR19" s="123"/>
      <c r="BS19" s="141"/>
      <c r="BT19" s="123"/>
      <c r="BU19" s="141"/>
      <c r="BV19" s="123"/>
      <c r="BW19" s="123"/>
      <c r="BX19" s="123"/>
      <c r="BY19" s="123"/>
      <c r="BZ19" s="123"/>
      <c r="CA19" s="142">
        <f t="shared" si="4"/>
        <v>40.4</v>
      </c>
      <c r="CB19" s="143"/>
      <c r="CC19" s="144"/>
      <c r="CD19" s="120" t="e">
        <v>#N/A</v>
      </c>
      <c r="CE19" s="120" t="e">
        <v>#N/A</v>
      </c>
      <c r="CF19" s="120" t="e">
        <v>#N/A</v>
      </c>
      <c r="CG19" s="123"/>
      <c r="CH19" s="120"/>
      <c r="CI19" s="120"/>
      <c r="CJ19" s="123"/>
      <c r="CK19" s="132"/>
    </row>
    <row r="20" spans="1:89" ht="57.95" customHeight="1">
      <c r="A20" s="106" t="s">
        <v>577</v>
      </c>
      <c r="B20" s="107">
        <f>7+5+8+9+9+8+0.5</f>
        <v>46.5</v>
      </c>
      <c r="C20" s="49">
        <v>0</v>
      </c>
      <c r="D20" s="107">
        <f>Tracker[[#This Row],[Estimated Hrs]]-Tracker[[#This Row],[Actual Efforts (Hrs)]]</f>
        <v>-46.5</v>
      </c>
      <c r="E20" s="108"/>
      <c r="F20" s="108" t="s">
        <v>136</v>
      </c>
      <c r="G20" s="121"/>
      <c r="H20" s="151">
        <v>18947608</v>
      </c>
      <c r="I20" s="109">
        <f>Tracker[[#This Row],[DCR ID - PTC]]</f>
        <v>18947608</v>
      </c>
      <c r="J20" s="131" t="s">
        <v>884</v>
      </c>
      <c r="K20" s="108" t="s">
        <v>101</v>
      </c>
      <c r="L20" s="108" t="s">
        <v>165</v>
      </c>
      <c r="M20" s="108"/>
      <c r="N20" s="580" t="s">
        <v>885</v>
      </c>
      <c r="O20" s="111" t="s">
        <v>115</v>
      </c>
      <c r="P20" s="111"/>
      <c r="Q20" s="111"/>
      <c r="R20" s="111"/>
      <c r="S20" s="111"/>
      <c r="T20" s="111"/>
      <c r="U20" s="108"/>
      <c r="V20" s="108"/>
      <c r="W20" s="108"/>
      <c r="X20" s="108">
        <f t="shared" si="0"/>
        <v>40.4</v>
      </c>
      <c r="Y20" s="108"/>
      <c r="Z20" s="108"/>
      <c r="AA20" s="108" t="s">
        <v>873</v>
      </c>
      <c r="AB20" s="112">
        <v>46171</v>
      </c>
      <c r="AC20" s="108" t="s">
        <v>165</v>
      </c>
      <c r="AD20" s="108" t="s">
        <v>116</v>
      </c>
      <c r="AE20" s="107"/>
      <c r="AF20" s="113"/>
      <c r="AG20" s="115">
        <v>46118.897245370368</v>
      </c>
      <c r="AH20" s="108" t="s">
        <v>94</v>
      </c>
      <c r="AI20" s="108" t="s">
        <v>110</v>
      </c>
      <c r="AJ20" s="114">
        <v>46112.395833333336</v>
      </c>
      <c r="AK20" s="108" t="s">
        <v>96</v>
      </c>
      <c r="AL20" s="115">
        <v>46081.122511574074</v>
      </c>
      <c r="AM20" s="116"/>
      <c r="AN20" s="116"/>
      <c r="AO20" s="139"/>
      <c r="AP20" s="108"/>
      <c r="AQ20" s="107"/>
      <c r="AR20" s="107"/>
      <c r="AS20" s="116"/>
      <c r="AT20" s="114">
        <f t="shared" si="1"/>
        <v>40.4</v>
      </c>
      <c r="AU20" s="114"/>
      <c r="AV20" s="108"/>
      <c r="AW20" s="108"/>
      <c r="AX20" s="108"/>
      <c r="AY20" s="108" t="s">
        <v>866</v>
      </c>
      <c r="AZ20" s="108"/>
      <c r="BA20" s="108"/>
      <c r="BB20" s="108"/>
      <c r="BC20" s="108"/>
      <c r="BD20" s="111"/>
      <c r="BE20" s="111">
        <f t="shared" si="2"/>
        <v>40.4</v>
      </c>
      <c r="BF20" s="111"/>
      <c r="BG20" s="111"/>
      <c r="BH20" s="111"/>
      <c r="BI20" s="111"/>
      <c r="BJ20" s="111"/>
      <c r="BK20" s="111"/>
      <c r="BL20" s="111"/>
      <c r="BM20" s="117"/>
      <c r="BN20" s="111"/>
      <c r="BO20" s="117"/>
      <c r="BP20" s="117">
        <f t="shared" si="3"/>
        <v>40.4</v>
      </c>
      <c r="BQ20" s="117"/>
      <c r="BR20" s="111"/>
      <c r="BS20" s="118"/>
      <c r="BT20" s="111"/>
      <c r="BU20" s="118"/>
      <c r="BV20" s="111"/>
      <c r="BW20" s="111"/>
      <c r="BX20" s="111"/>
      <c r="BY20" s="111"/>
      <c r="BZ20" s="111"/>
      <c r="CA20" s="111">
        <f t="shared" si="4"/>
        <v>40.4</v>
      </c>
      <c r="CB20" s="119"/>
      <c r="CC20" s="117"/>
      <c r="CD20" s="120" t="s">
        <v>125</v>
      </c>
      <c r="CE20" s="120" t="s">
        <v>125</v>
      </c>
      <c r="CF20" s="120" t="s">
        <v>125</v>
      </c>
      <c r="CG20" s="123"/>
      <c r="CH20" s="120"/>
      <c r="CI20" s="120"/>
      <c r="CJ20" s="123"/>
      <c r="CK20" s="132"/>
    </row>
    <row r="21" spans="1:89" ht="57.95">
      <c r="A21" s="106" t="s">
        <v>886</v>
      </c>
      <c r="B21" s="107">
        <f>16+10+40+7+2</f>
        <v>75</v>
      </c>
      <c r="C21" s="49">
        <v>0</v>
      </c>
      <c r="D21" s="107">
        <v>0</v>
      </c>
      <c r="E21" s="108"/>
      <c r="F21" s="108" t="s">
        <v>125</v>
      </c>
      <c r="G21" s="121" t="s">
        <v>125</v>
      </c>
      <c r="H21" s="151">
        <v>19462855</v>
      </c>
      <c r="I21" s="109">
        <f>Tracker[[#This Row],[DCR ID - PTC]]</f>
        <v>19462855</v>
      </c>
      <c r="J21" s="107" t="s">
        <v>666</v>
      </c>
      <c r="K21" s="108" t="s">
        <v>101</v>
      </c>
      <c r="L21" s="108"/>
      <c r="M21" s="108"/>
      <c r="N21" s="116" t="s">
        <v>887</v>
      </c>
      <c r="O21" s="111" t="s">
        <v>106</v>
      </c>
      <c r="P21" s="111"/>
      <c r="Q21" s="111"/>
      <c r="R21" s="111"/>
      <c r="S21" s="111"/>
      <c r="T21" s="111"/>
      <c r="U21" s="108"/>
      <c r="V21" s="108"/>
      <c r="W21" s="108"/>
      <c r="X21" s="108">
        <f t="shared" si="0"/>
        <v>40.4</v>
      </c>
      <c r="Y21" s="108"/>
      <c r="Z21" s="108"/>
      <c r="AA21" s="108"/>
      <c r="AB21" s="112"/>
      <c r="AC21" s="108"/>
      <c r="AD21" s="108" t="s">
        <v>116</v>
      </c>
      <c r="AE21" s="107"/>
      <c r="AF21" s="113"/>
      <c r="AG21" s="115">
        <v>46128</v>
      </c>
      <c r="AH21" s="108" t="s">
        <v>100</v>
      </c>
      <c r="AI21" s="108" t="s">
        <v>101</v>
      </c>
      <c r="AJ21" s="114">
        <v>46112.395833333336</v>
      </c>
      <c r="AK21" s="108" t="s">
        <v>321</v>
      </c>
      <c r="AL21" s="115">
        <v>46128.47965277778</v>
      </c>
      <c r="AM21" s="116"/>
      <c r="AN21" s="116"/>
      <c r="AO21" s="139">
        <v>46157</v>
      </c>
      <c r="AP21" s="108"/>
      <c r="AQ21" s="107"/>
      <c r="AR21" s="107"/>
      <c r="AS21" s="116">
        <v>46157</v>
      </c>
      <c r="AT21" s="114" t="s">
        <v>125</v>
      </c>
      <c r="AU21" s="114" t="s">
        <v>125</v>
      </c>
      <c r="AV21" s="108"/>
      <c r="AW21" s="108"/>
      <c r="AX21" s="108"/>
      <c r="AY21" s="108" t="s">
        <v>98</v>
      </c>
      <c r="AZ21" s="108"/>
      <c r="BA21" s="108"/>
      <c r="BB21" s="108"/>
      <c r="BC21" s="108"/>
      <c r="BD21" s="111"/>
      <c r="BE21" s="111">
        <f t="shared" si="2"/>
        <v>40.4</v>
      </c>
      <c r="BF21" s="111"/>
      <c r="BG21" s="111"/>
      <c r="BH21" s="111"/>
      <c r="BI21" s="111"/>
      <c r="BJ21" s="111"/>
      <c r="BK21" s="111"/>
      <c r="BL21" s="111"/>
      <c r="BM21" s="117"/>
      <c r="BN21" s="111"/>
      <c r="BO21" s="117"/>
      <c r="BP21" s="117">
        <f t="shared" si="3"/>
        <v>40.4</v>
      </c>
      <c r="BQ21" s="117"/>
      <c r="BR21" s="111"/>
      <c r="BS21" s="118"/>
      <c r="BT21" s="111"/>
      <c r="BU21" s="118"/>
      <c r="BV21" s="111"/>
      <c r="BW21" s="111"/>
      <c r="BX21" s="111"/>
      <c r="BY21" s="111"/>
      <c r="BZ21" s="111"/>
      <c r="CA21" s="111">
        <f t="shared" si="4"/>
        <v>40.4</v>
      </c>
      <c r="CB21" s="119">
        <v>1</v>
      </c>
      <c r="CC21" s="117"/>
      <c r="CD21" s="120" t="e">
        <v>#N/A</v>
      </c>
      <c r="CE21" s="120" t="e">
        <v>#N/A</v>
      </c>
      <c r="CF21" s="120" t="e">
        <v>#N/A</v>
      </c>
      <c r="CG21" s="123"/>
      <c r="CH21" s="120"/>
      <c r="CI21" s="120"/>
      <c r="CJ21" s="123"/>
      <c r="CK21" s="132"/>
    </row>
    <row r="22" spans="1:89" ht="116.1">
      <c r="A22" s="106" t="s">
        <v>554</v>
      </c>
      <c r="B22" s="107">
        <f>7.5</f>
        <v>7.5</v>
      </c>
      <c r="C22" s="49">
        <v>0</v>
      </c>
      <c r="D22" s="107">
        <f>Tracker[[#This Row],[Estimated Hrs]]-Tracker[[#This Row],[Actual Efforts (Hrs)]]</f>
        <v>-7.5</v>
      </c>
      <c r="E22" s="108"/>
      <c r="F22" s="108"/>
      <c r="G22" s="108"/>
      <c r="H22" s="109">
        <v>18644099</v>
      </c>
      <c r="I22" s="109">
        <f>Tracker[[#This Row],[DCR ID - PTC]]</f>
        <v>18644099</v>
      </c>
      <c r="J22" s="108"/>
      <c r="K22" s="108" t="s">
        <v>179</v>
      </c>
      <c r="L22" s="108"/>
      <c r="M22" s="108"/>
      <c r="N22" s="116" t="s">
        <v>888</v>
      </c>
      <c r="O22" s="111" t="s">
        <v>106</v>
      </c>
      <c r="P22" s="111"/>
      <c r="Q22" s="111"/>
      <c r="R22" s="111"/>
      <c r="S22" s="111"/>
      <c r="T22" s="111"/>
      <c r="U22" s="108"/>
      <c r="V22" s="108"/>
      <c r="W22" s="108"/>
      <c r="X22" s="108">
        <f t="shared" si="0"/>
        <v>40.4</v>
      </c>
      <c r="Y22" s="108"/>
      <c r="Z22" s="108"/>
      <c r="AA22" s="108"/>
      <c r="AB22" s="112"/>
      <c r="AC22" s="108"/>
      <c r="AD22" s="108"/>
      <c r="AE22" s="107"/>
      <c r="AF22" s="113"/>
      <c r="AG22" s="115"/>
      <c r="AH22" s="108"/>
      <c r="AI22" s="108"/>
      <c r="AJ22" s="114"/>
      <c r="AK22" s="108"/>
      <c r="AL22" s="115"/>
      <c r="AM22" s="116"/>
      <c r="AN22" s="116"/>
      <c r="AO22" s="139"/>
      <c r="AP22" s="108"/>
      <c r="AQ22" s="107"/>
      <c r="AR22" s="107"/>
      <c r="AS22" s="116"/>
      <c r="AT22" s="114">
        <f t="shared" si="1"/>
        <v>40.4</v>
      </c>
      <c r="AU22" s="114"/>
      <c r="AV22" s="108"/>
      <c r="AW22" s="108"/>
      <c r="AX22" s="108"/>
      <c r="AY22" s="108"/>
      <c r="AZ22" s="108"/>
      <c r="BA22" s="108"/>
      <c r="BB22" s="108"/>
      <c r="BC22" s="108"/>
      <c r="BD22" s="111"/>
      <c r="BE22" s="111">
        <f t="shared" si="2"/>
        <v>40.4</v>
      </c>
      <c r="BF22" s="111"/>
      <c r="BG22" s="111"/>
      <c r="BH22" s="111"/>
      <c r="BI22" s="111"/>
      <c r="BJ22" s="111"/>
      <c r="BK22" s="111"/>
      <c r="BL22" s="111"/>
      <c r="BM22" s="117"/>
      <c r="BN22" s="111"/>
      <c r="BO22" s="117"/>
      <c r="BP22" s="117">
        <f t="shared" si="3"/>
        <v>40.4</v>
      </c>
      <c r="BQ22" s="117"/>
      <c r="BR22" s="111"/>
      <c r="BS22" s="118"/>
      <c r="BT22" s="111"/>
      <c r="BU22" s="118"/>
      <c r="BV22" s="111"/>
      <c r="BW22" s="111"/>
      <c r="BX22" s="111"/>
      <c r="BY22" s="111"/>
      <c r="BZ22" s="111"/>
      <c r="CA22" s="111">
        <f t="shared" si="4"/>
        <v>40.4</v>
      </c>
      <c r="CB22" s="119"/>
      <c r="CC22" s="117"/>
      <c r="CD22" s="120" t="e">
        <v>#N/A</v>
      </c>
      <c r="CE22" s="120" t="e">
        <v>#N/A</v>
      </c>
      <c r="CF22" s="120" t="e">
        <v>#N/A</v>
      </c>
      <c r="CG22" s="123"/>
      <c r="CH22" s="120"/>
      <c r="CI22" s="120"/>
      <c r="CJ22" s="123"/>
      <c r="CK22" s="132"/>
    </row>
    <row r="23" spans="1:89" ht="29.1">
      <c r="A23" s="106" t="s">
        <v>526</v>
      </c>
      <c r="B23" s="107">
        <v>0</v>
      </c>
      <c r="C23" s="49">
        <v>0</v>
      </c>
      <c r="D23" s="107">
        <v>0</v>
      </c>
      <c r="E23" s="108"/>
      <c r="F23" s="108"/>
      <c r="G23" s="108"/>
      <c r="H23" s="151">
        <v>7609827</v>
      </c>
      <c r="I23" s="109">
        <f>Tracker[[#This Row],[DCR ID - PTC]]</f>
        <v>7609827</v>
      </c>
      <c r="J23" s="108" t="s">
        <v>527</v>
      </c>
      <c r="K23" s="108"/>
      <c r="L23" s="108"/>
      <c r="M23" s="108"/>
      <c r="N23" s="116"/>
      <c r="O23" s="111"/>
      <c r="P23" s="111"/>
      <c r="Q23" s="111"/>
      <c r="R23" s="111"/>
      <c r="S23" s="111"/>
      <c r="T23" s="111"/>
      <c r="U23" s="108"/>
      <c r="V23" s="108"/>
      <c r="W23" s="108"/>
      <c r="X23" s="108">
        <f t="shared" si="0"/>
        <v>40.4</v>
      </c>
      <c r="Y23" s="108"/>
      <c r="Z23" s="108"/>
      <c r="AA23" s="108"/>
      <c r="AB23" s="112">
        <v>44407</v>
      </c>
      <c r="AC23" s="108"/>
      <c r="AD23" s="108" t="s">
        <v>93</v>
      </c>
      <c r="AE23" s="107"/>
      <c r="AF23" s="113"/>
      <c r="AG23" s="115"/>
      <c r="AH23" s="108" t="s">
        <v>100</v>
      </c>
      <c r="AI23" s="108" t="s">
        <v>101</v>
      </c>
      <c r="AJ23" s="114">
        <v>44407</v>
      </c>
      <c r="AK23" s="108" t="s">
        <v>528</v>
      </c>
      <c r="AL23" s="115">
        <v>44404.604745370372</v>
      </c>
      <c r="AM23" s="116"/>
      <c r="AN23" s="116"/>
      <c r="AO23" s="139"/>
      <c r="AP23" s="108"/>
      <c r="AQ23" s="107"/>
      <c r="AR23" s="107"/>
      <c r="AS23" s="116"/>
      <c r="AT23" s="114">
        <f t="shared" si="1"/>
        <v>40.4</v>
      </c>
      <c r="AU23" s="114"/>
      <c r="AV23" s="108"/>
      <c r="AW23" s="108"/>
      <c r="AX23" s="108"/>
      <c r="AY23" s="108" t="s">
        <v>866</v>
      </c>
      <c r="AZ23" s="108"/>
      <c r="BA23" s="108"/>
      <c r="BB23" s="108"/>
      <c r="BC23" s="108"/>
      <c r="BD23" s="111"/>
      <c r="BE23" s="111">
        <f t="shared" si="2"/>
        <v>40.4</v>
      </c>
      <c r="BF23" s="111"/>
      <c r="BG23" s="111"/>
      <c r="BH23" s="111"/>
      <c r="BI23" s="111"/>
      <c r="BJ23" s="111"/>
      <c r="BK23" s="111"/>
      <c r="BL23" s="111"/>
      <c r="BM23" s="117"/>
      <c r="BN23" s="111"/>
      <c r="BO23" s="117"/>
      <c r="BP23" s="117">
        <f t="shared" si="3"/>
        <v>40.4</v>
      </c>
      <c r="BQ23" s="117"/>
      <c r="BR23" s="111"/>
      <c r="BS23" s="118"/>
      <c r="BT23" s="111"/>
      <c r="BU23" s="118"/>
      <c r="BV23" s="111"/>
      <c r="BW23" s="111"/>
      <c r="BX23" s="111"/>
      <c r="BY23" s="111"/>
      <c r="BZ23" s="111"/>
      <c r="CA23" s="111">
        <f t="shared" si="4"/>
        <v>40.4</v>
      </c>
      <c r="CB23" s="119"/>
      <c r="CC23" s="117"/>
      <c r="CD23" s="120" t="e">
        <v>#N/A</v>
      </c>
      <c r="CE23" s="120" t="e">
        <v>#N/A</v>
      </c>
      <c r="CF23" s="120" t="e">
        <v>#N/A</v>
      </c>
      <c r="CG23" s="123"/>
      <c r="CH23" s="120"/>
      <c r="CI23" s="120"/>
      <c r="CJ23" s="123"/>
      <c r="CK23" s="132"/>
    </row>
    <row r="24" spans="1:89" ht="43.5">
      <c r="A24" s="106" t="s">
        <v>526</v>
      </c>
      <c r="B24" s="107">
        <v>0</v>
      </c>
      <c r="C24" s="49">
        <v>0</v>
      </c>
      <c r="D24" s="107">
        <v>0</v>
      </c>
      <c r="E24" s="108"/>
      <c r="F24" s="108"/>
      <c r="G24" s="121"/>
      <c r="H24" s="155">
        <v>11969665</v>
      </c>
      <c r="I24" s="109">
        <f>Tracker[[#This Row],[DCR ID - PTC]]</f>
        <v>11969665</v>
      </c>
      <c r="J24" s="328" t="s">
        <v>532</v>
      </c>
      <c r="K24" s="108"/>
      <c r="L24" s="108"/>
      <c r="M24" s="108"/>
      <c r="N24" s="116"/>
      <c r="O24" s="111"/>
      <c r="P24" s="111"/>
      <c r="Q24" s="111"/>
      <c r="R24" s="111"/>
      <c r="S24" s="111"/>
      <c r="T24" s="111"/>
      <c r="U24" s="108"/>
      <c r="V24" s="108"/>
      <c r="W24" s="108"/>
      <c r="X24" s="108">
        <f t="shared" si="0"/>
        <v>40.4</v>
      </c>
      <c r="Y24" s="108"/>
      <c r="Z24" s="108"/>
      <c r="AA24" s="108"/>
      <c r="AB24" s="112"/>
      <c r="AC24" s="108"/>
      <c r="AD24" s="108" t="s">
        <v>146</v>
      </c>
      <c r="AE24" s="107"/>
      <c r="AF24" s="113"/>
      <c r="AG24" s="115"/>
      <c r="AH24" s="108" t="s">
        <v>109</v>
      </c>
      <c r="AI24" s="108" t="s">
        <v>95</v>
      </c>
      <c r="AJ24" s="114"/>
      <c r="AK24" s="108" t="s">
        <v>96</v>
      </c>
      <c r="AL24" s="115">
        <v>45125.098078703704</v>
      </c>
      <c r="AM24" s="116"/>
      <c r="AN24" s="116"/>
      <c r="AO24" s="139"/>
      <c r="AP24" s="108"/>
      <c r="AQ24" s="107"/>
      <c r="AR24" s="107"/>
      <c r="AS24" s="116"/>
      <c r="AT24" s="114">
        <f t="shared" si="1"/>
        <v>40.4</v>
      </c>
      <c r="AU24" s="114"/>
      <c r="AV24" s="108"/>
      <c r="AW24" s="108"/>
      <c r="AX24" s="108"/>
      <c r="AY24" s="108" t="s">
        <v>866</v>
      </c>
      <c r="AZ24" s="108"/>
      <c r="BA24" s="108"/>
      <c r="BB24" s="108"/>
      <c r="BC24" s="108"/>
      <c r="BD24" s="111"/>
      <c r="BE24" s="111">
        <f t="shared" si="2"/>
        <v>40.4</v>
      </c>
      <c r="BF24" s="111"/>
      <c r="BG24" s="111"/>
      <c r="BH24" s="111"/>
      <c r="BI24" s="111"/>
      <c r="BJ24" s="111"/>
      <c r="BK24" s="111"/>
      <c r="BL24" s="111"/>
      <c r="BM24" s="117"/>
      <c r="BN24" s="111"/>
      <c r="BO24" s="117"/>
      <c r="BP24" s="117">
        <f t="shared" si="3"/>
        <v>40.4</v>
      </c>
      <c r="BQ24" s="117"/>
      <c r="BR24" s="111"/>
      <c r="BS24" s="118"/>
      <c r="BT24" s="111"/>
      <c r="BU24" s="118"/>
      <c r="BV24" s="111"/>
      <c r="BW24" s="111"/>
      <c r="BX24" s="111"/>
      <c r="BY24" s="111"/>
      <c r="BZ24" s="111"/>
      <c r="CA24" s="111">
        <f t="shared" si="4"/>
        <v>40.4</v>
      </c>
      <c r="CB24" s="119"/>
      <c r="CC24" s="117"/>
      <c r="CD24" s="123" t="e">
        <v>#N/A</v>
      </c>
      <c r="CE24" s="123" t="e">
        <v>#N/A</v>
      </c>
      <c r="CF24" s="123" t="e">
        <v>#N/A</v>
      </c>
      <c r="CG24" s="123"/>
      <c r="CH24" s="120"/>
      <c r="CI24" s="123"/>
      <c r="CJ24" s="123"/>
      <c r="CK24" s="132"/>
    </row>
    <row r="25" spans="1:89" ht="43.5" customHeight="1">
      <c r="A25" s="106" t="s">
        <v>526</v>
      </c>
      <c r="B25" s="49">
        <v>0</v>
      </c>
      <c r="C25" s="49">
        <v>0</v>
      </c>
      <c r="D25" s="107">
        <v>0</v>
      </c>
      <c r="E25" s="134"/>
      <c r="F25" s="134"/>
      <c r="G25" s="134"/>
      <c r="H25" s="355">
        <v>12217539</v>
      </c>
      <c r="I25" s="109">
        <f>Tracker[[#This Row],[DCR ID - PTC]]</f>
        <v>12217539</v>
      </c>
      <c r="J25" s="360" t="s">
        <v>533</v>
      </c>
      <c r="K25" s="134"/>
      <c r="L25" s="134"/>
      <c r="M25" s="134"/>
      <c r="N25" s="116"/>
      <c r="O25" s="123"/>
      <c r="P25" s="123"/>
      <c r="Q25" s="123"/>
      <c r="R25" s="123"/>
      <c r="S25" s="123"/>
      <c r="T25" s="123"/>
      <c r="U25" s="134"/>
      <c r="V25" s="134"/>
      <c r="W25" s="134"/>
      <c r="X25" s="134">
        <f t="shared" si="0"/>
        <v>40.4</v>
      </c>
      <c r="Y25" s="134"/>
      <c r="Z25" s="134"/>
      <c r="AA25" s="134"/>
      <c r="AC25" s="134"/>
      <c r="AD25" s="134" t="s">
        <v>146</v>
      </c>
      <c r="AE25" s="49"/>
      <c r="AF25" s="136"/>
      <c r="AG25" s="137"/>
      <c r="AH25" s="134" t="s">
        <v>350</v>
      </c>
      <c r="AI25" s="134" t="s">
        <v>101</v>
      </c>
      <c r="AJ25" s="138">
        <v>45322</v>
      </c>
      <c r="AK25" s="134" t="s">
        <v>96</v>
      </c>
      <c r="AL25" s="137">
        <v>45169.48170138889</v>
      </c>
      <c r="AM25" s="139"/>
      <c r="AN25" s="139"/>
      <c r="AO25" s="139"/>
      <c r="AP25" s="134"/>
      <c r="AQ25" s="49"/>
      <c r="AR25" s="49"/>
      <c r="AS25" s="139"/>
      <c r="AT25" s="138">
        <f t="shared" si="1"/>
        <v>40.4</v>
      </c>
      <c r="AU25" s="138"/>
      <c r="AV25" s="134"/>
      <c r="AW25" s="134"/>
      <c r="AX25" s="108"/>
      <c r="AY25" s="108" t="s">
        <v>866</v>
      </c>
      <c r="AZ25" s="134"/>
      <c r="BA25" s="134"/>
      <c r="BB25" s="134"/>
      <c r="BC25" s="134"/>
      <c r="BD25" s="123"/>
      <c r="BE25" s="123">
        <f t="shared" si="2"/>
        <v>40.4</v>
      </c>
      <c r="BF25" s="123"/>
      <c r="BG25" s="123"/>
      <c r="BH25" s="123"/>
      <c r="BI25" s="123"/>
      <c r="BJ25" s="123"/>
      <c r="BK25" s="123"/>
      <c r="BL25" s="123"/>
      <c r="BM25" s="117"/>
      <c r="BN25" s="123"/>
      <c r="BO25" s="140"/>
      <c r="BP25" s="140">
        <f t="shared" si="3"/>
        <v>40.4</v>
      </c>
      <c r="BQ25" s="140"/>
      <c r="BR25" s="123"/>
      <c r="BS25" s="141"/>
      <c r="BT25" s="123"/>
      <c r="BU25" s="141"/>
      <c r="BV25" s="123"/>
      <c r="BW25" s="123"/>
      <c r="BX25" s="123"/>
      <c r="BY25" s="123"/>
      <c r="BZ25" s="123"/>
      <c r="CA25" s="123">
        <f t="shared" si="4"/>
        <v>40.4</v>
      </c>
      <c r="CB25" s="143"/>
      <c r="CC25" s="140"/>
      <c r="CD25" s="120" t="e">
        <v>#N/A</v>
      </c>
      <c r="CE25" s="120" t="e">
        <v>#N/A</v>
      </c>
      <c r="CF25" s="120" t="e">
        <v>#N/A</v>
      </c>
      <c r="CG25" s="123"/>
      <c r="CH25" s="120"/>
      <c r="CI25" s="120"/>
      <c r="CJ25" s="123"/>
      <c r="CK25" s="132"/>
    </row>
    <row r="26" spans="1:89" ht="43.5" customHeight="1">
      <c r="A26" s="106" t="s">
        <v>526</v>
      </c>
      <c r="B26" s="107">
        <v>0</v>
      </c>
      <c r="C26" s="49">
        <v>0</v>
      </c>
      <c r="D26" s="107">
        <v>0</v>
      </c>
      <c r="E26" s="108"/>
      <c r="F26" s="108"/>
      <c r="G26" s="121"/>
      <c r="H26" s="355">
        <v>12341669</v>
      </c>
      <c r="I26" s="109">
        <f>Tracker[[#This Row],[DCR ID - PTC]]</f>
        <v>12341669</v>
      </c>
      <c r="J26" s="251" t="s">
        <v>534</v>
      </c>
      <c r="K26" s="108"/>
      <c r="L26" s="108"/>
      <c r="M26" s="108"/>
      <c r="N26" s="116"/>
      <c r="O26" s="111"/>
      <c r="P26" s="111"/>
      <c r="Q26" s="111"/>
      <c r="R26" s="111"/>
      <c r="S26" s="111"/>
      <c r="T26" s="111"/>
      <c r="U26" s="108"/>
      <c r="V26" s="108"/>
      <c r="W26" s="108"/>
      <c r="X26" s="108">
        <f t="shared" si="0"/>
        <v>40.4</v>
      </c>
      <c r="Y26" s="108"/>
      <c r="Z26" s="108"/>
      <c r="AA26" s="108"/>
      <c r="AB26" s="112"/>
      <c r="AC26" s="108"/>
      <c r="AD26" s="108" t="s">
        <v>93</v>
      </c>
      <c r="AE26" s="107"/>
      <c r="AF26" s="113"/>
      <c r="AG26" s="115"/>
      <c r="AH26" s="108" t="s">
        <v>109</v>
      </c>
      <c r="AI26" s="108" t="s">
        <v>95</v>
      </c>
      <c r="AJ26" s="114">
        <v>44128</v>
      </c>
      <c r="AK26" s="108" t="s">
        <v>96</v>
      </c>
      <c r="AL26" s="115">
        <v>45194.971817129626</v>
      </c>
      <c r="AM26" s="116"/>
      <c r="AN26" s="116"/>
      <c r="AO26" s="139"/>
      <c r="AP26" s="108"/>
      <c r="AQ26" s="107"/>
      <c r="AR26" s="107"/>
      <c r="AS26" s="116"/>
      <c r="AT26" s="114">
        <f t="shared" si="1"/>
        <v>40.4</v>
      </c>
      <c r="AU26" s="114"/>
      <c r="AV26" s="108"/>
      <c r="AW26" s="108"/>
      <c r="AX26" s="108"/>
      <c r="AY26" s="108" t="s">
        <v>866</v>
      </c>
      <c r="AZ26" s="108"/>
      <c r="BA26" s="108"/>
      <c r="BB26" s="108"/>
      <c r="BC26" s="108"/>
      <c r="BD26" s="111"/>
      <c r="BE26" s="111">
        <f t="shared" si="2"/>
        <v>40.4</v>
      </c>
      <c r="BF26" s="111"/>
      <c r="BG26" s="111"/>
      <c r="BH26" s="111"/>
      <c r="BI26" s="111"/>
      <c r="BJ26" s="111"/>
      <c r="BK26" s="111"/>
      <c r="BL26" s="111"/>
      <c r="BM26" s="117"/>
      <c r="BN26" s="111"/>
      <c r="BO26" s="117"/>
      <c r="BP26" s="117">
        <f t="shared" si="3"/>
        <v>40.4</v>
      </c>
      <c r="BQ26" s="117"/>
      <c r="BR26" s="111"/>
      <c r="BS26" s="118"/>
      <c r="BT26" s="111"/>
      <c r="BU26" s="118"/>
      <c r="BV26" s="111"/>
      <c r="BW26" s="111"/>
      <c r="BX26" s="111"/>
      <c r="BY26" s="111"/>
      <c r="BZ26" s="111"/>
      <c r="CA26" s="111">
        <f t="shared" si="4"/>
        <v>40.4</v>
      </c>
      <c r="CB26" s="119"/>
      <c r="CC26" s="117"/>
      <c r="CD26" s="120" t="e">
        <v>#N/A</v>
      </c>
      <c r="CE26" s="120" t="e">
        <v>#N/A</v>
      </c>
      <c r="CF26" s="120" t="e">
        <v>#N/A</v>
      </c>
      <c r="CG26" s="123"/>
      <c r="CH26" s="120"/>
      <c r="CI26" s="120"/>
      <c r="CJ26" s="123"/>
      <c r="CK26" s="132"/>
    </row>
    <row r="27" spans="1:89" ht="43.5">
      <c r="A27" s="106" t="s">
        <v>526</v>
      </c>
      <c r="B27" s="107">
        <v>0</v>
      </c>
      <c r="C27" s="49">
        <v>0</v>
      </c>
      <c r="D27" s="107">
        <v>0</v>
      </c>
      <c r="E27" s="108"/>
      <c r="F27" s="108"/>
      <c r="G27" s="121"/>
      <c r="H27" s="151">
        <v>12341679</v>
      </c>
      <c r="I27" s="109">
        <f>Tracker[[#This Row],[DCR ID - PTC]]</f>
        <v>12341679</v>
      </c>
      <c r="J27" s="108" t="s">
        <v>535</v>
      </c>
      <c r="K27" s="108"/>
      <c r="L27" s="108"/>
      <c r="M27" s="108"/>
      <c r="N27" s="116"/>
      <c r="O27" s="111"/>
      <c r="P27" s="111"/>
      <c r="Q27" s="111"/>
      <c r="R27" s="111"/>
      <c r="S27" s="111"/>
      <c r="T27" s="111"/>
      <c r="U27" s="108"/>
      <c r="V27" s="108"/>
      <c r="W27" s="108"/>
      <c r="X27" s="108">
        <f t="shared" si="0"/>
        <v>40.4</v>
      </c>
      <c r="Y27" s="108"/>
      <c r="Z27" s="108"/>
      <c r="AA27" s="108"/>
      <c r="AB27" s="112"/>
      <c r="AC27" s="108"/>
      <c r="AD27" s="108" t="s">
        <v>93</v>
      </c>
      <c r="AE27" s="107"/>
      <c r="AF27" s="113"/>
      <c r="AG27" s="115"/>
      <c r="AH27" s="108" t="s">
        <v>109</v>
      </c>
      <c r="AI27" s="108" t="s">
        <v>95</v>
      </c>
      <c r="AJ27" s="114">
        <v>44165</v>
      </c>
      <c r="AK27" s="108" t="s">
        <v>96</v>
      </c>
      <c r="AL27" s="115">
        <v>45194.973993055559</v>
      </c>
      <c r="AM27" s="116"/>
      <c r="AN27" s="116"/>
      <c r="AO27" s="139"/>
      <c r="AP27" s="108"/>
      <c r="AQ27" s="107"/>
      <c r="AR27" s="107"/>
      <c r="AS27" s="116"/>
      <c r="AT27" s="114">
        <f t="shared" si="1"/>
        <v>40.4</v>
      </c>
      <c r="AU27" s="114"/>
      <c r="AV27" s="108"/>
      <c r="AW27" s="108"/>
      <c r="AX27" s="108"/>
      <c r="AY27" s="108" t="s">
        <v>866</v>
      </c>
      <c r="AZ27" s="108"/>
      <c r="BA27" s="108"/>
      <c r="BB27" s="108"/>
      <c r="BC27" s="108"/>
      <c r="BD27" s="111"/>
      <c r="BE27" s="111">
        <f t="shared" si="2"/>
        <v>40.4</v>
      </c>
      <c r="BF27" s="111"/>
      <c r="BG27" s="111"/>
      <c r="BH27" s="111"/>
      <c r="BI27" s="111"/>
      <c r="BJ27" s="111"/>
      <c r="BK27" s="111"/>
      <c r="BL27" s="111"/>
      <c r="BM27" s="117"/>
      <c r="BN27" s="111"/>
      <c r="BO27" s="117"/>
      <c r="BP27" s="117">
        <f t="shared" si="3"/>
        <v>40.4</v>
      </c>
      <c r="BQ27" s="117"/>
      <c r="BR27" s="111"/>
      <c r="BS27" s="118"/>
      <c r="BT27" s="111"/>
      <c r="BU27" s="118"/>
      <c r="BV27" s="111"/>
      <c r="BW27" s="111"/>
      <c r="BX27" s="111"/>
      <c r="BY27" s="111"/>
      <c r="BZ27" s="111"/>
      <c r="CA27" s="111">
        <f t="shared" si="4"/>
        <v>40.4</v>
      </c>
      <c r="CB27" s="119"/>
      <c r="CC27" s="117"/>
      <c r="CD27" s="120" t="e">
        <v>#N/A</v>
      </c>
      <c r="CE27" s="120" t="e">
        <v>#N/A</v>
      </c>
      <c r="CF27" s="120" t="e">
        <v>#N/A</v>
      </c>
      <c r="CG27" s="123"/>
      <c r="CH27" s="120"/>
      <c r="CI27" s="120"/>
      <c r="CJ27" s="123"/>
      <c r="CK27" s="132"/>
    </row>
    <row r="28" spans="1:89" ht="43.5">
      <c r="A28" s="147" t="s">
        <v>526</v>
      </c>
      <c r="B28" s="49">
        <v>0</v>
      </c>
      <c r="C28" s="49">
        <v>0</v>
      </c>
      <c r="D28" s="49">
        <v>0</v>
      </c>
      <c r="E28" s="134"/>
      <c r="F28" s="134"/>
      <c r="G28" s="146"/>
      <c r="H28" s="154">
        <v>12487553</v>
      </c>
      <c r="I28" s="109">
        <f>Tracker[[#This Row],[DCR ID - PTC]]</f>
        <v>12487553</v>
      </c>
      <c r="J28" s="134" t="s">
        <v>536</v>
      </c>
      <c r="K28" s="108"/>
      <c r="L28" s="134"/>
      <c r="M28" s="134"/>
      <c r="N28" s="116"/>
      <c r="O28" s="111"/>
      <c r="P28" s="123"/>
      <c r="Q28" s="123"/>
      <c r="R28" s="123"/>
      <c r="S28" s="123"/>
      <c r="T28" s="123"/>
      <c r="U28" s="134"/>
      <c r="V28" s="134"/>
      <c r="W28" s="134"/>
      <c r="X28" s="134">
        <f t="shared" si="0"/>
        <v>40.4</v>
      </c>
      <c r="Y28" s="134"/>
      <c r="Z28" s="134"/>
      <c r="AA28" s="134"/>
      <c r="AC28" s="134"/>
      <c r="AD28" s="134" t="s">
        <v>146</v>
      </c>
      <c r="AE28" s="49"/>
      <c r="AF28" s="136"/>
      <c r="AG28" s="137"/>
      <c r="AH28" s="134" t="s">
        <v>109</v>
      </c>
      <c r="AI28" s="134" t="s">
        <v>95</v>
      </c>
      <c r="AJ28" s="138"/>
      <c r="AK28" s="134" t="s">
        <v>96</v>
      </c>
      <c r="AL28" s="137">
        <v>45218.549641203703</v>
      </c>
      <c r="AM28" s="139"/>
      <c r="AN28" s="139"/>
      <c r="AO28" s="139"/>
      <c r="AP28" s="134"/>
      <c r="AQ28" s="49"/>
      <c r="AR28" s="49"/>
      <c r="AS28" s="139"/>
      <c r="AT28" s="138">
        <f t="shared" si="1"/>
        <v>40.4</v>
      </c>
      <c r="AU28" s="138"/>
      <c r="AV28" s="134"/>
      <c r="AW28" s="134"/>
      <c r="AX28" s="108"/>
      <c r="AY28" s="108" t="s">
        <v>866</v>
      </c>
      <c r="AZ28" s="134"/>
      <c r="BA28" s="134"/>
      <c r="BB28" s="134"/>
      <c r="BC28" s="134"/>
      <c r="BD28" s="123"/>
      <c r="BE28" s="123">
        <f t="shared" si="2"/>
        <v>40.4</v>
      </c>
      <c r="BF28" s="123"/>
      <c r="BG28" s="123"/>
      <c r="BH28" s="123"/>
      <c r="BI28" s="123"/>
      <c r="BJ28" s="123"/>
      <c r="BK28" s="123"/>
      <c r="BL28" s="123"/>
      <c r="BM28" s="117"/>
      <c r="BN28" s="123"/>
      <c r="BO28" s="140"/>
      <c r="BP28" s="140">
        <f t="shared" si="3"/>
        <v>40.4</v>
      </c>
      <c r="BQ28" s="140"/>
      <c r="BR28" s="123"/>
      <c r="BS28" s="141"/>
      <c r="BT28" s="123"/>
      <c r="BU28" s="141"/>
      <c r="BV28" s="123"/>
      <c r="BW28" s="123"/>
      <c r="BX28" s="123"/>
      <c r="BY28" s="123"/>
      <c r="BZ28" s="123"/>
      <c r="CA28" s="123">
        <f t="shared" si="4"/>
        <v>40.4</v>
      </c>
      <c r="CB28" s="119"/>
      <c r="CC28" s="140"/>
      <c r="CD28" s="120" t="e">
        <v>#N/A</v>
      </c>
      <c r="CE28" s="120" t="e">
        <v>#N/A</v>
      </c>
      <c r="CF28" s="120" t="e">
        <v>#N/A</v>
      </c>
      <c r="CG28" s="123"/>
      <c r="CH28" s="120"/>
      <c r="CI28" s="120"/>
      <c r="CJ28" s="123"/>
      <c r="CK28" s="132"/>
    </row>
    <row r="29" spans="1:89" ht="57.95">
      <c r="A29" s="106" t="s">
        <v>526</v>
      </c>
      <c r="B29" s="107">
        <v>0</v>
      </c>
      <c r="C29" s="49">
        <v>0</v>
      </c>
      <c r="D29" s="107">
        <v>0</v>
      </c>
      <c r="E29" s="108"/>
      <c r="F29" s="108"/>
      <c r="G29" s="121"/>
      <c r="H29" s="151">
        <v>12995062</v>
      </c>
      <c r="I29" s="109">
        <f>Tracker[[#This Row],[DCR ID - PTC]]</f>
        <v>12995062</v>
      </c>
      <c r="J29" s="108" t="s">
        <v>539</v>
      </c>
      <c r="K29" s="108"/>
      <c r="L29" s="108"/>
      <c r="M29" s="108"/>
      <c r="N29" s="116"/>
      <c r="O29" s="111"/>
      <c r="P29" s="111"/>
      <c r="Q29" s="123"/>
      <c r="R29" s="123"/>
      <c r="S29" s="123"/>
      <c r="T29" s="123"/>
      <c r="U29" s="134"/>
      <c r="V29" s="134"/>
      <c r="W29" s="134"/>
      <c r="X29" s="134">
        <f t="shared" si="0"/>
        <v>40.4</v>
      </c>
      <c r="Y29" s="134"/>
      <c r="Z29" s="134"/>
      <c r="AA29" s="134"/>
      <c r="AC29" s="134"/>
      <c r="AD29" s="134" t="s">
        <v>146</v>
      </c>
      <c r="AE29" s="49"/>
      <c r="AF29" s="136"/>
      <c r="AG29" s="137"/>
      <c r="AH29" s="134" t="s">
        <v>109</v>
      </c>
      <c r="AI29" s="134" t="s">
        <v>95</v>
      </c>
      <c r="AJ29" s="138">
        <v>45322</v>
      </c>
      <c r="AK29" s="134" t="s">
        <v>540</v>
      </c>
      <c r="AL29" s="137">
        <v>45307.641747685186</v>
      </c>
      <c r="AM29" s="139"/>
      <c r="AN29" s="139"/>
      <c r="AO29" s="139"/>
      <c r="AP29" s="134"/>
      <c r="AQ29" s="49"/>
      <c r="AR29" s="49"/>
      <c r="AS29" s="139"/>
      <c r="AT29" s="138">
        <f t="shared" si="1"/>
        <v>40.4</v>
      </c>
      <c r="AU29" s="138"/>
      <c r="AV29" s="134"/>
      <c r="AW29" s="134"/>
      <c r="AX29" s="108"/>
      <c r="AY29" s="108" t="s">
        <v>866</v>
      </c>
      <c r="AZ29" s="134"/>
      <c r="BA29" s="134"/>
      <c r="BB29" s="134"/>
      <c r="BC29" s="134"/>
      <c r="BD29" s="123"/>
      <c r="BE29" s="314">
        <f t="shared" si="2"/>
        <v>40.4</v>
      </c>
      <c r="BF29" s="314"/>
      <c r="BG29" s="314"/>
      <c r="BH29" s="314"/>
      <c r="BI29" s="314"/>
      <c r="BJ29" s="314"/>
      <c r="BK29" s="314"/>
      <c r="BL29" s="314"/>
      <c r="BM29" s="117"/>
      <c r="BN29" s="314"/>
      <c r="BO29" s="311"/>
      <c r="BP29" s="311">
        <f t="shared" si="3"/>
        <v>40.4</v>
      </c>
      <c r="BQ29" s="311"/>
      <c r="BR29" s="314"/>
      <c r="BS29" s="321"/>
      <c r="BT29" s="314"/>
      <c r="BU29" s="321"/>
      <c r="BV29" s="314"/>
      <c r="BW29" s="314"/>
      <c r="BX29" s="314"/>
      <c r="BY29" s="314"/>
      <c r="BZ29" s="314"/>
      <c r="CA29" s="314">
        <f t="shared" si="4"/>
        <v>40.4</v>
      </c>
      <c r="CB29" s="143"/>
      <c r="CC29" s="311"/>
      <c r="CD29" s="120" t="e">
        <v>#N/A</v>
      </c>
      <c r="CE29" s="120" t="e">
        <v>#N/A</v>
      </c>
      <c r="CF29" s="120" t="e">
        <v>#N/A</v>
      </c>
      <c r="CG29" s="123"/>
      <c r="CH29" s="120"/>
      <c r="CI29" s="120"/>
      <c r="CJ29" s="123"/>
      <c r="CK29" s="132"/>
    </row>
    <row r="30" spans="1:89" ht="43.5">
      <c r="A30" s="106" t="s">
        <v>526</v>
      </c>
      <c r="B30" s="107">
        <v>0</v>
      </c>
      <c r="C30" s="49">
        <v>0</v>
      </c>
      <c r="D30" s="107">
        <v>0</v>
      </c>
      <c r="E30" s="108"/>
      <c r="F30" s="346"/>
      <c r="G30" s="121"/>
      <c r="H30" s="151">
        <v>13046388</v>
      </c>
      <c r="I30" s="109">
        <f>Tracker[[#This Row],[DCR ID - PTC]]</f>
        <v>13046388</v>
      </c>
      <c r="J30" s="108" t="s">
        <v>541</v>
      </c>
      <c r="K30" s="108"/>
      <c r="L30" s="108"/>
      <c r="M30" s="108"/>
      <c r="N30" s="116"/>
      <c r="O30" s="111"/>
      <c r="P30" s="123"/>
      <c r="Q30" s="123"/>
      <c r="R30" s="123"/>
      <c r="S30" s="123"/>
      <c r="T30" s="123"/>
      <c r="U30" s="134"/>
      <c r="V30" s="134"/>
      <c r="W30" s="134"/>
      <c r="X30" s="134">
        <f t="shared" si="0"/>
        <v>40.4</v>
      </c>
      <c r="Y30" s="134"/>
      <c r="Z30" s="134"/>
      <c r="AA30" s="134"/>
      <c r="AC30" s="134"/>
      <c r="AD30" s="134" t="s">
        <v>116</v>
      </c>
      <c r="AE30" s="49"/>
      <c r="AF30" s="317"/>
      <c r="AG30" s="318"/>
      <c r="AH30" s="146" t="s">
        <v>109</v>
      </c>
      <c r="AI30" s="146" t="s">
        <v>95</v>
      </c>
      <c r="AJ30" s="319">
        <v>45443</v>
      </c>
      <c r="AK30" s="146" t="s">
        <v>96</v>
      </c>
      <c r="AL30" s="318">
        <v>45315.811631944445</v>
      </c>
      <c r="AM30" s="320"/>
      <c r="AN30" s="320"/>
      <c r="AO30" s="139"/>
      <c r="AP30" s="146"/>
      <c r="AQ30" s="316"/>
      <c r="AR30" s="316"/>
      <c r="AS30" s="320"/>
      <c r="AT30" s="319">
        <f t="shared" si="1"/>
        <v>40.4</v>
      </c>
      <c r="AU30" s="319"/>
      <c r="AV30" s="146"/>
      <c r="AW30" s="146"/>
      <c r="AX30" s="108"/>
      <c r="AY30" s="108" t="s">
        <v>866</v>
      </c>
      <c r="AZ30" s="146"/>
      <c r="BA30" s="146"/>
      <c r="BB30" s="146"/>
      <c r="BC30" s="146"/>
      <c r="BD30" s="314"/>
      <c r="BE30" s="314">
        <f t="shared" si="2"/>
        <v>40.4</v>
      </c>
      <c r="BF30" s="314"/>
      <c r="BG30" s="314"/>
      <c r="BH30" s="314"/>
      <c r="BI30" s="314"/>
      <c r="BJ30" s="314"/>
      <c r="BK30" s="314"/>
      <c r="BL30" s="314"/>
      <c r="BM30" s="117"/>
      <c r="BN30" s="314"/>
      <c r="BO30" s="311"/>
      <c r="BP30" s="311">
        <f t="shared" si="3"/>
        <v>40.4</v>
      </c>
      <c r="BQ30" s="311"/>
      <c r="BR30" s="314"/>
      <c r="BS30" s="321"/>
      <c r="BT30" s="314"/>
      <c r="BU30" s="321"/>
      <c r="BV30" s="314"/>
      <c r="BW30" s="314"/>
      <c r="BX30" s="314"/>
      <c r="BY30" s="314"/>
      <c r="BZ30" s="314"/>
      <c r="CA30" s="314">
        <f t="shared" si="4"/>
        <v>40.4</v>
      </c>
      <c r="CB30" s="143"/>
      <c r="CC30" s="311"/>
      <c r="CD30" s="120" t="e">
        <v>#N/A</v>
      </c>
      <c r="CE30" s="120" t="e">
        <v>#N/A</v>
      </c>
      <c r="CF30" s="120" t="e">
        <v>#N/A</v>
      </c>
      <c r="CG30" s="123"/>
      <c r="CH30" s="120"/>
      <c r="CI30" s="120"/>
      <c r="CJ30" s="123"/>
      <c r="CK30" s="132"/>
    </row>
    <row r="31" spans="1:89" ht="43.5">
      <c r="A31" s="106" t="s">
        <v>526</v>
      </c>
      <c r="B31" s="107">
        <v>0</v>
      </c>
      <c r="C31" s="49">
        <v>0</v>
      </c>
      <c r="D31" s="107">
        <v>0</v>
      </c>
      <c r="E31" s="108"/>
      <c r="F31" s="352"/>
      <c r="G31" s="353"/>
      <c r="H31" s="151">
        <v>13079054</v>
      </c>
      <c r="I31" s="109">
        <f>Tracker[[#This Row],[DCR ID - PTC]]</f>
        <v>13079054</v>
      </c>
      <c r="J31" s="134" t="s">
        <v>543</v>
      </c>
      <c r="K31" s="108"/>
      <c r="L31" s="108"/>
      <c r="M31" s="108"/>
      <c r="N31" s="116"/>
      <c r="O31" s="111"/>
      <c r="P31" s="111"/>
      <c r="Q31" s="111"/>
      <c r="R31" s="111"/>
      <c r="S31" s="111"/>
      <c r="T31" s="111"/>
      <c r="U31" s="108"/>
      <c r="V31" s="108"/>
      <c r="W31" s="108"/>
      <c r="X31" s="108">
        <f t="shared" si="0"/>
        <v>40.4</v>
      </c>
      <c r="Y31" s="108"/>
      <c r="Z31" s="108"/>
      <c r="AA31" s="108"/>
      <c r="AB31" s="112"/>
      <c r="AC31" s="108"/>
      <c r="AD31" s="108" t="s">
        <v>93</v>
      </c>
      <c r="AE31" s="107"/>
      <c r="AF31" s="317"/>
      <c r="AG31" s="318"/>
      <c r="AH31" s="146" t="s">
        <v>109</v>
      </c>
      <c r="AI31" s="146" t="s">
        <v>95</v>
      </c>
      <c r="AJ31" s="319">
        <v>45443</v>
      </c>
      <c r="AK31" s="146" t="s">
        <v>96</v>
      </c>
      <c r="AL31" s="318">
        <v>45323.142013888886</v>
      </c>
      <c r="AM31" s="320"/>
      <c r="AN31" s="320"/>
      <c r="AO31" s="139"/>
      <c r="AP31" s="146"/>
      <c r="AQ31" s="316"/>
      <c r="AR31" s="316"/>
      <c r="AS31" s="320"/>
      <c r="AT31" s="319">
        <f t="shared" si="1"/>
        <v>40.4</v>
      </c>
      <c r="AU31" s="319"/>
      <c r="AV31" s="146"/>
      <c r="AW31" s="146"/>
      <c r="AX31" s="108"/>
      <c r="AY31" s="108" t="s">
        <v>866</v>
      </c>
      <c r="AZ31" s="146"/>
      <c r="BA31" s="146"/>
      <c r="BB31" s="146"/>
      <c r="BC31" s="146"/>
      <c r="BD31" s="314"/>
      <c r="BE31" s="314">
        <f t="shared" si="2"/>
        <v>40.4</v>
      </c>
      <c r="BF31" s="314"/>
      <c r="BG31" s="314"/>
      <c r="BH31" s="314"/>
      <c r="BI31" s="314"/>
      <c r="BJ31" s="314"/>
      <c r="BK31" s="314"/>
      <c r="BL31" s="314"/>
      <c r="BM31" s="117"/>
      <c r="BN31" s="314"/>
      <c r="BO31" s="311"/>
      <c r="BP31" s="311">
        <f t="shared" si="3"/>
        <v>40.4</v>
      </c>
      <c r="BQ31" s="311"/>
      <c r="BR31" s="314"/>
      <c r="BS31" s="321"/>
      <c r="BT31" s="314"/>
      <c r="BU31" s="321"/>
      <c r="BV31" s="314"/>
      <c r="BW31" s="314"/>
      <c r="BX31" s="314"/>
      <c r="BY31" s="314"/>
      <c r="BZ31" s="314"/>
      <c r="CA31" s="314">
        <f t="shared" si="4"/>
        <v>40.4</v>
      </c>
      <c r="CB31" s="119"/>
      <c r="CC31" s="311"/>
      <c r="CD31" s="120" t="e">
        <v>#N/A</v>
      </c>
      <c r="CE31" s="120" t="e">
        <v>#N/A</v>
      </c>
      <c r="CF31" s="120" t="e">
        <v>#N/A</v>
      </c>
      <c r="CG31" s="123"/>
      <c r="CH31" s="120"/>
      <c r="CI31" s="120"/>
      <c r="CJ31" s="123"/>
      <c r="CK31" s="132"/>
    </row>
    <row r="32" spans="1:89" ht="43.5">
      <c r="A32" s="106" t="s">
        <v>526</v>
      </c>
      <c r="B32" s="49">
        <v>0</v>
      </c>
      <c r="C32" s="49">
        <v>0</v>
      </c>
      <c r="D32" s="107">
        <v>0</v>
      </c>
      <c r="E32" s="134"/>
      <c r="F32" s="108"/>
      <c r="G32" s="121"/>
      <c r="H32" s="154">
        <v>13173306</v>
      </c>
      <c r="I32" s="109">
        <f>Tracker[[#This Row],[DCR ID - PTC]]</f>
        <v>13173306</v>
      </c>
      <c r="J32" s="134" t="s">
        <v>545</v>
      </c>
      <c r="K32" s="108"/>
      <c r="L32" s="134"/>
      <c r="M32" s="134"/>
      <c r="N32" s="116"/>
      <c r="O32" s="111"/>
      <c r="P32" s="123"/>
      <c r="Q32" s="123"/>
      <c r="R32" s="123"/>
      <c r="S32" s="123"/>
      <c r="T32" s="123"/>
      <c r="U32" s="134"/>
      <c r="V32" s="134"/>
      <c r="W32" s="134"/>
      <c r="X32" s="134">
        <f t="shared" si="0"/>
        <v>40.4</v>
      </c>
      <c r="Y32" s="134"/>
      <c r="Z32" s="134"/>
      <c r="AA32" s="134"/>
      <c r="AC32" s="134"/>
      <c r="AD32" s="134" t="s">
        <v>93</v>
      </c>
      <c r="AE32" s="49"/>
      <c r="AF32" s="136"/>
      <c r="AG32" s="137"/>
      <c r="AH32" s="134" t="s">
        <v>109</v>
      </c>
      <c r="AI32" s="134" t="s">
        <v>95</v>
      </c>
      <c r="AJ32" s="138">
        <v>45565</v>
      </c>
      <c r="AK32" s="134" t="s">
        <v>96</v>
      </c>
      <c r="AL32" s="137">
        <v>45341.643483796295</v>
      </c>
      <c r="AM32" s="139"/>
      <c r="AN32" s="139"/>
      <c r="AO32" s="139"/>
      <c r="AP32" s="134"/>
      <c r="AQ32" s="49"/>
      <c r="AR32" s="49"/>
      <c r="AS32" s="139"/>
      <c r="AT32" s="138">
        <f t="shared" si="1"/>
        <v>40.4</v>
      </c>
      <c r="AU32" s="138"/>
      <c r="AV32" s="134"/>
      <c r="AW32" s="134"/>
      <c r="AX32" s="108"/>
      <c r="AY32" s="108" t="s">
        <v>866</v>
      </c>
      <c r="AZ32" s="134"/>
      <c r="BA32" s="134"/>
      <c r="BB32" s="134"/>
      <c r="BC32" s="134"/>
      <c r="BD32" s="123"/>
      <c r="BE32" s="123">
        <f t="shared" si="2"/>
        <v>40.4</v>
      </c>
      <c r="BF32" s="123"/>
      <c r="BG32" s="123"/>
      <c r="BH32" s="123"/>
      <c r="BI32" s="123"/>
      <c r="BJ32" s="123"/>
      <c r="BK32" s="123"/>
      <c r="BL32" s="123"/>
      <c r="BM32" s="117"/>
      <c r="BN32" s="123"/>
      <c r="BO32" s="140"/>
      <c r="BP32" s="140">
        <f t="shared" si="3"/>
        <v>40.4</v>
      </c>
      <c r="BQ32" s="140"/>
      <c r="BR32" s="123"/>
      <c r="BS32" s="141"/>
      <c r="BT32" s="123"/>
      <c r="BU32" s="141"/>
      <c r="BV32" s="123"/>
      <c r="BW32" s="123"/>
      <c r="BX32" s="123"/>
      <c r="BY32" s="123"/>
      <c r="BZ32" s="123"/>
      <c r="CA32" s="123">
        <f t="shared" si="4"/>
        <v>40.4</v>
      </c>
      <c r="CB32" s="143"/>
      <c r="CC32" s="140"/>
      <c r="CD32" s="120" t="e">
        <v>#N/A</v>
      </c>
      <c r="CE32" s="120" t="e">
        <v>#N/A</v>
      </c>
      <c r="CF32" s="120" t="e">
        <v>#N/A</v>
      </c>
      <c r="CG32" s="123"/>
      <c r="CH32" s="120"/>
      <c r="CI32" s="120"/>
      <c r="CJ32" s="123"/>
      <c r="CK32" s="132"/>
    </row>
    <row r="33" spans="1:89" ht="57.95" customHeight="1">
      <c r="A33" s="147" t="s">
        <v>526</v>
      </c>
      <c r="B33" s="49">
        <v>0</v>
      </c>
      <c r="C33" s="49">
        <v>0</v>
      </c>
      <c r="D33" s="49">
        <v>0</v>
      </c>
      <c r="E33" s="134"/>
      <c r="F33" s="134"/>
      <c r="G33" s="108"/>
      <c r="H33" s="154">
        <v>12942193</v>
      </c>
      <c r="I33" s="109">
        <f>Tracker[[#This Row],[DCR ID - PTC]]</f>
        <v>12942193</v>
      </c>
      <c r="J33" s="134" t="s">
        <v>537</v>
      </c>
      <c r="K33" s="108"/>
      <c r="L33" s="134" t="s">
        <v>538</v>
      </c>
      <c r="M33" s="134"/>
      <c r="N33" s="116"/>
      <c r="O33" s="111"/>
      <c r="P33" s="123"/>
      <c r="Q33" s="123"/>
      <c r="R33" s="123"/>
      <c r="S33" s="123"/>
      <c r="T33" s="123"/>
      <c r="U33" s="134"/>
      <c r="V33" s="134"/>
      <c r="W33" s="134"/>
      <c r="X33" s="134">
        <f t="shared" si="0"/>
        <v>40.4</v>
      </c>
      <c r="Y33" s="134"/>
      <c r="Z33" s="134"/>
      <c r="AA33" s="134"/>
      <c r="AC33" s="134" t="s">
        <v>538</v>
      </c>
      <c r="AD33" s="134" t="s">
        <v>116</v>
      </c>
      <c r="AE33" s="49"/>
      <c r="AF33" s="136"/>
      <c r="AG33" s="137"/>
      <c r="AH33" s="134" t="s">
        <v>109</v>
      </c>
      <c r="AI33" s="134" t="s">
        <v>95</v>
      </c>
      <c r="AJ33" s="138">
        <v>43707</v>
      </c>
      <c r="AK33" s="134" t="s">
        <v>96</v>
      </c>
      <c r="AL33" s="137">
        <v>45301.824837962966</v>
      </c>
      <c r="AM33" s="139"/>
      <c r="AN33" s="139"/>
      <c r="AO33" s="139"/>
      <c r="AP33" s="134"/>
      <c r="AQ33" s="49"/>
      <c r="AR33" s="49"/>
      <c r="AS33" s="116"/>
      <c r="AT33" s="114">
        <f t="shared" si="1"/>
        <v>40.4</v>
      </c>
      <c r="AU33" s="114"/>
      <c r="AV33" s="134"/>
      <c r="AW33" s="134"/>
      <c r="AX33" s="108"/>
      <c r="AY33" s="108" t="s">
        <v>866</v>
      </c>
      <c r="AZ33" s="134"/>
      <c r="BA33" s="134"/>
      <c r="BB33" s="134"/>
      <c r="BC33" s="134"/>
      <c r="BD33" s="123"/>
      <c r="BE33" s="123">
        <f t="shared" si="2"/>
        <v>40.4</v>
      </c>
      <c r="BF33" s="123"/>
      <c r="BG33" s="123"/>
      <c r="BH33" s="123"/>
      <c r="BI33" s="123"/>
      <c r="BJ33" s="123"/>
      <c r="BK33" s="123"/>
      <c r="BL33" s="123"/>
      <c r="BM33" s="117"/>
      <c r="BN33" s="123"/>
      <c r="BO33" s="140"/>
      <c r="BP33" s="140">
        <f t="shared" si="3"/>
        <v>40.4</v>
      </c>
      <c r="BQ33" s="140"/>
      <c r="BR33" s="123"/>
      <c r="BS33" s="141"/>
      <c r="BT33" s="123"/>
      <c r="BU33" s="141"/>
      <c r="BV33" s="123"/>
      <c r="BW33" s="123"/>
      <c r="BX33" s="123"/>
      <c r="BY33" s="123"/>
      <c r="BZ33" s="123"/>
      <c r="CA33" s="123">
        <f t="shared" si="4"/>
        <v>40.4</v>
      </c>
      <c r="CB33" s="119"/>
      <c r="CC33" s="117"/>
      <c r="CD33" s="120" t="e">
        <v>#N/A</v>
      </c>
      <c r="CE33" s="120" t="e">
        <v>#N/A</v>
      </c>
      <c r="CF33" s="120" t="e">
        <v>#N/A</v>
      </c>
      <c r="CG33" s="123"/>
      <c r="CH33" s="120"/>
      <c r="CI33" s="120"/>
      <c r="CJ33" s="314"/>
      <c r="CK33" s="132"/>
    </row>
    <row r="34" spans="1:89" ht="72.599999999999994" customHeight="1">
      <c r="A34" s="106" t="s">
        <v>526</v>
      </c>
      <c r="B34" s="107">
        <v>0</v>
      </c>
      <c r="C34" s="49">
        <v>0</v>
      </c>
      <c r="D34" s="107">
        <v>0</v>
      </c>
      <c r="E34" s="108"/>
      <c r="F34" s="108"/>
      <c r="G34" s="108"/>
      <c r="H34" s="151">
        <v>11571818</v>
      </c>
      <c r="I34" s="109">
        <f>Tracker[[#This Row],[DCR ID - PTC]]</f>
        <v>11571818</v>
      </c>
      <c r="J34" s="108" t="s">
        <v>530</v>
      </c>
      <c r="K34" s="108"/>
      <c r="L34" s="108" t="s">
        <v>531</v>
      </c>
      <c r="M34" s="108"/>
      <c r="N34" s="116"/>
      <c r="O34" s="111"/>
      <c r="P34" s="111"/>
      <c r="Q34" s="111"/>
      <c r="R34" s="111"/>
      <c r="S34" s="111"/>
      <c r="T34" s="111"/>
      <c r="U34" s="108"/>
      <c r="V34" s="108"/>
      <c r="W34" s="108"/>
      <c r="X34" s="108">
        <f t="shared" si="0"/>
        <v>40.4</v>
      </c>
      <c r="Y34" s="108"/>
      <c r="Z34" s="108"/>
      <c r="AA34" s="108"/>
      <c r="AB34" s="112"/>
      <c r="AC34" s="108" t="s">
        <v>531</v>
      </c>
      <c r="AD34" s="108" t="s">
        <v>93</v>
      </c>
      <c r="AE34" s="107"/>
      <c r="AF34" s="113"/>
      <c r="AG34" s="115"/>
      <c r="AH34" s="108" t="s">
        <v>109</v>
      </c>
      <c r="AI34" s="108" t="s">
        <v>95</v>
      </c>
      <c r="AJ34" s="114">
        <v>44957</v>
      </c>
      <c r="AK34" s="108" t="s">
        <v>96</v>
      </c>
      <c r="AL34" s="115">
        <v>45059.071747685186</v>
      </c>
      <c r="AM34" s="116"/>
      <c r="AN34" s="116"/>
      <c r="AO34" s="139"/>
      <c r="AP34" s="108"/>
      <c r="AQ34" s="107"/>
      <c r="AR34" s="107"/>
      <c r="AS34" s="116"/>
      <c r="AT34" s="114">
        <f t="shared" si="1"/>
        <v>40.4</v>
      </c>
      <c r="AU34" s="114"/>
      <c r="AV34" s="108"/>
      <c r="AW34" s="108"/>
      <c r="AX34" s="108"/>
      <c r="AY34" s="108" t="s">
        <v>866</v>
      </c>
      <c r="AZ34" s="108"/>
      <c r="BA34" s="108"/>
      <c r="BB34" s="108"/>
      <c r="BC34" s="108"/>
      <c r="BD34" s="111"/>
      <c r="BE34" s="111">
        <f t="shared" si="2"/>
        <v>40.4</v>
      </c>
      <c r="BF34" s="111"/>
      <c r="BG34" s="111"/>
      <c r="BH34" s="111"/>
      <c r="BI34" s="111"/>
      <c r="BJ34" s="111"/>
      <c r="BK34" s="111"/>
      <c r="BL34" s="111"/>
      <c r="BM34" s="117"/>
      <c r="BN34" s="111"/>
      <c r="BO34" s="117"/>
      <c r="BP34" s="117">
        <f t="shared" si="3"/>
        <v>40.4</v>
      </c>
      <c r="BQ34" s="117"/>
      <c r="BR34" s="111"/>
      <c r="BS34" s="118"/>
      <c r="BT34" s="111"/>
      <c r="BU34" s="118"/>
      <c r="BV34" s="111"/>
      <c r="BW34" s="111"/>
      <c r="BX34" s="111"/>
      <c r="BY34" s="111"/>
      <c r="BZ34" s="111"/>
      <c r="CA34" s="111">
        <f t="shared" si="4"/>
        <v>40.4</v>
      </c>
      <c r="CB34" s="119"/>
      <c r="CC34" s="117"/>
      <c r="CD34" s="120" t="e">
        <v>#N/A</v>
      </c>
      <c r="CE34" s="120" t="e">
        <v>#N/A</v>
      </c>
      <c r="CF34" s="120" t="e">
        <v>#N/A</v>
      </c>
      <c r="CG34" s="111"/>
      <c r="CH34" s="120"/>
      <c r="CI34" s="120"/>
      <c r="CJ34" s="314"/>
      <c r="CK34" s="132"/>
    </row>
    <row r="35" spans="1:89" ht="57.95">
      <c r="A35" s="106" t="s">
        <v>526</v>
      </c>
      <c r="B35" s="107">
        <v>0</v>
      </c>
      <c r="C35" s="49">
        <v>0</v>
      </c>
      <c r="D35" s="107">
        <v>0</v>
      </c>
      <c r="E35" s="108"/>
      <c r="F35" s="108"/>
      <c r="G35" s="121"/>
      <c r="H35" s="151">
        <v>13318844</v>
      </c>
      <c r="I35" s="109">
        <f>Tracker[[#This Row],[DCR ID - PTC]]</f>
        <v>13318844</v>
      </c>
      <c r="J35" s="108" t="s">
        <v>546</v>
      </c>
      <c r="K35" s="108"/>
      <c r="L35" s="108" t="s">
        <v>531</v>
      </c>
      <c r="M35" s="108"/>
      <c r="N35" s="116"/>
      <c r="O35" s="111"/>
      <c r="P35" s="123"/>
      <c r="Q35" s="111"/>
      <c r="R35" s="314"/>
      <c r="S35" s="314"/>
      <c r="T35" s="123"/>
      <c r="U35" s="134"/>
      <c r="V35" s="134"/>
      <c r="W35" s="134"/>
      <c r="X35" s="146">
        <f t="shared" si="0"/>
        <v>40.4</v>
      </c>
      <c r="Y35" s="146"/>
      <c r="Z35" s="146"/>
      <c r="AA35" s="146"/>
      <c r="AB35" s="315"/>
      <c r="AC35" s="146" t="s">
        <v>531</v>
      </c>
      <c r="AD35" s="146" t="s">
        <v>93</v>
      </c>
      <c r="AE35" s="316"/>
      <c r="AF35" s="113"/>
      <c r="AG35" s="115"/>
      <c r="AH35" s="146" t="s">
        <v>109</v>
      </c>
      <c r="AI35" s="146" t="s">
        <v>95</v>
      </c>
      <c r="AJ35" s="319">
        <v>44685</v>
      </c>
      <c r="AK35" s="146" t="s">
        <v>96</v>
      </c>
      <c r="AL35" s="318">
        <v>45364.987951388888</v>
      </c>
      <c r="AM35" s="320"/>
      <c r="AN35" s="320"/>
      <c r="AO35" s="139"/>
      <c r="AP35" s="146"/>
      <c r="AQ35" s="316"/>
      <c r="AR35" s="316"/>
      <c r="AS35" s="116"/>
      <c r="AT35" s="114">
        <f t="shared" si="1"/>
        <v>40.4</v>
      </c>
      <c r="AU35" s="114"/>
      <c r="AV35" s="146"/>
      <c r="AW35" s="146"/>
      <c r="AX35" s="108"/>
      <c r="AY35" s="108" t="s">
        <v>866</v>
      </c>
      <c r="AZ35" s="146"/>
      <c r="BA35" s="146"/>
      <c r="BB35" s="146"/>
      <c r="BC35" s="146"/>
      <c r="BD35" s="314"/>
      <c r="BE35" s="314">
        <f t="shared" si="2"/>
        <v>40.4</v>
      </c>
      <c r="BF35" s="314"/>
      <c r="BG35" s="314"/>
      <c r="BH35" s="314"/>
      <c r="BI35" s="314"/>
      <c r="BJ35" s="314"/>
      <c r="BK35" s="314"/>
      <c r="BL35" s="314"/>
      <c r="BM35" s="117"/>
      <c r="BN35" s="314"/>
      <c r="BO35" s="311"/>
      <c r="BP35" s="311">
        <f t="shared" si="3"/>
        <v>40.4</v>
      </c>
      <c r="BQ35" s="311"/>
      <c r="BR35" s="314"/>
      <c r="BS35" s="321"/>
      <c r="BT35" s="314"/>
      <c r="BU35" s="321"/>
      <c r="BV35" s="314"/>
      <c r="BW35" s="314"/>
      <c r="BX35" s="314"/>
      <c r="BY35" s="314"/>
      <c r="BZ35" s="314"/>
      <c r="CA35" s="314">
        <f t="shared" si="4"/>
        <v>40.4</v>
      </c>
      <c r="CB35" s="119"/>
      <c r="CC35" s="311"/>
      <c r="CD35" s="120" t="e">
        <v>#N/A</v>
      </c>
      <c r="CE35" s="120" t="e">
        <v>#N/A</v>
      </c>
      <c r="CF35" s="120" t="e">
        <v>#N/A</v>
      </c>
      <c r="CG35" s="314"/>
      <c r="CH35" s="120"/>
      <c r="CI35" s="120"/>
      <c r="CJ35" s="123"/>
      <c r="CK35" s="132"/>
    </row>
    <row r="36" spans="1:89" ht="43.5">
      <c r="A36" s="147" t="s">
        <v>526</v>
      </c>
      <c r="B36" s="49">
        <v>0</v>
      </c>
      <c r="C36" s="49">
        <v>0</v>
      </c>
      <c r="D36" s="49">
        <v>0</v>
      </c>
      <c r="E36" s="134"/>
      <c r="F36" s="109"/>
      <c r="G36" s="108"/>
      <c r="H36" s="154">
        <v>13071268</v>
      </c>
      <c r="I36" s="109">
        <f>Tracker[[#This Row],[DCR ID - PTC]]</f>
        <v>13071268</v>
      </c>
      <c r="J36" s="108" t="s">
        <v>542</v>
      </c>
      <c r="K36" s="108"/>
      <c r="L36" s="134" t="s">
        <v>332</v>
      </c>
      <c r="M36" s="134"/>
      <c r="N36" s="116"/>
      <c r="O36" s="111"/>
      <c r="P36" s="123"/>
      <c r="Q36" s="123"/>
      <c r="R36" s="123"/>
      <c r="S36" s="123"/>
      <c r="T36" s="123"/>
      <c r="U36" s="134"/>
      <c r="V36" s="134"/>
      <c r="W36" s="134"/>
      <c r="X36" s="134">
        <f t="shared" si="0"/>
        <v>40.4</v>
      </c>
      <c r="Y36" s="134"/>
      <c r="Z36" s="134"/>
      <c r="AA36" s="134"/>
      <c r="AC36" s="134" t="s">
        <v>332</v>
      </c>
      <c r="AD36" s="134" t="s">
        <v>146</v>
      </c>
      <c r="AE36" s="49"/>
      <c r="AF36" s="136"/>
      <c r="AG36" s="137"/>
      <c r="AH36" s="134" t="s">
        <v>109</v>
      </c>
      <c r="AI36" s="134" t="s">
        <v>95</v>
      </c>
      <c r="AJ36" s="138">
        <v>45443</v>
      </c>
      <c r="AK36" s="134" t="s">
        <v>96</v>
      </c>
      <c r="AL36" s="137">
        <v>45321.825127314813</v>
      </c>
      <c r="AM36" s="139"/>
      <c r="AN36" s="139"/>
      <c r="AO36" s="139"/>
      <c r="AP36" s="134"/>
      <c r="AQ36" s="49"/>
      <c r="AR36" s="49"/>
      <c r="AS36" s="116"/>
      <c r="AT36" s="114">
        <f t="shared" si="1"/>
        <v>40.4</v>
      </c>
      <c r="AU36" s="114"/>
      <c r="AV36" s="134"/>
      <c r="AW36" s="134"/>
      <c r="AX36" s="108"/>
      <c r="AY36" s="108" t="s">
        <v>866</v>
      </c>
      <c r="AZ36" s="134"/>
      <c r="BA36" s="134"/>
      <c r="BB36" s="134"/>
      <c r="BC36" s="134"/>
      <c r="BD36" s="123"/>
      <c r="BE36" s="123">
        <f t="shared" si="2"/>
        <v>40.4</v>
      </c>
      <c r="BF36" s="123"/>
      <c r="BG36" s="123"/>
      <c r="BH36" s="123"/>
      <c r="BI36" s="123"/>
      <c r="BJ36" s="123"/>
      <c r="BK36" s="123"/>
      <c r="BL36" s="123"/>
      <c r="BM36" s="117"/>
      <c r="BN36" s="123"/>
      <c r="BO36" s="140"/>
      <c r="BP36" s="140">
        <f t="shared" si="3"/>
        <v>40.4</v>
      </c>
      <c r="BQ36" s="140"/>
      <c r="BR36" s="123"/>
      <c r="BS36" s="141"/>
      <c r="BT36" s="123"/>
      <c r="BU36" s="141"/>
      <c r="BV36" s="123"/>
      <c r="BW36" s="123"/>
      <c r="BX36" s="123"/>
      <c r="BY36" s="123"/>
      <c r="BZ36" s="123"/>
      <c r="CA36" s="123">
        <f t="shared" si="4"/>
        <v>40.4</v>
      </c>
      <c r="CB36" s="143"/>
      <c r="CC36" s="140"/>
      <c r="CD36" s="120" t="e">
        <v>#N/A</v>
      </c>
      <c r="CE36" s="120" t="e">
        <v>#N/A</v>
      </c>
      <c r="CF36" s="120" t="e">
        <v>#N/A</v>
      </c>
      <c r="CG36" s="123"/>
      <c r="CH36" s="120"/>
      <c r="CI36" s="120"/>
      <c r="CJ36" s="123"/>
      <c r="CK36" s="132"/>
    </row>
    <row r="37" spans="1:89" ht="43.5">
      <c r="A37" s="106" t="s">
        <v>526</v>
      </c>
      <c r="B37" s="107">
        <v>0</v>
      </c>
      <c r="C37" s="49">
        <v>0</v>
      </c>
      <c r="D37" s="107">
        <v>0</v>
      </c>
      <c r="E37" s="108"/>
      <c r="F37" s="108"/>
      <c r="G37" s="121"/>
      <c r="H37" s="151">
        <v>13151019</v>
      </c>
      <c r="I37" s="109">
        <f>Tracker[[#This Row],[DCR ID - PTC]]</f>
        <v>13151019</v>
      </c>
      <c r="J37" s="134" t="s">
        <v>544</v>
      </c>
      <c r="K37" s="108"/>
      <c r="L37" s="108" t="s">
        <v>332</v>
      </c>
      <c r="M37" s="108"/>
      <c r="N37" s="116"/>
      <c r="O37" s="111"/>
      <c r="P37" s="111"/>
      <c r="Q37" s="111"/>
      <c r="R37" s="111"/>
      <c r="S37" s="111"/>
      <c r="T37" s="111"/>
      <c r="U37" s="108"/>
      <c r="V37" s="108"/>
      <c r="W37" s="108"/>
      <c r="X37" s="108">
        <f t="shared" si="0"/>
        <v>40.4</v>
      </c>
      <c r="Y37" s="108"/>
      <c r="Z37" s="108"/>
      <c r="AA37" s="108"/>
      <c r="AB37" s="112"/>
      <c r="AC37" s="108" t="s">
        <v>332</v>
      </c>
      <c r="AD37" s="108" t="s">
        <v>146</v>
      </c>
      <c r="AE37" s="107"/>
      <c r="AF37" s="113"/>
      <c r="AG37" s="115"/>
      <c r="AH37" s="108" t="s">
        <v>109</v>
      </c>
      <c r="AI37" s="108" t="s">
        <v>95</v>
      </c>
      <c r="AJ37" s="114">
        <v>45412</v>
      </c>
      <c r="AK37" s="108" t="s">
        <v>96</v>
      </c>
      <c r="AL37" s="115">
        <v>45336.427673611113</v>
      </c>
      <c r="AM37" s="116"/>
      <c r="AN37" s="116"/>
      <c r="AO37" s="139"/>
      <c r="AP37" s="108"/>
      <c r="AQ37" s="107"/>
      <c r="AR37" s="107"/>
      <c r="AS37" s="116"/>
      <c r="AT37" s="114">
        <f t="shared" si="1"/>
        <v>40.4</v>
      </c>
      <c r="AU37" s="114"/>
      <c r="AV37" s="108"/>
      <c r="AW37" s="108"/>
      <c r="AX37" s="108"/>
      <c r="AY37" s="108" t="s">
        <v>866</v>
      </c>
      <c r="AZ37" s="108"/>
      <c r="BA37" s="108"/>
      <c r="BB37" s="108"/>
      <c r="BC37" s="108"/>
      <c r="BD37" s="111"/>
      <c r="BE37" s="111">
        <f t="shared" si="2"/>
        <v>40.4</v>
      </c>
      <c r="BF37" s="111"/>
      <c r="BG37" s="111"/>
      <c r="BH37" s="111"/>
      <c r="BI37" s="111"/>
      <c r="BJ37" s="111"/>
      <c r="BK37" s="111"/>
      <c r="BL37" s="111"/>
      <c r="BM37" s="117"/>
      <c r="BN37" s="111"/>
      <c r="BO37" s="117"/>
      <c r="BP37" s="117">
        <f t="shared" si="3"/>
        <v>40.4</v>
      </c>
      <c r="BQ37" s="117"/>
      <c r="BR37" s="111"/>
      <c r="BS37" s="118"/>
      <c r="BT37" s="111"/>
      <c r="BU37" s="118"/>
      <c r="BV37" s="111"/>
      <c r="BW37" s="111"/>
      <c r="BX37" s="111"/>
      <c r="BY37" s="111"/>
      <c r="BZ37" s="111"/>
      <c r="CA37" s="111">
        <f t="shared" si="4"/>
        <v>40.4</v>
      </c>
      <c r="CB37" s="119"/>
      <c r="CC37" s="117"/>
      <c r="CD37" s="120" t="e">
        <v>#N/A</v>
      </c>
      <c r="CE37" s="120" t="e">
        <v>#N/A</v>
      </c>
      <c r="CF37" s="120" t="e">
        <v>#N/A</v>
      </c>
      <c r="CG37" s="111"/>
      <c r="CH37" s="120"/>
      <c r="CI37" s="120"/>
      <c r="CJ37" s="123"/>
      <c r="CK37" s="132"/>
    </row>
    <row r="38" spans="1:89" ht="87">
      <c r="A38" s="106" t="s">
        <v>889</v>
      </c>
      <c r="B38" s="107"/>
      <c r="C38" s="49">
        <v>0</v>
      </c>
      <c r="D38" s="107">
        <f>Tracker[[#This Row],[Estimated Hrs]]-Tracker[[#This Row],[Actual Efforts (Hrs)]]</f>
        <v>0</v>
      </c>
      <c r="E38" s="108"/>
      <c r="F38" s="108" t="s">
        <v>136</v>
      </c>
      <c r="G38" s="121"/>
      <c r="H38" s="154">
        <v>18490976</v>
      </c>
      <c r="I38" s="109">
        <f>Tracker[[#This Row],[DCR ID - PTC]]</f>
        <v>18490976</v>
      </c>
      <c r="J38" s="134" t="s">
        <v>373</v>
      </c>
      <c r="K38" s="134" t="s">
        <v>179</v>
      </c>
      <c r="L38" s="134"/>
      <c r="M38" s="134"/>
      <c r="N38" s="116"/>
      <c r="O38" s="111" t="s">
        <v>106</v>
      </c>
      <c r="P38" s="111"/>
      <c r="Q38" s="111"/>
      <c r="R38" s="111"/>
      <c r="S38" s="111"/>
      <c r="T38" s="111"/>
      <c r="U38" s="108"/>
      <c r="V38" s="108"/>
      <c r="W38" s="108"/>
      <c r="X38" s="108">
        <f t="shared" si="0"/>
        <v>40.4</v>
      </c>
      <c r="Y38" s="108"/>
      <c r="Z38" s="108"/>
      <c r="AA38" s="108" t="s">
        <v>873</v>
      </c>
      <c r="AB38" s="112">
        <v>46171</v>
      </c>
      <c r="AC38" s="108"/>
      <c r="AD38" s="108" t="s">
        <v>93</v>
      </c>
      <c r="AE38" s="107"/>
      <c r="AF38" s="113"/>
      <c r="AG38" s="115">
        <v>46132.926585648151</v>
      </c>
      <c r="AH38" s="108" t="s">
        <v>100</v>
      </c>
      <c r="AI38" s="108" t="s">
        <v>95</v>
      </c>
      <c r="AJ38" s="114">
        <v>46173.395833333336</v>
      </c>
      <c r="AK38" s="108" t="s">
        <v>96</v>
      </c>
      <c r="AL38" s="115">
        <v>46042.777025462965</v>
      </c>
      <c r="AM38" s="116"/>
      <c r="AN38" s="116"/>
      <c r="AO38" s="139"/>
      <c r="AP38" s="108"/>
      <c r="AQ38" s="107"/>
      <c r="AR38" s="107"/>
      <c r="AS38" s="116"/>
      <c r="AT38" s="114">
        <f t="shared" si="1"/>
        <v>40.4</v>
      </c>
      <c r="AU38" s="114"/>
      <c r="AV38" s="108"/>
      <c r="AW38" s="108"/>
      <c r="AX38" s="108"/>
      <c r="AY38" s="108" t="s">
        <v>866</v>
      </c>
      <c r="AZ38" s="108"/>
      <c r="BA38" s="108"/>
      <c r="BB38" s="108"/>
      <c r="BC38" s="108"/>
      <c r="BD38" s="111"/>
      <c r="BE38" s="111">
        <f t="shared" si="2"/>
        <v>40.4</v>
      </c>
      <c r="BF38" s="111"/>
      <c r="BG38" s="111"/>
      <c r="BH38" s="111"/>
      <c r="BI38" s="111"/>
      <c r="BJ38" s="111"/>
      <c r="BK38" s="111"/>
      <c r="BL38" s="111"/>
      <c r="BM38" s="117"/>
      <c r="BN38" s="111"/>
      <c r="BO38" s="117"/>
      <c r="BP38" s="117">
        <f t="shared" si="3"/>
        <v>40.4</v>
      </c>
      <c r="BQ38" s="117"/>
      <c r="BR38" s="111"/>
      <c r="BS38" s="118"/>
      <c r="BT38" s="111"/>
      <c r="BU38" s="118"/>
      <c r="BV38" s="111"/>
      <c r="BW38" s="111"/>
      <c r="BX38" s="111"/>
      <c r="BY38" s="111"/>
      <c r="BZ38" s="111"/>
      <c r="CA38" s="111">
        <f t="shared" si="4"/>
        <v>40.4</v>
      </c>
      <c r="CB38" s="119"/>
      <c r="CC38" s="117"/>
      <c r="CD38" s="120" t="e">
        <v>#N/A</v>
      </c>
      <c r="CE38" s="120" t="e">
        <v>#N/A</v>
      </c>
      <c r="CF38" s="120" t="e">
        <v>#N/A</v>
      </c>
      <c r="CG38" s="123"/>
      <c r="CH38" s="120"/>
      <c r="CI38" s="120"/>
      <c r="CJ38" s="123"/>
      <c r="CK38" s="132"/>
    </row>
    <row r="39" spans="1:89" ht="174">
      <c r="A39" s="147" t="s">
        <v>510</v>
      </c>
      <c r="B39" s="49">
        <f>3.5+6.5+1+1+0.25</f>
        <v>12.25</v>
      </c>
      <c r="C39" s="49">
        <v>10</v>
      </c>
      <c r="D39" s="49">
        <v>0</v>
      </c>
      <c r="E39" s="134"/>
      <c r="F39" s="134"/>
      <c r="G39" s="150"/>
      <c r="H39" s="154">
        <v>19226704</v>
      </c>
      <c r="I39" s="109">
        <f>Tracker[[#This Row],[DCR ID - PTC]]</f>
        <v>19226704</v>
      </c>
      <c r="J39" s="134" t="s">
        <v>890</v>
      </c>
      <c r="K39" s="134" t="s">
        <v>104</v>
      </c>
      <c r="L39" s="134"/>
      <c r="M39" s="134"/>
      <c r="N39" s="116" t="s">
        <v>891</v>
      </c>
      <c r="O39" s="123" t="s">
        <v>231</v>
      </c>
      <c r="P39" s="123"/>
      <c r="Q39" s="123"/>
      <c r="R39" s="123"/>
      <c r="S39" s="123"/>
      <c r="T39" s="123"/>
      <c r="U39" s="134"/>
      <c r="V39" s="134"/>
      <c r="W39" s="134"/>
      <c r="X39" s="134">
        <f t="shared" si="0"/>
        <v>40.4</v>
      </c>
      <c r="Y39" s="134"/>
      <c r="Z39" s="134"/>
      <c r="AA39" s="134"/>
      <c r="AC39" s="134"/>
      <c r="AD39" s="134" t="s">
        <v>93</v>
      </c>
      <c r="AE39" s="49"/>
      <c r="AF39" s="136"/>
      <c r="AG39" s="137"/>
      <c r="AH39" s="134" t="s">
        <v>109</v>
      </c>
      <c r="AI39" s="134" t="s">
        <v>95</v>
      </c>
      <c r="AJ39" s="138">
        <v>46142.395833333336</v>
      </c>
      <c r="AK39" s="134" t="s">
        <v>96</v>
      </c>
      <c r="AL39" s="137">
        <v>46098.951145833336</v>
      </c>
      <c r="AM39" s="139"/>
      <c r="AN39" s="139"/>
      <c r="AO39" s="139"/>
      <c r="AP39" s="134"/>
      <c r="AQ39" s="49"/>
      <c r="AR39" s="49"/>
      <c r="AS39" s="139"/>
      <c r="AT39" s="138">
        <f t="shared" si="1"/>
        <v>40.4</v>
      </c>
      <c r="AU39" s="138"/>
      <c r="AV39" s="134"/>
      <c r="AW39" s="134"/>
      <c r="AX39" s="108"/>
      <c r="AY39" s="108" t="s">
        <v>866</v>
      </c>
      <c r="AZ39" s="134"/>
      <c r="BA39" s="134"/>
      <c r="BB39" s="134"/>
      <c r="BC39" s="134"/>
      <c r="BD39" s="123"/>
      <c r="BE39" s="123">
        <f t="shared" si="2"/>
        <v>40.4</v>
      </c>
      <c r="BF39" s="123"/>
      <c r="BG39" s="123"/>
      <c r="BH39" s="123"/>
      <c r="BI39" s="123"/>
      <c r="BJ39" s="123"/>
      <c r="BK39" s="123"/>
      <c r="BL39" s="123"/>
      <c r="BM39" s="117"/>
      <c r="BN39" s="123"/>
      <c r="BO39" s="140"/>
      <c r="BP39" s="140">
        <f t="shared" si="3"/>
        <v>40.4</v>
      </c>
      <c r="BQ39" s="140"/>
      <c r="BR39" s="123"/>
      <c r="BS39" s="141"/>
      <c r="BT39" s="123"/>
      <c r="BU39" s="141"/>
      <c r="BV39" s="123"/>
      <c r="BW39" s="123"/>
      <c r="BX39" s="123"/>
      <c r="BY39" s="123"/>
      <c r="BZ39" s="123"/>
      <c r="CA39" s="123">
        <f t="shared" si="4"/>
        <v>40.4</v>
      </c>
      <c r="CB39" s="143"/>
      <c r="CC39" s="140"/>
      <c r="CD39" s="120">
        <v>46150</v>
      </c>
      <c r="CE39" s="120" t="s">
        <v>125</v>
      </c>
      <c r="CF39" s="120" t="s">
        <v>125</v>
      </c>
      <c r="CG39" s="123"/>
      <c r="CH39" s="120"/>
      <c r="CI39" s="120"/>
      <c r="CJ39" s="123"/>
      <c r="CK39" s="132"/>
    </row>
    <row r="40" spans="1:89" ht="72.599999999999994">
      <c r="A40" s="147" t="s">
        <v>510</v>
      </c>
      <c r="B40" s="49">
        <f>5.5+3.5</f>
        <v>9</v>
      </c>
      <c r="C40" s="49">
        <v>10</v>
      </c>
      <c r="D40" s="107">
        <f>Tracker[[#This Row],[Estimated Hrs]]-Tracker[[#This Row],[Actual Efforts (Hrs)]]</f>
        <v>1</v>
      </c>
      <c r="E40" s="134"/>
      <c r="F40" s="134" t="s">
        <v>867</v>
      </c>
      <c r="G40" s="150" t="s">
        <v>867</v>
      </c>
      <c r="H40" s="154">
        <v>19515645</v>
      </c>
      <c r="I40" s="109">
        <f>Tracker[[#This Row],[DCR ID - PTC]]</f>
        <v>19515645</v>
      </c>
      <c r="J40" s="134" t="s">
        <v>892</v>
      </c>
      <c r="K40" s="134" t="s">
        <v>118</v>
      </c>
      <c r="L40" s="134"/>
      <c r="M40" s="134"/>
      <c r="N40" s="116" t="s">
        <v>893</v>
      </c>
      <c r="O40" s="123" t="s">
        <v>106</v>
      </c>
      <c r="P40" s="123"/>
      <c r="Q40" s="123"/>
      <c r="R40" s="123"/>
      <c r="S40" s="123"/>
      <c r="T40" s="123"/>
      <c r="U40" s="134"/>
      <c r="V40" s="134"/>
      <c r="W40" s="134"/>
      <c r="X40" s="134">
        <f t="shared" si="0"/>
        <v>40.4</v>
      </c>
      <c r="Y40" s="134"/>
      <c r="Z40" s="134"/>
      <c r="AA40" s="134" t="s">
        <v>873</v>
      </c>
      <c r="AB40" s="29">
        <v>46234</v>
      </c>
      <c r="AC40" s="134"/>
      <c r="AD40" s="134" t="s">
        <v>93</v>
      </c>
      <c r="AE40" s="49"/>
      <c r="AF40" s="136"/>
      <c r="AG40" s="137">
        <v>46142.964189814818</v>
      </c>
      <c r="AH40" s="134" t="s">
        <v>100</v>
      </c>
      <c r="AI40" s="134" t="s">
        <v>95</v>
      </c>
      <c r="AJ40" s="138">
        <v>46234.395833333336</v>
      </c>
      <c r="AK40" s="134" t="s">
        <v>96</v>
      </c>
      <c r="AL40" s="137">
        <v>46134.594004629631</v>
      </c>
      <c r="AM40" s="139"/>
      <c r="AN40" s="139"/>
      <c r="AO40" s="139">
        <v>46150</v>
      </c>
      <c r="AP40" s="134"/>
      <c r="AQ40" s="49"/>
      <c r="AR40" s="49"/>
      <c r="AS40" s="139">
        <v>46154</v>
      </c>
      <c r="AT40" s="138">
        <v>46147</v>
      </c>
      <c r="AU40" s="138">
        <v>46149</v>
      </c>
      <c r="AV40" s="134"/>
      <c r="AW40" s="134"/>
      <c r="AX40" s="108" t="s">
        <v>97</v>
      </c>
      <c r="AY40" s="108" t="s">
        <v>98</v>
      </c>
      <c r="AZ40" s="134"/>
      <c r="BA40" s="134"/>
      <c r="BB40" s="134"/>
      <c r="BC40" s="134"/>
      <c r="BD40" s="123"/>
      <c r="BE40" s="123">
        <f t="shared" si="2"/>
        <v>40.4</v>
      </c>
      <c r="BF40" s="123"/>
      <c r="BG40" s="123"/>
      <c r="BH40" s="123"/>
      <c r="BI40" s="123"/>
      <c r="BJ40" s="123"/>
      <c r="BK40" s="123"/>
      <c r="BL40" s="123"/>
      <c r="BM40" s="117"/>
      <c r="BN40" s="123"/>
      <c r="BO40" s="140"/>
      <c r="BP40" s="140">
        <f t="shared" si="3"/>
        <v>40.4</v>
      </c>
      <c r="BQ40" s="140"/>
      <c r="BR40" s="123"/>
      <c r="BS40" s="141"/>
      <c r="BT40" s="123"/>
      <c r="BU40" s="141"/>
      <c r="BV40" s="123"/>
      <c r="BW40" s="123"/>
      <c r="BX40" s="123"/>
      <c r="BY40" s="123"/>
      <c r="BZ40" s="123"/>
      <c r="CA40" s="123">
        <f t="shared" si="4"/>
        <v>40.4</v>
      </c>
      <c r="CB40" s="119">
        <v>1</v>
      </c>
      <c r="CC40" s="140"/>
      <c r="CD40" s="120">
        <v>46147</v>
      </c>
      <c r="CE40" s="120">
        <v>46147</v>
      </c>
      <c r="CF40" s="120">
        <v>46148</v>
      </c>
      <c r="CG40" s="123"/>
      <c r="CH40" s="120"/>
      <c r="CI40" s="120"/>
      <c r="CJ40" s="123"/>
      <c r="CK40" s="132" t="s">
        <v>882</v>
      </c>
    </row>
    <row r="41" spans="1:89" ht="144.94999999999999">
      <c r="A41" s="147" t="s">
        <v>510</v>
      </c>
      <c r="B41" s="49">
        <f>5.5+7+7.5</f>
        <v>20</v>
      </c>
      <c r="C41" s="49">
        <v>0</v>
      </c>
      <c r="D41" s="107">
        <f>Tracker[[#This Row],[Estimated Hrs]]-Tracker[[#This Row],[Actual Efforts (Hrs)]]</f>
        <v>-20</v>
      </c>
      <c r="E41" s="134"/>
      <c r="F41" s="134"/>
      <c r="G41" s="345"/>
      <c r="H41" s="154">
        <v>19442852</v>
      </c>
      <c r="I41" s="109">
        <f>Tracker[[#This Row],[DCR ID - PTC]]</f>
        <v>19442852</v>
      </c>
      <c r="J41" s="49" t="s">
        <v>894</v>
      </c>
      <c r="K41" s="134" t="s">
        <v>118</v>
      </c>
      <c r="L41" s="134" t="s">
        <v>895</v>
      </c>
      <c r="M41" s="134"/>
      <c r="N41" s="116" t="s">
        <v>896</v>
      </c>
      <c r="O41" s="123" t="s">
        <v>122</v>
      </c>
      <c r="P41" s="141"/>
      <c r="Q41" s="123"/>
      <c r="R41" s="123"/>
      <c r="S41" s="123"/>
      <c r="T41" s="123"/>
      <c r="U41" s="134"/>
      <c r="V41" s="134"/>
      <c r="W41" s="134"/>
      <c r="X41" s="134">
        <f t="shared" si="0"/>
        <v>40.4</v>
      </c>
      <c r="Y41" s="134"/>
      <c r="Z41" s="134"/>
      <c r="AA41" s="134"/>
      <c r="AC41" s="134" t="s">
        <v>895</v>
      </c>
      <c r="AD41" s="134" t="s">
        <v>146</v>
      </c>
      <c r="AE41" s="49"/>
      <c r="AF41" s="136"/>
      <c r="AG41" s="137"/>
      <c r="AH41" s="134" t="s">
        <v>109</v>
      </c>
      <c r="AI41" s="134" t="s">
        <v>95</v>
      </c>
      <c r="AJ41" s="138">
        <v>46325.4375</v>
      </c>
      <c r="AK41" s="134" t="s">
        <v>96</v>
      </c>
      <c r="AL41" s="137">
        <v>46126.75613425926</v>
      </c>
      <c r="AM41" s="139"/>
      <c r="AN41" s="139"/>
      <c r="AO41" s="139"/>
      <c r="AP41" s="134"/>
      <c r="AQ41" s="49"/>
      <c r="AR41" s="49"/>
      <c r="AS41" s="139"/>
      <c r="AT41" s="138">
        <f t="shared" si="1"/>
        <v>40.4</v>
      </c>
      <c r="AU41" s="138"/>
      <c r="AV41" s="134"/>
      <c r="AW41" s="134"/>
      <c r="AX41" s="108"/>
      <c r="AY41" s="108" t="s">
        <v>866</v>
      </c>
      <c r="AZ41" s="134"/>
      <c r="BA41" s="134"/>
      <c r="BB41" s="134"/>
      <c r="BC41" s="134"/>
      <c r="BD41" s="123"/>
      <c r="BE41" s="123">
        <f t="shared" si="2"/>
        <v>40.4</v>
      </c>
      <c r="BF41" s="123"/>
      <c r="BG41" s="123"/>
      <c r="BH41" s="123"/>
      <c r="BI41" s="123"/>
      <c r="BJ41" s="123"/>
      <c r="BK41" s="123"/>
      <c r="BL41" s="123"/>
      <c r="BM41" s="117"/>
      <c r="BN41" s="123"/>
      <c r="BO41" s="123"/>
      <c r="BP41" s="123">
        <f t="shared" si="3"/>
        <v>40.4</v>
      </c>
      <c r="BQ41" s="123"/>
      <c r="BR41" s="123"/>
      <c r="BS41" s="123"/>
      <c r="BT41" s="123"/>
      <c r="BU41" s="123"/>
      <c r="BV41" s="123"/>
      <c r="BW41" s="123"/>
      <c r="BX41" s="123"/>
      <c r="BY41" s="123"/>
      <c r="BZ41" s="123"/>
      <c r="CA41" s="123">
        <f t="shared" si="4"/>
        <v>40.4</v>
      </c>
      <c r="CB41" s="143"/>
      <c r="CC41" s="140"/>
      <c r="CD41" s="120">
        <v>46170</v>
      </c>
      <c r="CE41" s="120">
        <v>46217</v>
      </c>
      <c r="CF41" s="120">
        <v>46220</v>
      </c>
      <c r="CG41" s="123"/>
      <c r="CH41" s="120"/>
      <c r="CI41" s="120"/>
      <c r="CJ41" s="123"/>
      <c r="CK41" s="132"/>
    </row>
    <row r="42" spans="1:89" ht="72.599999999999994">
      <c r="A42" s="147" t="s">
        <v>897</v>
      </c>
      <c r="B42" s="49">
        <f>6</f>
        <v>6</v>
      </c>
      <c r="C42" s="49">
        <v>0</v>
      </c>
      <c r="D42" s="107">
        <f>Tracker[[#This Row],[Estimated Hrs]]-Tracker[[#This Row],[Actual Efforts (Hrs)]]</f>
        <v>-6</v>
      </c>
      <c r="E42" s="134"/>
      <c r="F42" s="134" t="s">
        <v>136</v>
      </c>
      <c r="G42" s="150"/>
      <c r="H42" s="154">
        <v>18849299</v>
      </c>
      <c r="I42" s="109">
        <f>Tracker[[#This Row],[DCR ID - PTC]]</f>
        <v>18849299</v>
      </c>
      <c r="J42" s="134" t="s">
        <v>387</v>
      </c>
      <c r="K42" s="134" t="s">
        <v>101</v>
      </c>
      <c r="L42" s="134" t="s">
        <v>165</v>
      </c>
      <c r="M42" s="134"/>
      <c r="N42" s="116" t="s">
        <v>898</v>
      </c>
      <c r="O42" s="123"/>
      <c r="P42" s="123"/>
      <c r="Q42" s="123"/>
      <c r="R42" s="123"/>
      <c r="S42" s="123"/>
      <c r="T42" s="123"/>
      <c r="U42" s="134"/>
      <c r="V42" s="134"/>
      <c r="W42" s="134"/>
      <c r="X42" s="134">
        <f t="shared" si="0"/>
        <v>40.4</v>
      </c>
      <c r="Y42" s="134"/>
      <c r="Z42" s="134"/>
      <c r="AA42" s="134" t="s">
        <v>873</v>
      </c>
      <c r="AC42" s="134" t="s">
        <v>165</v>
      </c>
      <c r="AD42" s="134" t="s">
        <v>93</v>
      </c>
      <c r="AE42" s="49"/>
      <c r="AF42" s="136"/>
      <c r="AG42" s="137">
        <v>46115.004837962966</v>
      </c>
      <c r="AH42" s="134" t="s">
        <v>94</v>
      </c>
      <c r="AI42" s="134" t="s">
        <v>95</v>
      </c>
      <c r="AJ42" s="138">
        <v>46142.395833333336</v>
      </c>
      <c r="AK42" s="134" t="s">
        <v>96</v>
      </c>
      <c r="AL42" s="137">
        <v>46071.124803240738</v>
      </c>
      <c r="AM42" s="139"/>
      <c r="AN42" s="139"/>
      <c r="AO42" s="139"/>
      <c r="AP42" s="134"/>
      <c r="AQ42" s="49"/>
      <c r="AR42" s="49"/>
      <c r="AS42" s="139"/>
      <c r="AT42" s="138">
        <f t="shared" si="1"/>
        <v>40.4</v>
      </c>
      <c r="AU42" s="138"/>
      <c r="AV42" s="134"/>
      <c r="AW42" s="134"/>
      <c r="AX42" s="108"/>
      <c r="AY42" s="108" t="s">
        <v>866</v>
      </c>
      <c r="AZ42" s="134"/>
      <c r="BA42" s="134"/>
      <c r="BB42" s="134"/>
      <c r="BC42" s="134"/>
      <c r="BD42" s="123"/>
      <c r="BE42" s="123">
        <f t="shared" si="2"/>
        <v>40.4</v>
      </c>
      <c r="BF42" s="123"/>
      <c r="BG42" s="123"/>
      <c r="BH42" s="123"/>
      <c r="BI42" s="123"/>
      <c r="BJ42" s="123"/>
      <c r="BK42" s="123"/>
      <c r="BL42" s="123"/>
      <c r="BM42" s="117"/>
      <c r="BN42" s="123"/>
      <c r="BO42" s="140"/>
      <c r="BP42" s="140">
        <f t="shared" si="3"/>
        <v>40.4</v>
      </c>
      <c r="BQ42" s="140"/>
      <c r="BR42" s="123"/>
      <c r="BS42" s="141"/>
      <c r="BT42" s="123"/>
      <c r="BU42" s="141"/>
      <c r="BV42" s="123"/>
      <c r="BW42" s="123"/>
      <c r="BX42" s="123"/>
      <c r="BY42" s="123"/>
      <c r="BZ42" s="123"/>
      <c r="CA42" s="123">
        <f t="shared" si="4"/>
        <v>40.4</v>
      </c>
      <c r="CB42" s="143"/>
      <c r="CC42" s="140"/>
      <c r="CD42" s="120" t="e">
        <v>#N/A</v>
      </c>
      <c r="CE42" s="120" t="e">
        <v>#N/A</v>
      </c>
      <c r="CF42" s="120" t="e">
        <v>#N/A</v>
      </c>
      <c r="CG42" s="123"/>
      <c r="CH42" s="120"/>
      <c r="CI42" s="120"/>
      <c r="CJ42" s="123"/>
      <c r="CK42" s="132"/>
    </row>
    <row r="43" spans="1:89" ht="43.5">
      <c r="A43" s="147" t="s">
        <v>510</v>
      </c>
      <c r="B43" s="49">
        <v>35</v>
      </c>
      <c r="C43" s="49">
        <v>0</v>
      </c>
      <c r="D43" s="107">
        <f>Tracker[[#This Row],[Estimated Hrs]]-Tracker[[#This Row],[Actual Efforts (Hrs)]]</f>
        <v>-35</v>
      </c>
      <c r="E43" s="134"/>
      <c r="F43" s="134" t="s">
        <v>136</v>
      </c>
      <c r="G43" s="150"/>
      <c r="H43" s="154">
        <v>19269141</v>
      </c>
      <c r="I43" s="109">
        <f>Tracker[[#This Row],[DCR ID - PTC]]</f>
        <v>19269141</v>
      </c>
      <c r="J43" s="49" t="s">
        <v>659</v>
      </c>
      <c r="K43" s="134" t="s">
        <v>101</v>
      </c>
      <c r="L43" s="134" t="s">
        <v>165</v>
      </c>
      <c r="M43" s="134"/>
      <c r="N43" s="338"/>
      <c r="O43" s="123"/>
      <c r="P43" s="123"/>
      <c r="Q43" s="123"/>
      <c r="R43" s="123"/>
      <c r="S43" s="123"/>
      <c r="T43" s="123"/>
      <c r="U43" s="134"/>
      <c r="V43" s="134"/>
      <c r="W43" s="134"/>
      <c r="X43" s="134">
        <f t="shared" si="0"/>
        <v>40.4</v>
      </c>
      <c r="Y43" s="134"/>
      <c r="Z43" s="134"/>
      <c r="AA43" s="134" t="s">
        <v>873</v>
      </c>
      <c r="AB43" s="29">
        <v>46171</v>
      </c>
      <c r="AC43" s="134" t="s">
        <v>165</v>
      </c>
      <c r="AD43" s="134" t="s">
        <v>93</v>
      </c>
      <c r="AE43" s="49"/>
      <c r="AF43" s="136"/>
      <c r="AG43" s="137">
        <v>46115.017893518518</v>
      </c>
      <c r="AH43" s="134" t="s">
        <v>94</v>
      </c>
      <c r="AI43" s="134" t="s">
        <v>95</v>
      </c>
      <c r="AJ43" s="138">
        <v>46142.395833333336</v>
      </c>
      <c r="AK43" s="134" t="s">
        <v>96</v>
      </c>
      <c r="AL43" s="137">
        <v>46105.492951388886</v>
      </c>
      <c r="AM43" s="139"/>
      <c r="AN43" s="139"/>
      <c r="AO43" s="139"/>
      <c r="AP43" s="134"/>
      <c r="AQ43" s="49"/>
      <c r="AR43" s="49"/>
      <c r="AS43" s="139"/>
      <c r="AT43" s="138">
        <f t="shared" si="1"/>
        <v>40.4</v>
      </c>
      <c r="AU43" s="138"/>
      <c r="AV43" s="134"/>
      <c r="AW43" s="134"/>
      <c r="AX43" s="108"/>
      <c r="AY43" s="108" t="s">
        <v>866</v>
      </c>
      <c r="AZ43" s="134"/>
      <c r="BA43" s="134"/>
      <c r="BB43" s="134"/>
      <c r="BC43" s="134"/>
      <c r="BD43" s="123"/>
      <c r="BE43" s="123">
        <f t="shared" si="2"/>
        <v>40.4</v>
      </c>
      <c r="BF43" s="123"/>
      <c r="BG43" s="123"/>
      <c r="BH43" s="123"/>
      <c r="BI43" s="123"/>
      <c r="BJ43" s="123"/>
      <c r="BK43" s="123"/>
      <c r="BL43" s="123"/>
      <c r="BM43" s="117"/>
      <c r="BN43" s="123"/>
      <c r="BO43" s="140"/>
      <c r="BP43" s="140">
        <f t="shared" si="3"/>
        <v>40.4</v>
      </c>
      <c r="BQ43" s="140"/>
      <c r="BR43" s="123"/>
      <c r="BS43" s="141"/>
      <c r="BT43" s="123"/>
      <c r="BU43" s="141"/>
      <c r="BV43" s="123"/>
      <c r="BW43" s="123"/>
      <c r="BX43" s="123"/>
      <c r="BY43" s="123"/>
      <c r="BZ43" s="123"/>
      <c r="CA43" s="123">
        <f t="shared" si="4"/>
        <v>40.4</v>
      </c>
      <c r="CB43" s="143"/>
      <c r="CC43" s="140"/>
      <c r="CD43" s="120" t="e">
        <v>#N/A</v>
      </c>
      <c r="CE43" s="120" t="e">
        <v>#N/A</v>
      </c>
      <c r="CF43" s="120" t="e">
        <v>#N/A</v>
      </c>
      <c r="CG43" s="123"/>
      <c r="CH43" s="120"/>
      <c r="CI43" s="120"/>
      <c r="CJ43" s="123"/>
      <c r="CK43" s="132"/>
    </row>
    <row r="44" spans="1:89" ht="43.5">
      <c r="A44" s="147" t="s">
        <v>510</v>
      </c>
      <c r="B44" s="49">
        <v>135</v>
      </c>
      <c r="C44" s="49">
        <v>0</v>
      </c>
      <c r="D44" s="107">
        <f>Tracker[[#This Row],[Estimated Hrs]]-Tracker[[#This Row],[Actual Efforts (Hrs)]]</f>
        <v>-135</v>
      </c>
      <c r="E44" s="134"/>
      <c r="F44" s="134" t="s">
        <v>127</v>
      </c>
      <c r="G44" s="134"/>
      <c r="H44" s="154">
        <v>17784610</v>
      </c>
      <c r="I44" s="109">
        <f>Tracker[[#This Row],[DCR ID - PTC]]</f>
        <v>17784610</v>
      </c>
      <c r="J44" s="134" t="s">
        <v>899</v>
      </c>
      <c r="K44" s="134" t="s">
        <v>101</v>
      </c>
      <c r="L44" s="134" t="s">
        <v>880</v>
      </c>
      <c r="M44" s="134"/>
      <c r="N44" s="116"/>
      <c r="O44" s="123"/>
      <c r="P44" s="123"/>
      <c r="Q44" s="123"/>
      <c r="R44" s="123"/>
      <c r="S44" s="123"/>
      <c r="T44" s="123"/>
      <c r="U44" s="134"/>
      <c r="V44" s="134"/>
      <c r="W44" s="134"/>
      <c r="X44" s="134">
        <f t="shared" si="0"/>
        <v>40.4</v>
      </c>
      <c r="Y44" s="134"/>
      <c r="Z44" s="134"/>
      <c r="AA44" s="134" t="s">
        <v>139</v>
      </c>
      <c r="AB44" s="29">
        <v>46080</v>
      </c>
      <c r="AC44" s="134" t="s">
        <v>880</v>
      </c>
      <c r="AD44" s="134" t="s">
        <v>93</v>
      </c>
      <c r="AE44" s="49"/>
      <c r="AF44" s="136"/>
      <c r="AG44" s="137">
        <v>46000.060763888891</v>
      </c>
      <c r="AH44" s="134" t="s">
        <v>254</v>
      </c>
      <c r="AI44" s="134" t="s">
        <v>95</v>
      </c>
      <c r="AJ44" s="138">
        <v>46052.1875</v>
      </c>
      <c r="AK44" s="134" t="s">
        <v>96</v>
      </c>
      <c r="AL44" s="137">
        <v>45959.921805555554</v>
      </c>
      <c r="AM44" s="139"/>
      <c r="AN44" s="139"/>
      <c r="AO44" s="139"/>
      <c r="AP44" s="134"/>
      <c r="AQ44" s="49"/>
      <c r="AR44" s="49"/>
      <c r="AS44" s="139"/>
      <c r="AT44" s="138">
        <f t="shared" si="1"/>
        <v>40.4</v>
      </c>
      <c r="AU44" s="138"/>
      <c r="AV44" s="134"/>
      <c r="AW44" s="134"/>
      <c r="AX44" s="108"/>
      <c r="AY44" s="108" t="s">
        <v>866</v>
      </c>
      <c r="AZ44" s="134"/>
      <c r="BA44" s="134"/>
      <c r="BB44" s="134"/>
      <c r="BC44" s="134"/>
      <c r="BD44" s="123"/>
      <c r="BE44" s="123">
        <f t="shared" si="2"/>
        <v>40.4</v>
      </c>
      <c r="BF44" s="123"/>
      <c r="BG44" s="123"/>
      <c r="BH44" s="123"/>
      <c r="BI44" s="123"/>
      <c r="BJ44" s="123"/>
      <c r="BK44" s="123"/>
      <c r="BL44" s="123"/>
      <c r="BM44" s="117"/>
      <c r="BN44" s="123"/>
      <c r="BO44" s="140"/>
      <c r="BP44" s="140">
        <f t="shared" si="3"/>
        <v>40.4</v>
      </c>
      <c r="BQ44" s="140"/>
      <c r="BR44" s="123"/>
      <c r="BS44" s="141"/>
      <c r="BT44" s="123"/>
      <c r="BU44" s="141"/>
      <c r="BV44" s="123"/>
      <c r="BW44" s="123"/>
      <c r="BX44" s="123"/>
      <c r="BY44" s="123"/>
      <c r="BZ44" s="123"/>
      <c r="CA44" s="123">
        <f t="shared" si="4"/>
        <v>40.4</v>
      </c>
      <c r="CB44" s="119"/>
      <c r="CC44" s="140"/>
      <c r="CD44" s="120" t="e">
        <v>#N/A</v>
      </c>
      <c r="CE44" s="120" t="e">
        <v>#N/A</v>
      </c>
      <c r="CF44" s="120" t="e">
        <v>#N/A</v>
      </c>
      <c r="CG44" s="123"/>
      <c r="CH44" s="120"/>
      <c r="CI44" s="120"/>
      <c r="CJ44" s="123"/>
      <c r="CK44" s="132"/>
    </row>
    <row r="45" spans="1:89" ht="203.1">
      <c r="A45" s="147" t="s">
        <v>889</v>
      </c>
      <c r="B45" s="49">
        <f>6.5+5+1.5+3+0.5+(0.5)</f>
        <v>17</v>
      </c>
      <c r="C45" s="49">
        <v>0</v>
      </c>
      <c r="D45" s="49">
        <v>0</v>
      </c>
      <c r="E45" s="134"/>
      <c r="F45" s="134" t="s">
        <v>136</v>
      </c>
      <c r="G45" s="134"/>
      <c r="H45" s="154">
        <v>18387962</v>
      </c>
      <c r="I45" s="109">
        <f>Tracker[[#This Row],[DCR ID - PTC]]</f>
        <v>18387962</v>
      </c>
      <c r="J45" s="134" t="s">
        <v>376</v>
      </c>
      <c r="K45" s="134" t="s">
        <v>179</v>
      </c>
      <c r="L45" s="134"/>
      <c r="M45" s="134"/>
      <c r="N45" s="116" t="s">
        <v>900</v>
      </c>
      <c r="O45" s="123" t="s">
        <v>106</v>
      </c>
      <c r="P45" s="123"/>
      <c r="Q45" s="123"/>
      <c r="R45" s="123"/>
      <c r="S45" s="123"/>
      <c r="T45" s="123"/>
      <c r="U45" s="134"/>
      <c r="V45" s="134"/>
      <c r="W45" s="134"/>
      <c r="X45" s="134">
        <f t="shared" si="0"/>
        <v>40.4</v>
      </c>
      <c r="Y45" s="134"/>
      <c r="Z45" s="134"/>
      <c r="AA45" s="134" t="s">
        <v>873</v>
      </c>
      <c r="AB45" s="29">
        <v>46171</v>
      </c>
      <c r="AC45" s="134"/>
      <c r="AD45" s="134" t="s">
        <v>93</v>
      </c>
      <c r="AE45" s="49"/>
      <c r="AF45" s="136"/>
      <c r="AG45" s="137">
        <v>46118.772662037038</v>
      </c>
      <c r="AH45" s="134" t="s">
        <v>100</v>
      </c>
      <c r="AI45" s="134" t="s">
        <v>95</v>
      </c>
      <c r="AJ45" s="138">
        <v>46173.395833333336</v>
      </c>
      <c r="AK45" s="134" t="s">
        <v>96</v>
      </c>
      <c r="AL45" s="137">
        <v>46034.25304398148</v>
      </c>
      <c r="AM45" s="139"/>
      <c r="AN45" s="139"/>
      <c r="AO45" s="139"/>
      <c r="AP45" s="134"/>
      <c r="AQ45" s="49"/>
      <c r="AR45" s="49"/>
      <c r="AS45" s="116"/>
      <c r="AT45" s="138">
        <f t="shared" si="1"/>
        <v>40.4</v>
      </c>
      <c r="AU45" s="138"/>
      <c r="AV45" s="134"/>
      <c r="AW45" s="134"/>
      <c r="AX45" s="108"/>
      <c r="AY45" s="108" t="s">
        <v>866</v>
      </c>
      <c r="AZ45" s="134"/>
      <c r="BA45" s="134"/>
      <c r="BB45" s="134"/>
      <c r="BC45" s="134"/>
      <c r="BD45" s="123"/>
      <c r="BE45" s="123">
        <f t="shared" si="2"/>
        <v>40.4</v>
      </c>
      <c r="BF45" s="123"/>
      <c r="BG45" s="123"/>
      <c r="BH45" s="123"/>
      <c r="BI45" s="123"/>
      <c r="BJ45" s="123"/>
      <c r="BK45" s="123"/>
      <c r="BL45" s="123"/>
      <c r="BM45" s="117"/>
      <c r="BN45" s="123"/>
      <c r="BO45" s="140"/>
      <c r="BP45" s="140">
        <f t="shared" si="3"/>
        <v>40.4</v>
      </c>
      <c r="BQ45" s="140"/>
      <c r="BR45" s="123"/>
      <c r="BS45" s="141"/>
      <c r="BT45" s="123"/>
      <c r="BU45" s="141"/>
      <c r="BV45" s="123"/>
      <c r="BW45" s="123"/>
      <c r="BX45" s="123"/>
      <c r="BY45" s="123"/>
      <c r="BZ45" s="123"/>
      <c r="CA45" s="123">
        <f t="shared" si="4"/>
        <v>40.4</v>
      </c>
      <c r="CB45" s="119"/>
      <c r="CC45" s="140"/>
      <c r="CD45" s="120" t="e">
        <v>#N/A</v>
      </c>
      <c r="CE45" s="120" t="e">
        <v>#N/A</v>
      </c>
      <c r="CF45" s="120" t="e">
        <v>#N/A</v>
      </c>
      <c r="CG45" s="123"/>
      <c r="CH45" s="120"/>
      <c r="CI45" s="120"/>
      <c r="CJ45" s="123"/>
      <c r="CK45" s="132"/>
    </row>
    <row r="46" spans="1:89" ht="43.5">
      <c r="A46" s="147" t="s">
        <v>901</v>
      </c>
      <c r="B46" s="49">
        <v>0</v>
      </c>
      <c r="C46" s="49">
        <v>0</v>
      </c>
      <c r="D46" s="49">
        <v>0</v>
      </c>
      <c r="E46" s="134"/>
      <c r="F46" s="134" t="s">
        <v>902</v>
      </c>
      <c r="G46" s="134"/>
      <c r="H46" s="154">
        <v>19229743</v>
      </c>
      <c r="I46" s="109">
        <f>Tracker[[#This Row],[DCR ID - PTC]]</f>
        <v>19229743</v>
      </c>
      <c r="J46" s="134" t="s">
        <v>903</v>
      </c>
      <c r="K46" s="134" t="s">
        <v>904</v>
      </c>
      <c r="L46" s="134"/>
      <c r="M46" s="134"/>
      <c r="N46" s="116"/>
      <c r="O46" s="111"/>
      <c r="P46" s="123"/>
      <c r="Q46" s="123"/>
      <c r="R46" s="123"/>
      <c r="S46" s="123"/>
      <c r="T46" s="123"/>
      <c r="U46" s="134"/>
      <c r="V46" s="134"/>
      <c r="W46" s="134"/>
      <c r="X46" s="134">
        <f t="shared" si="0"/>
        <v>40.4</v>
      </c>
      <c r="Y46" s="134"/>
      <c r="Z46" s="134"/>
      <c r="AA46" s="134" t="s">
        <v>905</v>
      </c>
      <c r="AC46" s="134"/>
      <c r="AD46" s="134" t="s">
        <v>108</v>
      </c>
      <c r="AE46" s="49"/>
      <c r="AF46" s="136"/>
      <c r="AG46" s="137"/>
      <c r="AH46" s="139" t="s">
        <v>109</v>
      </c>
      <c r="AI46" s="138" t="s">
        <v>95</v>
      </c>
      <c r="AJ46" s="138">
        <v>46234</v>
      </c>
      <c r="AK46" s="134" t="s">
        <v>96</v>
      </c>
      <c r="AL46" s="137">
        <v>46099.496666666666</v>
      </c>
      <c r="AM46" s="139"/>
      <c r="AN46" s="139"/>
      <c r="AO46" s="139"/>
      <c r="AP46" s="134"/>
      <c r="AQ46" s="49"/>
      <c r="AR46" s="49"/>
      <c r="AS46" s="116"/>
      <c r="AT46" s="138">
        <f t="shared" si="1"/>
        <v>40.4</v>
      </c>
      <c r="AU46" s="138"/>
      <c r="AV46" s="134"/>
      <c r="AW46" s="134"/>
      <c r="AX46" s="108"/>
      <c r="AY46" s="108" t="s">
        <v>866</v>
      </c>
      <c r="AZ46" s="134"/>
      <c r="BA46" s="134"/>
      <c r="BB46" s="134"/>
      <c r="BC46" s="134"/>
      <c r="BD46" s="123"/>
      <c r="BE46" s="123">
        <f t="shared" si="2"/>
        <v>40.4</v>
      </c>
      <c r="BF46" s="123"/>
      <c r="BG46" s="123"/>
      <c r="BH46" s="123"/>
      <c r="BI46" s="123"/>
      <c r="BJ46" s="123"/>
      <c r="BK46" s="123"/>
      <c r="BL46" s="123"/>
      <c r="BM46" s="117"/>
      <c r="BN46" s="123"/>
      <c r="BO46" s="140"/>
      <c r="BP46" s="140">
        <f t="shared" si="3"/>
        <v>40.4</v>
      </c>
      <c r="BQ46" s="140"/>
      <c r="BR46" s="123"/>
      <c r="BS46" s="141"/>
      <c r="BT46" s="123"/>
      <c r="BU46" s="141"/>
      <c r="BV46" s="123"/>
      <c r="BW46" s="123"/>
      <c r="BX46" s="123"/>
      <c r="BY46" s="123"/>
      <c r="BZ46" s="123"/>
      <c r="CA46" s="123">
        <f t="shared" si="4"/>
        <v>40.4</v>
      </c>
      <c r="CB46" s="119"/>
      <c r="CC46" s="140"/>
      <c r="CD46" s="120" t="e">
        <v>#N/A</v>
      </c>
      <c r="CE46" s="120" t="e">
        <v>#N/A</v>
      </c>
      <c r="CF46" s="120" t="e">
        <v>#N/A</v>
      </c>
      <c r="CG46" s="123"/>
      <c r="CH46" s="120"/>
      <c r="CI46" s="120"/>
      <c r="CJ46" s="123"/>
      <c r="CK46" s="132"/>
    </row>
    <row r="47" spans="1:89" ht="43.5">
      <c r="A47" s="147" t="s">
        <v>901</v>
      </c>
      <c r="B47" s="49">
        <v>0</v>
      </c>
      <c r="C47" s="49">
        <v>0</v>
      </c>
      <c r="D47" s="49">
        <v>0</v>
      </c>
      <c r="E47" s="134"/>
      <c r="F47" s="134" t="s">
        <v>451</v>
      </c>
      <c r="G47" s="134"/>
      <c r="H47" s="154">
        <v>15955970</v>
      </c>
      <c r="I47" s="109">
        <f>Tracker[[#This Row],[DCR ID - PTC]]</f>
        <v>15955970</v>
      </c>
      <c r="J47" s="134" t="s">
        <v>452</v>
      </c>
      <c r="K47" s="134" t="s">
        <v>101</v>
      </c>
      <c r="L47" s="134" t="s">
        <v>165</v>
      </c>
      <c r="M47" s="134"/>
      <c r="N47" s="116"/>
      <c r="O47" s="123"/>
      <c r="P47" s="139"/>
      <c r="Q47" s="123"/>
      <c r="R47" s="123"/>
      <c r="S47" s="123"/>
      <c r="T47" s="123"/>
      <c r="U47" s="134"/>
      <c r="V47" s="134"/>
      <c r="W47" s="134"/>
      <c r="X47" s="134">
        <f t="shared" si="0"/>
        <v>40.4</v>
      </c>
      <c r="Y47" s="134"/>
      <c r="Z47" s="134"/>
      <c r="AA47" s="134" t="s">
        <v>453</v>
      </c>
      <c r="AC47" s="134" t="s">
        <v>165</v>
      </c>
      <c r="AD47" s="134" t="s">
        <v>93</v>
      </c>
      <c r="AE47" s="49"/>
      <c r="AF47" s="136"/>
      <c r="AG47" s="137">
        <v>45821.001620370371</v>
      </c>
      <c r="AH47" s="134" t="s">
        <v>94</v>
      </c>
      <c r="AI47" s="134" t="s">
        <v>95</v>
      </c>
      <c r="AJ47" s="138">
        <v>45869</v>
      </c>
      <c r="AK47" s="134" t="s">
        <v>96</v>
      </c>
      <c r="AL47" s="137">
        <v>45728.579375000001</v>
      </c>
      <c r="AM47" s="139"/>
      <c r="AN47" s="139"/>
      <c r="AO47" s="139"/>
      <c r="AP47" s="134"/>
      <c r="AQ47" s="49"/>
      <c r="AR47" s="49"/>
      <c r="AS47" s="116"/>
      <c r="AT47" s="138">
        <f t="shared" si="1"/>
        <v>40.4</v>
      </c>
      <c r="AU47" s="138"/>
      <c r="AV47" s="134"/>
      <c r="AW47" s="134"/>
      <c r="AX47" s="108"/>
      <c r="AY47" s="108" t="s">
        <v>866</v>
      </c>
      <c r="AZ47" s="134"/>
      <c r="BA47" s="134"/>
      <c r="BB47" s="134"/>
      <c r="BC47" s="134"/>
      <c r="BD47" s="123"/>
      <c r="BE47" s="123">
        <f t="shared" si="2"/>
        <v>40.4</v>
      </c>
      <c r="BF47" s="123"/>
      <c r="BG47" s="123"/>
      <c r="BH47" s="123"/>
      <c r="BI47" s="123"/>
      <c r="BJ47" s="123"/>
      <c r="BK47" s="123"/>
      <c r="BL47" s="123"/>
      <c r="BM47" s="117"/>
      <c r="BN47" s="123"/>
      <c r="BO47" s="140"/>
      <c r="BP47" s="140">
        <f t="shared" si="3"/>
        <v>40.4</v>
      </c>
      <c r="BQ47" s="140"/>
      <c r="BR47" s="123"/>
      <c r="BS47" s="141"/>
      <c r="BT47" s="123"/>
      <c r="BU47" s="141"/>
      <c r="BV47" s="123"/>
      <c r="BW47" s="123"/>
      <c r="BX47" s="123"/>
      <c r="BY47" s="123"/>
      <c r="BZ47" s="123"/>
      <c r="CA47" s="123">
        <f t="shared" si="4"/>
        <v>40.4</v>
      </c>
      <c r="CB47" s="119"/>
      <c r="CC47" s="140"/>
      <c r="CD47" s="120">
        <v>0</v>
      </c>
      <c r="CE47" s="120">
        <v>0</v>
      </c>
      <c r="CF47" s="120">
        <v>0</v>
      </c>
      <c r="CG47" s="123"/>
      <c r="CH47" s="120"/>
      <c r="CI47" s="120"/>
      <c r="CJ47" s="278"/>
      <c r="CK47" s="132"/>
    </row>
    <row r="48" spans="1:89" ht="43.5">
      <c r="A48" s="147" t="s">
        <v>901</v>
      </c>
      <c r="B48" s="49">
        <v>0</v>
      </c>
      <c r="C48" s="49">
        <v>0</v>
      </c>
      <c r="D48" s="49">
        <v>0</v>
      </c>
      <c r="E48" s="134"/>
      <c r="F48" s="134" t="s">
        <v>89</v>
      </c>
      <c r="G48" s="134"/>
      <c r="H48" s="154">
        <v>15929265</v>
      </c>
      <c r="I48" s="109">
        <f>Tracker[[#This Row],[DCR ID - PTC]]</f>
        <v>15929265</v>
      </c>
      <c r="J48" s="49" t="s">
        <v>450</v>
      </c>
      <c r="K48" s="134" t="s">
        <v>101</v>
      </c>
      <c r="L48" s="134" t="s">
        <v>131</v>
      </c>
      <c r="M48" s="134"/>
      <c r="N48" s="116"/>
      <c r="O48" s="111"/>
      <c r="P48" s="123"/>
      <c r="Q48" s="123"/>
      <c r="R48" s="123"/>
      <c r="S48" s="123"/>
      <c r="T48" s="123"/>
      <c r="U48" s="134"/>
      <c r="V48" s="134"/>
      <c r="W48" s="134"/>
      <c r="X48" s="134">
        <f t="shared" si="0"/>
        <v>40.4</v>
      </c>
      <c r="Y48" s="134"/>
      <c r="Z48" s="134"/>
      <c r="AA48" s="134" t="s">
        <v>92</v>
      </c>
      <c r="AC48" s="134" t="s">
        <v>131</v>
      </c>
      <c r="AD48" s="134" t="s">
        <v>93</v>
      </c>
      <c r="AE48" s="49"/>
      <c r="AF48" s="136"/>
      <c r="AG48" s="137">
        <v>45908.730451388888</v>
      </c>
      <c r="AH48" s="134" t="s">
        <v>94</v>
      </c>
      <c r="AI48" s="134" t="s">
        <v>95</v>
      </c>
      <c r="AJ48" s="138">
        <v>45869.395833333336</v>
      </c>
      <c r="AK48" s="134" t="s">
        <v>96</v>
      </c>
      <c r="AL48" s="137">
        <v>45723.888182870367</v>
      </c>
      <c r="AM48" s="139"/>
      <c r="AN48" s="139"/>
      <c r="AO48" s="139"/>
      <c r="AP48" s="134"/>
      <c r="AQ48" s="49"/>
      <c r="AR48" s="49"/>
      <c r="AS48" s="116"/>
      <c r="AT48" s="138">
        <f t="shared" si="1"/>
        <v>40.4</v>
      </c>
      <c r="AU48" s="138"/>
      <c r="AV48" s="134"/>
      <c r="AW48" s="134"/>
      <c r="AX48" s="108"/>
      <c r="AY48" s="108" t="s">
        <v>866</v>
      </c>
      <c r="AZ48" s="134"/>
      <c r="BA48" s="134"/>
      <c r="BB48" s="134"/>
      <c r="BC48" s="134"/>
      <c r="BD48" s="123"/>
      <c r="BE48" s="123">
        <f t="shared" si="2"/>
        <v>40.4</v>
      </c>
      <c r="BF48" s="123"/>
      <c r="BG48" s="123"/>
      <c r="BH48" s="123"/>
      <c r="BI48" s="123"/>
      <c r="BJ48" s="123"/>
      <c r="BK48" s="123"/>
      <c r="BL48" s="123"/>
      <c r="BM48" s="117"/>
      <c r="BN48" s="123"/>
      <c r="BO48" s="140"/>
      <c r="BP48" s="140">
        <f t="shared" si="3"/>
        <v>40.4</v>
      </c>
      <c r="BQ48" s="140"/>
      <c r="BR48" s="123"/>
      <c r="BS48" s="141"/>
      <c r="BT48" s="123"/>
      <c r="BU48" s="141"/>
      <c r="BV48" s="123"/>
      <c r="BW48" s="123"/>
      <c r="BX48" s="123"/>
      <c r="BY48" s="123"/>
      <c r="BZ48" s="123"/>
      <c r="CA48" s="123">
        <f t="shared" si="4"/>
        <v>40.4</v>
      </c>
      <c r="CB48" s="119"/>
      <c r="CC48" s="140"/>
      <c r="CD48" s="120">
        <v>0</v>
      </c>
      <c r="CE48" s="120">
        <v>0</v>
      </c>
      <c r="CF48" s="120">
        <v>0</v>
      </c>
      <c r="CG48" s="123"/>
      <c r="CH48" s="120"/>
      <c r="CI48" s="120"/>
      <c r="CJ48" s="123"/>
      <c r="CK48" s="132"/>
    </row>
    <row r="49" spans="1:89" ht="72.599999999999994">
      <c r="A49" s="147" t="s">
        <v>906</v>
      </c>
      <c r="B49" s="49">
        <f>1+0.25</f>
        <v>1.25</v>
      </c>
      <c r="C49" s="49">
        <v>0</v>
      </c>
      <c r="D49" s="49">
        <v>0</v>
      </c>
      <c r="E49" s="134"/>
      <c r="F49" s="134" t="s">
        <v>155</v>
      </c>
      <c r="G49" s="150" t="s">
        <v>155</v>
      </c>
      <c r="H49" s="154">
        <v>14671966</v>
      </c>
      <c r="I49" s="109">
        <f>Tracker[[#This Row],[DCR ID - PTC]]</f>
        <v>14671966</v>
      </c>
      <c r="J49" s="134" t="s">
        <v>315</v>
      </c>
      <c r="K49" s="134" t="s">
        <v>101</v>
      </c>
      <c r="L49" s="134" t="s">
        <v>165</v>
      </c>
      <c r="M49" s="134"/>
      <c r="N49" s="116" t="s">
        <v>907</v>
      </c>
      <c r="O49" s="123" t="s">
        <v>106</v>
      </c>
      <c r="P49" s="123"/>
      <c r="Q49" s="123"/>
      <c r="R49" s="123"/>
      <c r="S49" s="123"/>
      <c r="T49" s="123"/>
      <c r="U49" s="134"/>
      <c r="V49" s="134"/>
      <c r="W49" s="134"/>
      <c r="X49" s="134">
        <f t="shared" si="0"/>
        <v>40.4</v>
      </c>
      <c r="Y49" s="134"/>
      <c r="Z49" s="134"/>
      <c r="AA49" s="134" t="s">
        <v>139</v>
      </c>
      <c r="AC49" s="134" t="s">
        <v>165</v>
      </c>
      <c r="AD49" s="134" t="s">
        <v>93</v>
      </c>
      <c r="AE49" s="49"/>
      <c r="AF49" s="136"/>
      <c r="AG49" s="137">
        <v>46167</v>
      </c>
      <c r="AH49" s="134" t="s">
        <v>94</v>
      </c>
      <c r="AI49" s="134" t="s">
        <v>95</v>
      </c>
      <c r="AJ49" s="138">
        <v>45565.395833333336</v>
      </c>
      <c r="AK49" s="134" t="s">
        <v>96</v>
      </c>
      <c r="AL49" s="137">
        <v>45531.545844907407</v>
      </c>
      <c r="AM49" s="139"/>
      <c r="AN49" s="139"/>
      <c r="AO49" s="139">
        <v>46177</v>
      </c>
      <c r="AP49" s="134"/>
      <c r="AQ49" s="49"/>
      <c r="AR49" s="49"/>
      <c r="AS49" s="139">
        <v>46177</v>
      </c>
      <c r="AT49" s="138" t="s">
        <v>125</v>
      </c>
      <c r="AU49" s="138" t="s">
        <v>125</v>
      </c>
      <c r="AV49" s="134"/>
      <c r="AW49" s="134"/>
      <c r="AX49" s="108" t="s">
        <v>97</v>
      </c>
      <c r="AY49" s="108" t="s">
        <v>908</v>
      </c>
      <c r="AZ49" s="134"/>
      <c r="BA49" s="134"/>
      <c r="BB49" s="134"/>
      <c r="BC49" s="134"/>
      <c r="BD49" s="123"/>
      <c r="BE49" s="123">
        <f t="shared" si="2"/>
        <v>40.4</v>
      </c>
      <c r="BF49" s="123"/>
      <c r="BG49" s="123"/>
      <c r="BH49" s="123"/>
      <c r="BI49" s="123"/>
      <c r="BJ49" s="123"/>
      <c r="BK49" s="123"/>
      <c r="BL49" s="123"/>
      <c r="BM49" s="117"/>
      <c r="BN49" s="123"/>
      <c r="BO49" s="140"/>
      <c r="BP49" s="140">
        <f t="shared" si="3"/>
        <v>40.4</v>
      </c>
      <c r="BQ49" s="140"/>
      <c r="BR49" s="123"/>
      <c r="BS49" s="141"/>
      <c r="BT49" s="123"/>
      <c r="BU49" s="141"/>
      <c r="BV49" s="123"/>
      <c r="BW49" s="123"/>
      <c r="BX49" s="123"/>
      <c r="BY49" s="123"/>
      <c r="BZ49" s="123"/>
      <c r="CA49" s="123">
        <f t="shared" si="4"/>
        <v>40.4</v>
      </c>
      <c r="CB49" s="143">
        <v>1</v>
      </c>
      <c r="CC49" s="140"/>
      <c r="CD49" s="120">
        <v>0</v>
      </c>
      <c r="CE49" s="120">
        <v>0</v>
      </c>
      <c r="CF49" s="120">
        <v>0</v>
      </c>
      <c r="CG49" s="123"/>
      <c r="CH49" s="120"/>
      <c r="CI49" s="120"/>
      <c r="CJ49" s="123"/>
      <c r="CK49" s="132"/>
    </row>
    <row r="50" spans="1:89" ht="43.5">
      <c r="A50" s="147" t="s">
        <v>901</v>
      </c>
      <c r="B50" s="49">
        <v>0</v>
      </c>
      <c r="C50" s="49">
        <v>0</v>
      </c>
      <c r="D50" s="49">
        <v>0</v>
      </c>
      <c r="E50" s="134"/>
      <c r="F50" s="134" t="s">
        <v>902</v>
      </c>
      <c r="G50" s="134"/>
      <c r="H50" s="135">
        <v>19229743</v>
      </c>
      <c r="I50" s="109">
        <f>Tracker[[#This Row],[DCR ID - PTC]]</f>
        <v>19229743</v>
      </c>
      <c r="J50" s="134" t="s">
        <v>903</v>
      </c>
      <c r="K50" s="134" t="s">
        <v>179</v>
      </c>
      <c r="L50" s="134"/>
      <c r="M50" s="134"/>
      <c r="N50" s="116"/>
      <c r="O50" s="123"/>
      <c r="P50" s="123"/>
      <c r="Q50" s="123"/>
      <c r="R50" s="123"/>
      <c r="S50" s="123"/>
      <c r="T50" s="123"/>
      <c r="U50" s="134"/>
      <c r="V50" s="134"/>
      <c r="W50" s="134"/>
      <c r="X50" s="134">
        <f t="shared" si="0"/>
        <v>40.4</v>
      </c>
      <c r="Y50" s="134"/>
      <c r="Z50" s="134"/>
      <c r="AA50" s="134" t="s">
        <v>905</v>
      </c>
      <c r="AC50" s="134"/>
      <c r="AD50" s="134" t="s">
        <v>108</v>
      </c>
      <c r="AE50" s="49"/>
      <c r="AF50" s="136"/>
      <c r="AG50" s="137"/>
      <c r="AH50" s="139" t="s">
        <v>109</v>
      </c>
      <c r="AI50" s="138" t="s">
        <v>95</v>
      </c>
      <c r="AJ50" s="138">
        <v>46234</v>
      </c>
      <c r="AK50" s="134" t="s">
        <v>96</v>
      </c>
      <c r="AL50" s="137">
        <v>46099.496666666666</v>
      </c>
      <c r="AM50" s="139"/>
      <c r="AN50" s="139"/>
      <c r="AO50" s="139"/>
      <c r="AP50" s="134"/>
      <c r="AQ50" s="49"/>
      <c r="AR50" s="49"/>
      <c r="AS50" s="139"/>
      <c r="AT50" s="138">
        <f t="shared" si="1"/>
        <v>40.4</v>
      </c>
      <c r="AU50" s="138"/>
      <c r="AV50" s="134"/>
      <c r="AW50" s="134"/>
      <c r="AX50" s="108"/>
      <c r="AY50" s="108" t="s">
        <v>866</v>
      </c>
      <c r="AZ50" s="134"/>
      <c r="BA50" s="134"/>
      <c r="BB50" s="134"/>
      <c r="BC50" s="134"/>
      <c r="BD50" s="123"/>
      <c r="BE50" s="123">
        <f t="shared" si="2"/>
        <v>40.4</v>
      </c>
      <c r="BF50" s="123"/>
      <c r="BG50" s="123"/>
      <c r="BH50" s="123"/>
      <c r="BI50" s="123"/>
      <c r="BJ50" s="123"/>
      <c r="BK50" s="123"/>
      <c r="BL50" s="123"/>
      <c r="BM50" s="117"/>
      <c r="BN50" s="123"/>
      <c r="BO50" s="140"/>
      <c r="BP50" s="140">
        <f t="shared" si="3"/>
        <v>40.4</v>
      </c>
      <c r="BQ50" s="140"/>
      <c r="BR50" s="123"/>
      <c r="BS50" s="141"/>
      <c r="BT50" s="123"/>
      <c r="BU50" s="141"/>
      <c r="BV50" s="123"/>
      <c r="BW50" s="123"/>
      <c r="BX50" s="123"/>
      <c r="BY50" s="123"/>
      <c r="BZ50" s="123"/>
      <c r="CA50" s="123">
        <f t="shared" si="4"/>
        <v>40.4</v>
      </c>
      <c r="CB50" s="119"/>
      <c r="CC50" s="140"/>
      <c r="CD50" s="120" t="e">
        <v>#N/A</v>
      </c>
      <c r="CE50" s="120" t="e">
        <v>#N/A</v>
      </c>
      <c r="CF50" s="120" t="e">
        <v>#N/A</v>
      </c>
      <c r="CG50" s="123"/>
      <c r="CH50" s="120"/>
      <c r="CI50" s="120"/>
      <c r="CJ50" s="123"/>
      <c r="CK50" s="132"/>
    </row>
    <row r="51" spans="1:89" ht="101.45">
      <c r="A51" s="147" t="s">
        <v>457</v>
      </c>
      <c r="B51" s="49">
        <f>5+0.5+4</f>
        <v>9.5</v>
      </c>
      <c r="C51" s="49">
        <v>0</v>
      </c>
      <c r="D51" s="107">
        <f>Tracker[[#This Row],[Estimated Hrs]]-Tracker[[#This Row],[Actual Efforts (Hrs)]]</f>
        <v>-9.5</v>
      </c>
      <c r="E51" s="134"/>
      <c r="F51" s="134"/>
      <c r="G51" s="134"/>
      <c r="H51" s="135">
        <v>18490944</v>
      </c>
      <c r="I51" s="109">
        <f>Tracker[[#This Row],[DCR ID - PTC]]</f>
        <v>18490944</v>
      </c>
      <c r="J51" s="134"/>
      <c r="K51" s="134" t="s">
        <v>179</v>
      </c>
      <c r="L51" s="134"/>
      <c r="M51" s="134"/>
      <c r="N51" s="580" t="s">
        <v>909</v>
      </c>
      <c r="O51" s="123" t="s">
        <v>106</v>
      </c>
      <c r="P51" s="123"/>
      <c r="Q51" s="123"/>
      <c r="R51" s="123"/>
      <c r="S51" s="123"/>
      <c r="T51" s="123"/>
      <c r="U51" s="134"/>
      <c r="V51" s="134"/>
      <c r="W51" s="134"/>
      <c r="X51" s="134">
        <f t="shared" si="0"/>
        <v>40.4</v>
      </c>
      <c r="Y51" s="134"/>
      <c r="Z51" s="134"/>
      <c r="AA51" s="134"/>
      <c r="AC51" s="134"/>
      <c r="AD51" s="134"/>
      <c r="AE51" s="49"/>
      <c r="AF51" s="136"/>
      <c r="AG51" s="137"/>
      <c r="AH51" s="134"/>
      <c r="AI51" s="134"/>
      <c r="AJ51" s="138"/>
      <c r="AK51" s="134"/>
      <c r="AL51" s="137"/>
      <c r="AM51" s="139"/>
      <c r="AN51" s="139"/>
      <c r="AO51" s="139"/>
      <c r="AP51" s="134"/>
      <c r="AQ51" s="49"/>
      <c r="AR51" s="49"/>
      <c r="AS51" s="139"/>
      <c r="AT51" s="138">
        <f t="shared" si="1"/>
        <v>40.4</v>
      </c>
      <c r="AU51" s="138"/>
      <c r="AV51" s="134"/>
      <c r="AW51" s="134"/>
      <c r="AX51" s="108"/>
      <c r="AY51" s="108"/>
      <c r="AZ51" s="134"/>
      <c r="BA51" s="134"/>
      <c r="BB51" s="134"/>
      <c r="BC51" s="134"/>
      <c r="BD51" s="123"/>
      <c r="BE51" s="123">
        <f t="shared" si="2"/>
        <v>40.4</v>
      </c>
      <c r="BF51" s="123"/>
      <c r="BG51" s="123"/>
      <c r="BH51" s="123"/>
      <c r="BI51" s="123"/>
      <c r="BJ51" s="123"/>
      <c r="BK51" s="123"/>
      <c r="BL51" s="123"/>
      <c r="BM51" s="117"/>
      <c r="BN51" s="123"/>
      <c r="BO51" s="140"/>
      <c r="BP51" s="140">
        <f t="shared" si="3"/>
        <v>40.4</v>
      </c>
      <c r="BQ51" s="140"/>
      <c r="BR51" s="123"/>
      <c r="BS51" s="141"/>
      <c r="BT51" s="123"/>
      <c r="BU51" s="141"/>
      <c r="BV51" s="123"/>
      <c r="BW51" s="123"/>
      <c r="BX51" s="123"/>
      <c r="BY51" s="123"/>
      <c r="BZ51" s="123"/>
      <c r="CA51" s="123">
        <f t="shared" si="4"/>
        <v>40.4</v>
      </c>
      <c r="CB51" s="119"/>
      <c r="CC51" s="140"/>
      <c r="CD51" s="120" t="e">
        <v>#N/A</v>
      </c>
      <c r="CE51" s="120" t="e">
        <v>#N/A</v>
      </c>
      <c r="CF51" s="120" t="e">
        <v>#N/A</v>
      </c>
      <c r="CG51" s="123"/>
      <c r="CH51" s="120"/>
      <c r="CI51" s="120"/>
      <c r="CJ51" s="123"/>
      <c r="CK51" s="132"/>
    </row>
    <row r="52" spans="1:89" ht="188.45">
      <c r="A52" s="147" t="s">
        <v>457</v>
      </c>
      <c r="B52" s="49">
        <f>3+2</f>
        <v>5</v>
      </c>
      <c r="C52" s="49">
        <v>0</v>
      </c>
      <c r="D52" s="107">
        <f>Tracker[[#This Row],[Estimated Hrs]]-Tracker[[#This Row],[Actual Efforts (Hrs)]]</f>
        <v>-5</v>
      </c>
      <c r="E52" s="134"/>
      <c r="F52" s="134" t="s">
        <v>136</v>
      </c>
      <c r="G52" s="134"/>
      <c r="H52" s="154">
        <v>18387946</v>
      </c>
      <c r="I52" s="109">
        <f>Tracker[[#This Row],[DCR ID - PTC]]</f>
        <v>18387946</v>
      </c>
      <c r="J52" s="134" t="s">
        <v>493</v>
      </c>
      <c r="K52" s="134" t="s">
        <v>179</v>
      </c>
      <c r="L52" s="134"/>
      <c r="M52" s="134"/>
      <c r="N52" s="580" t="s">
        <v>910</v>
      </c>
      <c r="O52" s="123" t="s">
        <v>106</v>
      </c>
      <c r="P52" s="123"/>
      <c r="Q52" s="123"/>
      <c r="R52" s="123"/>
      <c r="S52" s="123"/>
      <c r="T52" s="123"/>
      <c r="U52" s="134"/>
      <c r="V52" s="134"/>
      <c r="W52" s="134"/>
      <c r="X52" s="134">
        <f t="shared" si="0"/>
        <v>40.4</v>
      </c>
      <c r="Y52" s="134"/>
      <c r="Z52" s="134"/>
      <c r="AA52" s="134" t="s">
        <v>873</v>
      </c>
      <c r="AC52" s="134"/>
      <c r="AD52" s="134" t="s">
        <v>93</v>
      </c>
      <c r="AE52" s="49"/>
      <c r="AF52" s="136"/>
      <c r="AG52" s="137">
        <v>46097.718877314815</v>
      </c>
      <c r="AH52" s="134" t="s">
        <v>100</v>
      </c>
      <c r="AI52" s="134" t="s">
        <v>95</v>
      </c>
      <c r="AJ52" s="138">
        <v>46203.395833333336</v>
      </c>
      <c r="AK52" s="134" t="s">
        <v>96</v>
      </c>
      <c r="AL52" s="137">
        <v>46034.230243055557</v>
      </c>
      <c r="AM52" s="139"/>
      <c r="AN52" s="139"/>
      <c r="AO52" s="139"/>
      <c r="AP52" s="134"/>
      <c r="AQ52" s="49"/>
      <c r="AR52" s="49"/>
      <c r="AS52" s="116"/>
      <c r="AT52" s="138">
        <f t="shared" si="1"/>
        <v>40.4</v>
      </c>
      <c r="AU52" s="138"/>
      <c r="AV52" s="134"/>
      <c r="AW52" s="134"/>
      <c r="AX52" s="108"/>
      <c r="AY52" s="108" t="s">
        <v>866</v>
      </c>
      <c r="AZ52" s="134"/>
      <c r="BA52" s="134"/>
      <c r="BB52" s="134"/>
      <c r="BC52" s="134"/>
      <c r="BD52" s="123"/>
      <c r="BE52" s="123">
        <f t="shared" si="2"/>
        <v>40.4</v>
      </c>
      <c r="BF52" s="123"/>
      <c r="BG52" s="123"/>
      <c r="BH52" s="123"/>
      <c r="BI52" s="123"/>
      <c r="BJ52" s="123"/>
      <c r="BK52" s="123"/>
      <c r="BL52" s="123"/>
      <c r="BM52" s="117"/>
      <c r="BN52" s="123"/>
      <c r="BO52" s="140"/>
      <c r="BP52" s="140">
        <f t="shared" si="3"/>
        <v>40.4</v>
      </c>
      <c r="BQ52" s="140"/>
      <c r="BR52" s="123"/>
      <c r="BS52" s="141"/>
      <c r="BT52" s="123"/>
      <c r="BU52" s="141"/>
      <c r="BV52" s="123"/>
      <c r="BW52" s="123"/>
      <c r="BX52" s="123"/>
      <c r="BY52" s="123"/>
      <c r="BZ52" s="123"/>
      <c r="CA52" s="123">
        <f t="shared" si="4"/>
        <v>40.4</v>
      </c>
      <c r="CB52" s="119"/>
      <c r="CC52" s="140"/>
      <c r="CD52" s="120" t="e">
        <v>#N/A</v>
      </c>
      <c r="CE52" s="120" t="e">
        <v>#N/A</v>
      </c>
      <c r="CF52" s="120" t="e">
        <v>#N/A</v>
      </c>
      <c r="CG52" s="123"/>
      <c r="CH52" s="120"/>
      <c r="CI52" s="120"/>
      <c r="CJ52" s="123"/>
      <c r="CK52" s="132"/>
    </row>
    <row r="53" spans="1:89" ht="101.45">
      <c r="A53" s="147" t="s">
        <v>457</v>
      </c>
      <c r="B53" s="49">
        <f>2</f>
        <v>2</v>
      </c>
      <c r="C53" s="49">
        <v>0</v>
      </c>
      <c r="D53" s="107">
        <f>Tracker[[#This Row],[Estimated Hrs]]-Tracker[[#This Row],[Actual Efforts (Hrs)]]</f>
        <v>-2</v>
      </c>
      <c r="E53" s="134"/>
      <c r="F53" s="134" t="s">
        <v>136</v>
      </c>
      <c r="G53" s="134"/>
      <c r="H53" s="154">
        <v>18387954</v>
      </c>
      <c r="I53" s="109">
        <f>Tracker[[#This Row],[DCR ID - PTC]]</f>
        <v>18387954</v>
      </c>
      <c r="J53" s="134" t="s">
        <v>489</v>
      </c>
      <c r="K53" s="134" t="s">
        <v>179</v>
      </c>
      <c r="L53" s="134"/>
      <c r="M53" s="134"/>
      <c r="N53" s="116" t="s">
        <v>911</v>
      </c>
      <c r="O53" s="123" t="s">
        <v>106</v>
      </c>
      <c r="P53" s="123"/>
      <c r="Q53" s="123"/>
      <c r="R53" s="123"/>
      <c r="S53" s="123"/>
      <c r="T53" s="123"/>
      <c r="U53" s="134"/>
      <c r="V53" s="134"/>
      <c r="W53" s="134"/>
      <c r="X53" s="134">
        <f t="shared" si="0"/>
        <v>40.4</v>
      </c>
      <c r="Y53" s="134"/>
      <c r="Z53" s="134"/>
      <c r="AA53" s="134" t="s">
        <v>873</v>
      </c>
      <c r="AB53" s="29">
        <v>46171</v>
      </c>
      <c r="AC53" s="134"/>
      <c r="AD53" s="134" t="s">
        <v>93</v>
      </c>
      <c r="AE53" s="49"/>
      <c r="AF53" s="136"/>
      <c r="AG53" s="137">
        <v>46133.930462962962</v>
      </c>
      <c r="AH53" s="134" t="s">
        <v>319</v>
      </c>
      <c r="AI53" s="134" t="s">
        <v>95</v>
      </c>
      <c r="AJ53" s="138">
        <v>46173.395833333336</v>
      </c>
      <c r="AK53" s="134" t="s">
        <v>96</v>
      </c>
      <c r="AL53" s="137">
        <v>46034.245775462965</v>
      </c>
      <c r="AM53" s="139"/>
      <c r="AN53" s="139"/>
      <c r="AO53" s="139"/>
      <c r="AP53" s="134"/>
      <c r="AQ53" s="49"/>
      <c r="AR53" s="49"/>
      <c r="AS53" s="139"/>
      <c r="AT53" s="138">
        <f t="shared" si="1"/>
        <v>40.4</v>
      </c>
      <c r="AU53" s="138"/>
      <c r="AV53" s="134"/>
      <c r="AW53" s="134"/>
      <c r="AX53" s="108"/>
      <c r="AY53" s="108" t="s">
        <v>866</v>
      </c>
      <c r="AZ53" s="134"/>
      <c r="BA53" s="134"/>
      <c r="BB53" s="134"/>
      <c r="BC53" s="134"/>
      <c r="BD53" s="123"/>
      <c r="BE53" s="123">
        <f t="shared" si="2"/>
        <v>40.4</v>
      </c>
      <c r="BF53" s="123"/>
      <c r="BG53" s="123"/>
      <c r="BH53" s="123"/>
      <c r="BI53" s="123"/>
      <c r="BJ53" s="123"/>
      <c r="BK53" s="123"/>
      <c r="BL53" s="123"/>
      <c r="BM53" s="117"/>
      <c r="BN53" s="123"/>
      <c r="BO53" s="140"/>
      <c r="BP53" s="140">
        <f t="shared" si="3"/>
        <v>40.4</v>
      </c>
      <c r="BQ53" s="140"/>
      <c r="BR53" s="123"/>
      <c r="BS53" s="141"/>
      <c r="BT53" s="123"/>
      <c r="BU53" s="141"/>
      <c r="BV53" s="123"/>
      <c r="BW53" s="123"/>
      <c r="BX53" s="123"/>
      <c r="BY53" s="123"/>
      <c r="BZ53" s="123"/>
      <c r="CA53" s="123">
        <f t="shared" si="4"/>
        <v>40.4</v>
      </c>
      <c r="CB53" s="119"/>
      <c r="CC53" s="140"/>
      <c r="CD53" s="120" t="e">
        <v>#N/A</v>
      </c>
      <c r="CE53" s="120" t="e">
        <v>#N/A</v>
      </c>
      <c r="CF53" s="120" t="e">
        <v>#N/A</v>
      </c>
      <c r="CG53" s="123"/>
      <c r="CH53" s="120"/>
      <c r="CI53" s="120"/>
      <c r="CJ53" s="123"/>
      <c r="CK53" s="132"/>
    </row>
    <row r="54" spans="1:89" ht="409.5">
      <c r="A54" s="147" t="s">
        <v>457</v>
      </c>
      <c r="B54" s="49">
        <f>3+3+7+0.5</f>
        <v>13.5</v>
      </c>
      <c r="C54" s="49">
        <v>15</v>
      </c>
      <c r="D54" s="49">
        <f>Tracker[[#This Row],[Estimated Hrs]]-Tracker[[#This Row],[Actual Efforts (Hrs)]]</f>
        <v>1.5</v>
      </c>
      <c r="E54" s="134"/>
      <c r="F54" s="134" t="s">
        <v>867</v>
      </c>
      <c r="G54" s="134" t="s">
        <v>867</v>
      </c>
      <c r="H54" s="154">
        <v>19555923</v>
      </c>
      <c r="I54" s="109">
        <f>Tracker[[#This Row],[DCR ID - PTC]]</f>
        <v>19555923</v>
      </c>
      <c r="J54" s="134" t="s">
        <v>912</v>
      </c>
      <c r="K54" s="134" t="s">
        <v>118</v>
      </c>
      <c r="L54" s="134"/>
      <c r="M54" s="134"/>
      <c r="N54" s="580" t="s">
        <v>913</v>
      </c>
      <c r="O54" s="123" t="s">
        <v>106</v>
      </c>
      <c r="P54" s="123"/>
      <c r="Q54" s="123"/>
      <c r="R54" s="123"/>
      <c r="S54" s="123"/>
      <c r="T54" s="123"/>
      <c r="U54" s="134"/>
      <c r="V54" s="134"/>
      <c r="W54" s="134"/>
      <c r="X54" s="134">
        <f t="shared" si="0"/>
        <v>40.4</v>
      </c>
      <c r="Y54" s="134"/>
      <c r="Z54" s="134"/>
      <c r="AA54" s="134"/>
      <c r="AC54" s="134"/>
      <c r="AD54" s="134" t="s">
        <v>93</v>
      </c>
      <c r="AE54" s="49"/>
      <c r="AF54" s="136"/>
      <c r="AG54" s="137">
        <v>46146</v>
      </c>
      <c r="AH54" s="134" t="s">
        <v>109</v>
      </c>
      <c r="AI54" s="134" t="s">
        <v>95</v>
      </c>
      <c r="AJ54" s="138">
        <v>46142</v>
      </c>
      <c r="AK54" s="134" t="s">
        <v>96</v>
      </c>
      <c r="AL54" s="137">
        <v>46139.727905092594</v>
      </c>
      <c r="AM54" s="139"/>
      <c r="AN54" s="139"/>
      <c r="AO54" s="139">
        <v>46175</v>
      </c>
      <c r="AP54" s="134"/>
      <c r="AQ54" s="49"/>
      <c r="AR54" s="49"/>
      <c r="AS54" s="116">
        <v>46176</v>
      </c>
      <c r="AT54" s="138" t="s">
        <v>125</v>
      </c>
      <c r="AU54" s="138" t="s">
        <v>125</v>
      </c>
      <c r="AV54" s="134"/>
      <c r="AW54" s="134"/>
      <c r="AX54" s="108" t="s">
        <v>97</v>
      </c>
      <c r="AY54" s="108" t="s">
        <v>98</v>
      </c>
      <c r="AZ54" s="134"/>
      <c r="BA54" s="134"/>
      <c r="BB54" s="134"/>
      <c r="BC54" s="134"/>
      <c r="BD54" s="123"/>
      <c r="BE54" s="123">
        <f t="shared" si="2"/>
        <v>40.4</v>
      </c>
      <c r="BF54" s="123"/>
      <c r="BG54" s="123"/>
      <c r="BH54" s="123"/>
      <c r="BI54" s="123"/>
      <c r="BJ54" s="123"/>
      <c r="BK54" s="123"/>
      <c r="BL54" s="123"/>
      <c r="BM54" s="117"/>
      <c r="BN54" s="123"/>
      <c r="BO54" s="140"/>
      <c r="BP54" s="140">
        <f t="shared" si="3"/>
        <v>40.4</v>
      </c>
      <c r="BQ54" s="140"/>
      <c r="BR54" s="123"/>
      <c r="BS54" s="141"/>
      <c r="BT54" s="123"/>
      <c r="BU54" s="141"/>
      <c r="BV54" s="123"/>
      <c r="BW54" s="123"/>
      <c r="BX54" s="123"/>
      <c r="BY54" s="123"/>
      <c r="BZ54" s="123"/>
      <c r="CA54" s="123">
        <f t="shared" si="4"/>
        <v>40.4</v>
      </c>
      <c r="CB54" s="119">
        <v>1</v>
      </c>
      <c r="CC54" s="140"/>
      <c r="CD54" s="120">
        <v>0</v>
      </c>
      <c r="CE54" s="120">
        <v>0</v>
      </c>
      <c r="CF54" s="120">
        <v>0</v>
      </c>
      <c r="CG54" s="123"/>
      <c r="CH54" s="120"/>
      <c r="CI54" s="120"/>
      <c r="CJ54" s="123"/>
      <c r="CK54" s="132" t="s">
        <v>125</v>
      </c>
    </row>
    <row r="55" spans="1:89" ht="43.5">
      <c r="A55" s="147" t="s">
        <v>260</v>
      </c>
      <c r="B55" s="49">
        <v>0</v>
      </c>
      <c r="C55" s="49">
        <v>0</v>
      </c>
      <c r="D55" s="49">
        <v>0</v>
      </c>
      <c r="E55" s="134"/>
      <c r="F55" s="134"/>
      <c r="G55" s="134"/>
      <c r="H55" s="154">
        <v>17386788</v>
      </c>
      <c r="I55" s="109">
        <f>Tracker[[#This Row],[DCR ID - PTC]]</f>
        <v>17386788</v>
      </c>
      <c r="J55" s="49" t="s">
        <v>184</v>
      </c>
      <c r="K55" s="49" t="s">
        <v>176</v>
      </c>
      <c r="L55" s="134"/>
      <c r="M55" s="134"/>
      <c r="N55" s="580"/>
      <c r="O55" s="123"/>
      <c r="P55" s="123"/>
      <c r="Q55" s="123"/>
      <c r="R55" s="123"/>
      <c r="S55" s="123"/>
      <c r="T55" s="123"/>
      <c r="U55" s="134"/>
      <c r="V55" s="134"/>
      <c r="W55" s="134"/>
      <c r="X55" s="134">
        <f t="shared" si="0"/>
        <v>40.4</v>
      </c>
      <c r="Y55" s="134"/>
      <c r="Z55" s="134"/>
      <c r="AA55" s="134"/>
      <c r="AC55" s="134"/>
      <c r="AD55" s="134" t="s">
        <v>116</v>
      </c>
      <c r="AE55" s="49"/>
      <c r="AF55" s="136"/>
      <c r="AG55" s="137"/>
      <c r="AH55" s="134" t="s">
        <v>100</v>
      </c>
      <c r="AI55" s="134" t="s">
        <v>101</v>
      </c>
      <c r="AJ55" s="138">
        <v>45905.91609953704</v>
      </c>
      <c r="AK55" s="134" t="s">
        <v>96</v>
      </c>
      <c r="AL55" s="137">
        <v>45897.918344907404</v>
      </c>
      <c r="AM55" s="139"/>
      <c r="AN55" s="139"/>
      <c r="AO55" s="139"/>
      <c r="AP55" s="134"/>
      <c r="AQ55" s="49"/>
      <c r="AR55" s="49"/>
      <c r="AS55" s="116"/>
      <c r="AT55" s="138">
        <f t="shared" si="1"/>
        <v>40.4</v>
      </c>
      <c r="AU55" s="138"/>
      <c r="AV55" s="134"/>
      <c r="AW55" s="134"/>
      <c r="AX55" s="108"/>
      <c r="AY55" s="108" t="s">
        <v>866</v>
      </c>
      <c r="AZ55" s="134"/>
      <c r="BA55" s="134"/>
      <c r="BB55" s="134"/>
      <c r="BC55" s="134"/>
      <c r="BD55" s="123"/>
      <c r="BE55" s="123">
        <f t="shared" si="2"/>
        <v>40.4</v>
      </c>
      <c r="BF55" s="123"/>
      <c r="BG55" s="123"/>
      <c r="BH55" s="123"/>
      <c r="BI55" s="123"/>
      <c r="BJ55" s="123"/>
      <c r="BK55" s="123"/>
      <c r="BL55" s="123"/>
      <c r="BM55" s="117"/>
      <c r="BN55" s="123"/>
      <c r="BO55" s="140"/>
      <c r="BP55" s="140">
        <f t="shared" si="3"/>
        <v>40.4</v>
      </c>
      <c r="BQ55" s="140"/>
      <c r="BR55" s="123"/>
      <c r="BS55" s="141"/>
      <c r="BT55" s="123"/>
      <c r="BU55" s="141"/>
      <c r="BV55" s="123"/>
      <c r="BW55" s="123"/>
      <c r="BX55" s="123"/>
      <c r="BY55" s="123"/>
      <c r="BZ55" s="123"/>
      <c r="CA55" s="123">
        <f t="shared" si="4"/>
        <v>40.4</v>
      </c>
      <c r="CB55" s="119"/>
      <c r="CC55" s="140"/>
      <c r="CD55" s="120" t="e">
        <v>#N/A</v>
      </c>
      <c r="CE55" s="120" t="e">
        <v>#N/A</v>
      </c>
      <c r="CF55" s="120" t="e">
        <v>#N/A</v>
      </c>
      <c r="CG55" s="123"/>
      <c r="CH55" s="120"/>
      <c r="CI55" s="120"/>
      <c r="CJ55" s="123"/>
      <c r="CK55" s="132"/>
    </row>
    <row r="56" spans="1:89" ht="72.599999999999994">
      <c r="A56" s="106" t="s">
        <v>260</v>
      </c>
      <c r="B56" s="107">
        <f>2+3+5+6+4+9+7+8+8+8</f>
        <v>60</v>
      </c>
      <c r="C56" s="49">
        <v>36.5</v>
      </c>
      <c r="D56" s="107">
        <f>Tracker[[#This Row],[Estimated Hrs]]-Tracker[[#This Row],[Actual Efforts (Hrs)]]</f>
        <v>-23.5</v>
      </c>
      <c r="E56" s="108"/>
      <c r="F56" s="134" t="s">
        <v>867</v>
      </c>
      <c r="G56" s="134" t="s">
        <v>867</v>
      </c>
      <c r="H56" s="154">
        <v>19532824</v>
      </c>
      <c r="I56" s="109">
        <f>Tracker[[#This Row],[DCR ID - PTC]]</f>
        <v>19532824</v>
      </c>
      <c r="J56" s="108" t="s">
        <v>914</v>
      </c>
      <c r="K56" s="134" t="s">
        <v>118</v>
      </c>
      <c r="L56" s="108"/>
      <c r="M56" s="108"/>
      <c r="N56" s="580" t="s">
        <v>915</v>
      </c>
      <c r="O56" s="111" t="s">
        <v>106</v>
      </c>
      <c r="P56" s="111"/>
      <c r="Q56" s="111"/>
      <c r="R56" s="111"/>
      <c r="S56" s="111"/>
      <c r="T56" s="111"/>
      <c r="U56" s="108"/>
      <c r="V56" s="108"/>
      <c r="W56" s="108"/>
      <c r="X56" s="108">
        <f t="shared" si="0"/>
        <v>40.4</v>
      </c>
      <c r="Y56" s="108"/>
      <c r="Z56" s="108"/>
      <c r="AA56" s="108" t="s">
        <v>873</v>
      </c>
      <c r="AB56" s="112"/>
      <c r="AC56" s="108"/>
      <c r="AD56" s="108" t="s">
        <v>93</v>
      </c>
      <c r="AE56" s="107"/>
      <c r="AF56" s="113"/>
      <c r="AG56" s="137">
        <v>46155</v>
      </c>
      <c r="AH56" s="134" t="s">
        <v>109</v>
      </c>
      <c r="AI56" s="134" t="s">
        <v>95</v>
      </c>
      <c r="AJ56" s="138">
        <v>46164.485821759263</v>
      </c>
      <c r="AK56" s="108" t="s">
        <v>96</v>
      </c>
      <c r="AL56" s="115">
        <v>46136.486354166664</v>
      </c>
      <c r="AM56" s="116"/>
      <c r="AN56" s="116"/>
      <c r="AO56" s="139">
        <v>46164</v>
      </c>
      <c r="AP56" s="108"/>
      <c r="AQ56" s="107"/>
      <c r="AR56" s="107"/>
      <c r="AS56" s="116">
        <v>46164</v>
      </c>
      <c r="AT56" s="138">
        <v>46164</v>
      </c>
      <c r="AU56" s="138">
        <v>46164</v>
      </c>
      <c r="AV56" s="108"/>
      <c r="AW56" s="108"/>
      <c r="AX56" s="108" t="s">
        <v>97</v>
      </c>
      <c r="AY56" s="108" t="s">
        <v>98</v>
      </c>
      <c r="AZ56" s="108"/>
      <c r="BA56" s="108"/>
      <c r="BB56" s="108"/>
      <c r="BC56" s="108"/>
      <c r="BD56" s="111"/>
      <c r="BE56" s="111">
        <f t="shared" si="2"/>
        <v>40.4</v>
      </c>
      <c r="BF56" s="111"/>
      <c r="BG56" s="111"/>
      <c r="BH56" s="111"/>
      <c r="BI56" s="111"/>
      <c r="BJ56" s="111"/>
      <c r="BK56" s="111"/>
      <c r="BL56" s="111"/>
      <c r="BM56" s="117"/>
      <c r="BN56" s="111"/>
      <c r="BO56" s="117"/>
      <c r="BP56" s="117">
        <f t="shared" si="3"/>
        <v>40.4</v>
      </c>
      <c r="BQ56" s="117"/>
      <c r="BR56" s="111"/>
      <c r="BS56" s="118"/>
      <c r="BT56" s="111"/>
      <c r="BU56" s="118"/>
      <c r="BV56" s="111"/>
      <c r="BW56" s="111"/>
      <c r="BX56" s="111"/>
      <c r="BY56" s="111"/>
      <c r="BZ56" s="111"/>
      <c r="CA56" s="111">
        <f t="shared" si="4"/>
        <v>40.4</v>
      </c>
      <c r="CB56" s="119">
        <v>1</v>
      </c>
      <c r="CC56" s="117"/>
      <c r="CD56" s="120" t="s">
        <v>916</v>
      </c>
      <c r="CE56" s="120" t="s">
        <v>917</v>
      </c>
      <c r="CF56" s="120" t="s">
        <v>918</v>
      </c>
      <c r="CG56" s="111"/>
      <c r="CH56" s="120"/>
      <c r="CI56" s="120"/>
      <c r="CJ56" s="111"/>
      <c r="CK56" s="132" t="s">
        <v>882</v>
      </c>
    </row>
    <row r="57" spans="1:89" ht="43.5">
      <c r="A57" s="106" t="s">
        <v>260</v>
      </c>
      <c r="B57" s="107">
        <v>0</v>
      </c>
      <c r="C57" s="49">
        <v>0</v>
      </c>
      <c r="D57" s="107">
        <v>0</v>
      </c>
      <c r="E57" s="108"/>
      <c r="F57" s="134" t="s">
        <v>127</v>
      </c>
      <c r="G57" s="134"/>
      <c r="H57" s="151">
        <v>18035598</v>
      </c>
      <c r="I57" s="109">
        <f>Tracker[[#This Row],[DCR ID - PTC]]</f>
        <v>18035598</v>
      </c>
      <c r="J57" s="108" t="s">
        <v>416</v>
      </c>
      <c r="K57" s="134" t="s">
        <v>101</v>
      </c>
      <c r="L57" s="108" t="s">
        <v>131</v>
      </c>
      <c r="M57" s="108"/>
      <c r="N57" s="580"/>
      <c r="O57" s="111"/>
      <c r="P57" s="111"/>
      <c r="Q57" s="111"/>
      <c r="R57" s="111"/>
      <c r="S57" s="111"/>
      <c r="T57" s="111"/>
      <c r="U57" s="108"/>
      <c r="V57" s="108"/>
      <c r="W57" s="108"/>
      <c r="X57" s="108">
        <f t="shared" si="0"/>
        <v>40.4</v>
      </c>
      <c r="Y57" s="108"/>
      <c r="Z57" s="108"/>
      <c r="AA57" s="108" t="s">
        <v>130</v>
      </c>
      <c r="AB57" s="112"/>
      <c r="AC57" s="108" t="s">
        <v>131</v>
      </c>
      <c r="AD57" s="108" t="s">
        <v>93</v>
      </c>
      <c r="AE57" s="107"/>
      <c r="AF57" s="113"/>
      <c r="AG57" s="137">
        <v>45996.717291666668</v>
      </c>
      <c r="AH57" s="134" t="s">
        <v>94</v>
      </c>
      <c r="AI57" s="134" t="s">
        <v>95</v>
      </c>
      <c r="AJ57" s="138">
        <v>45996.395833333336</v>
      </c>
      <c r="AK57" s="108" t="s">
        <v>96</v>
      </c>
      <c r="AL57" s="115">
        <v>45982.436180555553</v>
      </c>
      <c r="AM57" s="116"/>
      <c r="AN57" s="116"/>
      <c r="AO57" s="139"/>
      <c r="AP57" s="108"/>
      <c r="AQ57" s="107"/>
      <c r="AR57" s="107"/>
      <c r="AS57" s="116"/>
      <c r="AT57" s="138">
        <f t="shared" si="1"/>
        <v>40.4</v>
      </c>
      <c r="AU57" s="138"/>
      <c r="AV57" s="108"/>
      <c r="AW57" s="108"/>
      <c r="AX57" s="108"/>
      <c r="AY57" s="108" t="s">
        <v>866</v>
      </c>
      <c r="AZ57" s="108"/>
      <c r="BA57" s="108"/>
      <c r="BB57" s="108"/>
      <c r="BC57" s="108"/>
      <c r="BD57" s="111"/>
      <c r="BE57" s="111">
        <f t="shared" si="2"/>
        <v>40.4</v>
      </c>
      <c r="BF57" s="111"/>
      <c r="BG57" s="111"/>
      <c r="BH57" s="111"/>
      <c r="BI57" s="111"/>
      <c r="BJ57" s="111"/>
      <c r="BK57" s="111"/>
      <c r="BL57" s="111"/>
      <c r="BM57" s="117"/>
      <c r="BN57" s="111"/>
      <c r="BO57" s="117"/>
      <c r="BP57" s="117">
        <f t="shared" si="3"/>
        <v>40.4</v>
      </c>
      <c r="BQ57" s="117"/>
      <c r="BR57" s="111"/>
      <c r="BS57" s="118"/>
      <c r="BT57" s="111"/>
      <c r="BU57" s="118"/>
      <c r="BV57" s="111"/>
      <c r="BW57" s="111"/>
      <c r="BX57" s="111"/>
      <c r="BY57" s="111"/>
      <c r="BZ57" s="111"/>
      <c r="CA57" s="111">
        <f t="shared" si="4"/>
        <v>40.4</v>
      </c>
      <c r="CB57" s="119"/>
      <c r="CC57" s="117"/>
      <c r="CD57" s="120">
        <v>0</v>
      </c>
      <c r="CE57" s="120">
        <v>0</v>
      </c>
      <c r="CF57" s="120">
        <v>0</v>
      </c>
      <c r="CG57" s="111"/>
      <c r="CH57" s="120"/>
      <c r="CI57" s="120"/>
      <c r="CJ57" s="111"/>
      <c r="CK57" s="132"/>
    </row>
    <row r="58" spans="1:89" ht="43.5">
      <c r="A58" s="106" t="s">
        <v>919</v>
      </c>
      <c r="B58" s="107">
        <f>3.5</f>
        <v>3.5</v>
      </c>
      <c r="C58" s="49">
        <v>0</v>
      </c>
      <c r="D58" s="107">
        <f>Tracker[[#This Row],[Estimated Hrs]]-Tracker[[#This Row],[Actual Efforts (Hrs)]]</f>
        <v>-3.5</v>
      </c>
      <c r="E58" s="108"/>
      <c r="F58" s="134" t="s">
        <v>136</v>
      </c>
      <c r="G58" s="134"/>
      <c r="H58" s="151">
        <v>18944494</v>
      </c>
      <c r="I58" s="109">
        <f>Tracker[[#This Row],[DCR ID - PTC]]</f>
        <v>18944494</v>
      </c>
      <c r="J58" s="107" t="s">
        <v>662</v>
      </c>
      <c r="K58" s="134" t="s">
        <v>101</v>
      </c>
      <c r="L58" s="108" t="s">
        <v>920</v>
      </c>
      <c r="M58" s="108"/>
      <c r="N58" s="580" t="s">
        <v>921</v>
      </c>
      <c r="O58" s="111" t="s">
        <v>115</v>
      </c>
      <c r="P58" s="111"/>
      <c r="Q58" s="111"/>
      <c r="R58" s="111"/>
      <c r="S58" s="111"/>
      <c r="T58" s="111"/>
      <c r="U58" s="108"/>
      <c r="V58" s="108"/>
      <c r="W58" s="108"/>
      <c r="X58" s="108">
        <f t="shared" si="0"/>
        <v>40.4</v>
      </c>
      <c r="Y58" s="108"/>
      <c r="Z58" s="108"/>
      <c r="AA58" s="108" t="s">
        <v>879</v>
      </c>
      <c r="AB58" s="112">
        <v>46112</v>
      </c>
      <c r="AC58" s="108" t="s">
        <v>920</v>
      </c>
      <c r="AD58" s="108" t="s">
        <v>146</v>
      </c>
      <c r="AE58" s="107"/>
      <c r="AF58" s="113"/>
      <c r="AG58" s="115">
        <v>46118.892453703702</v>
      </c>
      <c r="AH58" s="108" t="s">
        <v>94</v>
      </c>
      <c r="AI58" s="108" t="s">
        <v>95</v>
      </c>
      <c r="AJ58" s="114">
        <v>46120.395833333336</v>
      </c>
      <c r="AK58" s="108" t="s">
        <v>96</v>
      </c>
      <c r="AL58" s="115">
        <v>46080.889398148145</v>
      </c>
      <c r="AM58" s="116"/>
      <c r="AN58" s="116"/>
      <c r="AO58" s="139"/>
      <c r="AP58" s="108"/>
      <c r="AQ58" s="107"/>
      <c r="AR58" s="107"/>
      <c r="AS58" s="116"/>
      <c r="AT58" s="138">
        <f t="shared" si="1"/>
        <v>40.4</v>
      </c>
      <c r="AU58" s="138"/>
      <c r="AV58" s="108"/>
      <c r="AW58" s="108"/>
      <c r="AX58" s="108"/>
      <c r="AY58" s="108" t="s">
        <v>866</v>
      </c>
      <c r="AZ58" s="108"/>
      <c r="BA58" s="108"/>
      <c r="BB58" s="108"/>
      <c r="BC58" s="108"/>
      <c r="BD58" s="111"/>
      <c r="BE58" s="111">
        <f t="shared" si="2"/>
        <v>40.4</v>
      </c>
      <c r="BF58" s="111"/>
      <c r="BG58" s="111"/>
      <c r="BH58" s="111"/>
      <c r="BI58" s="111"/>
      <c r="BJ58" s="111"/>
      <c r="BK58" s="111"/>
      <c r="BL58" s="111"/>
      <c r="BM58" s="117"/>
      <c r="BN58" s="111"/>
      <c r="BO58" s="117"/>
      <c r="BP58" s="117">
        <f t="shared" si="3"/>
        <v>40.4</v>
      </c>
      <c r="BQ58" s="117"/>
      <c r="BR58" s="111"/>
      <c r="BS58" s="118"/>
      <c r="BT58" s="111"/>
      <c r="BU58" s="118"/>
      <c r="BV58" s="111"/>
      <c r="BW58" s="111"/>
      <c r="BX58" s="111"/>
      <c r="BY58" s="111"/>
      <c r="BZ58" s="111"/>
      <c r="CA58" s="111">
        <f t="shared" si="4"/>
        <v>40.4</v>
      </c>
      <c r="CB58" s="119"/>
      <c r="CC58" s="117"/>
      <c r="CD58" s="120" t="e">
        <v>#N/A</v>
      </c>
      <c r="CE58" s="120" t="e">
        <v>#N/A</v>
      </c>
      <c r="CF58" s="120" t="e">
        <v>#N/A</v>
      </c>
      <c r="CG58" s="111"/>
      <c r="CH58" s="120"/>
      <c r="CI58" s="120"/>
      <c r="CJ58" s="111"/>
      <c r="CK58" s="132"/>
    </row>
    <row r="59" spans="1:89" ht="348">
      <c r="A59" s="106" t="s">
        <v>919</v>
      </c>
      <c r="B59" s="107">
        <f>1.75+1+6+6.5+0.5+0.5+1.5+2</f>
        <v>19.75</v>
      </c>
      <c r="C59" s="49">
        <f>30</f>
        <v>30</v>
      </c>
      <c r="D59" s="107">
        <f>Tracker[[#This Row],[Estimated Hrs]]-Tracker[[#This Row],[Actual Efforts (Hrs)]]</f>
        <v>10.25</v>
      </c>
      <c r="E59" s="108"/>
      <c r="F59" s="134" t="s">
        <v>89</v>
      </c>
      <c r="G59" s="150"/>
      <c r="H59" s="151">
        <v>17773433</v>
      </c>
      <c r="I59" s="109">
        <f>Tracker[[#This Row],[DCR ID - PTC]]</f>
        <v>17773433</v>
      </c>
      <c r="J59" s="108" t="s">
        <v>415</v>
      </c>
      <c r="K59" s="134" t="s">
        <v>101</v>
      </c>
      <c r="L59" s="108" t="s">
        <v>131</v>
      </c>
      <c r="M59" s="108"/>
      <c r="N59" s="580" t="s">
        <v>922</v>
      </c>
      <c r="O59" s="111" t="s">
        <v>115</v>
      </c>
      <c r="P59" s="111"/>
      <c r="Q59" s="111"/>
      <c r="R59" s="111"/>
      <c r="S59" s="111"/>
      <c r="T59" s="111"/>
      <c r="U59" s="108"/>
      <c r="V59" s="108"/>
      <c r="W59" s="108"/>
      <c r="X59" s="108">
        <f t="shared" si="0"/>
        <v>40.4</v>
      </c>
      <c r="Y59" s="108"/>
      <c r="Z59" s="108"/>
      <c r="AA59" s="108" t="s">
        <v>253</v>
      </c>
      <c r="AB59" s="112">
        <v>45971</v>
      </c>
      <c r="AC59" s="108" t="s">
        <v>131</v>
      </c>
      <c r="AD59" s="108" t="s">
        <v>116</v>
      </c>
      <c r="AE59" s="107"/>
      <c r="AF59" s="113"/>
      <c r="AG59" s="115">
        <v>45967.841238425928</v>
      </c>
      <c r="AH59" s="108" t="s">
        <v>94</v>
      </c>
      <c r="AI59" s="108" t="s">
        <v>110</v>
      </c>
      <c r="AJ59" s="114">
        <v>45975.5625</v>
      </c>
      <c r="AK59" s="108" t="s">
        <v>96</v>
      </c>
      <c r="AL59" s="115">
        <v>45957.926747685182</v>
      </c>
      <c r="AM59" s="116"/>
      <c r="AN59" s="116"/>
      <c r="AO59" s="139"/>
      <c r="AP59" s="108"/>
      <c r="AQ59" s="107"/>
      <c r="AR59" s="107"/>
      <c r="AS59" s="139"/>
      <c r="AT59" s="138">
        <f t="shared" si="1"/>
        <v>40.4</v>
      </c>
      <c r="AU59" s="138"/>
      <c r="AV59" s="108"/>
      <c r="AW59" s="108"/>
      <c r="AX59" s="108"/>
      <c r="AY59" s="108" t="s">
        <v>866</v>
      </c>
      <c r="AZ59" s="108"/>
      <c r="BA59" s="108"/>
      <c r="BB59" s="108"/>
      <c r="BC59" s="108"/>
      <c r="BD59" s="111"/>
      <c r="BE59" s="111">
        <f t="shared" si="2"/>
        <v>40.4</v>
      </c>
      <c r="BF59" s="111"/>
      <c r="BG59" s="111"/>
      <c r="BH59" s="111"/>
      <c r="BI59" s="111"/>
      <c r="BJ59" s="111"/>
      <c r="BK59" s="111"/>
      <c r="BL59" s="111"/>
      <c r="BM59" s="117"/>
      <c r="BN59" s="111"/>
      <c r="BO59" s="117"/>
      <c r="BP59" s="117">
        <f t="shared" si="3"/>
        <v>40.4</v>
      </c>
      <c r="BQ59" s="117"/>
      <c r="BR59" s="111"/>
      <c r="BS59" s="118"/>
      <c r="BT59" s="111"/>
      <c r="BU59" s="118"/>
      <c r="BV59" s="111"/>
      <c r="BW59" s="111"/>
      <c r="BX59" s="111"/>
      <c r="BY59" s="111"/>
      <c r="BZ59" s="111"/>
      <c r="CA59" s="111">
        <f t="shared" si="4"/>
        <v>40.4</v>
      </c>
      <c r="CB59" s="143"/>
      <c r="CC59" s="117"/>
      <c r="CD59" s="120">
        <v>0</v>
      </c>
      <c r="CE59" s="120">
        <v>0</v>
      </c>
      <c r="CF59" s="120">
        <v>0</v>
      </c>
      <c r="CG59" s="111"/>
      <c r="CH59" s="120"/>
      <c r="CI59" s="120"/>
      <c r="CJ59" s="111"/>
      <c r="CK59" s="132"/>
    </row>
    <row r="60" spans="1:89" ht="43.5">
      <c r="A60" s="106" t="s">
        <v>401</v>
      </c>
      <c r="B60" s="107">
        <f>2.5</f>
        <v>2.5</v>
      </c>
      <c r="C60" s="49">
        <v>0</v>
      </c>
      <c r="D60" s="107">
        <v>0</v>
      </c>
      <c r="E60" s="108"/>
      <c r="F60" s="413"/>
      <c r="G60" s="414"/>
      <c r="H60" s="151">
        <v>15022706</v>
      </c>
      <c r="I60" s="109">
        <f>Tracker[[#This Row],[DCR ID - PTC]]</f>
        <v>15022706</v>
      </c>
      <c r="J60" s="108" t="s">
        <v>402</v>
      </c>
      <c r="K60" s="108" t="s">
        <v>176</v>
      </c>
      <c r="L60" s="108"/>
      <c r="M60" s="108"/>
      <c r="N60" s="580" t="s">
        <v>923</v>
      </c>
      <c r="O60" s="111"/>
      <c r="P60" s="111"/>
      <c r="Q60" s="111"/>
      <c r="R60" s="111"/>
      <c r="S60" s="111"/>
      <c r="T60" s="111"/>
      <c r="U60" s="108"/>
      <c r="V60" s="108"/>
      <c r="W60" s="108"/>
      <c r="X60" s="108">
        <f t="shared" si="0"/>
        <v>40.4</v>
      </c>
      <c r="Y60" s="108"/>
      <c r="Z60" s="108"/>
      <c r="AA60" s="108" t="s">
        <v>107</v>
      </c>
      <c r="AB60" s="112"/>
      <c r="AC60" s="108"/>
      <c r="AD60" s="108" t="s">
        <v>93</v>
      </c>
      <c r="AE60" s="107"/>
      <c r="AF60" s="113"/>
      <c r="AG60" s="115"/>
      <c r="AH60" s="108" t="s">
        <v>109</v>
      </c>
      <c r="AI60" s="108" t="s">
        <v>95</v>
      </c>
      <c r="AJ60" s="114">
        <v>45688.4375</v>
      </c>
      <c r="AK60" s="108" t="s">
        <v>96</v>
      </c>
      <c r="AL60" s="115">
        <v>45590.059537037036</v>
      </c>
      <c r="AM60" s="116"/>
      <c r="AN60" s="116"/>
      <c r="AO60" s="139"/>
      <c r="AP60" s="108"/>
      <c r="AQ60" s="107"/>
      <c r="AR60" s="107"/>
      <c r="AS60" s="116"/>
      <c r="AT60" s="114">
        <f t="shared" si="1"/>
        <v>40.4</v>
      </c>
      <c r="AU60" s="114"/>
      <c r="AV60" s="108"/>
      <c r="AW60" s="108"/>
      <c r="AX60" s="108"/>
      <c r="AY60" s="108" t="s">
        <v>866</v>
      </c>
      <c r="AZ60" s="108"/>
      <c r="BA60" s="108"/>
      <c r="BB60" s="108"/>
      <c r="BC60" s="108"/>
      <c r="BD60" s="111"/>
      <c r="BE60" s="111">
        <f t="shared" si="2"/>
        <v>40.4</v>
      </c>
      <c r="BF60" s="111"/>
      <c r="BG60" s="111"/>
      <c r="BH60" s="111"/>
      <c r="BI60" s="111"/>
      <c r="BJ60" s="111"/>
      <c r="BK60" s="111"/>
      <c r="BL60" s="111"/>
      <c r="BM60" s="117"/>
      <c r="BN60" s="111"/>
      <c r="BO60" s="117"/>
      <c r="BP60" s="117">
        <f t="shared" si="3"/>
        <v>40.4</v>
      </c>
      <c r="BQ60" s="117"/>
      <c r="BR60" s="111"/>
      <c r="BS60" s="118"/>
      <c r="BT60" s="111"/>
      <c r="BU60" s="118"/>
      <c r="BV60" s="111"/>
      <c r="BW60" s="111"/>
      <c r="BX60" s="111"/>
      <c r="BY60" s="111"/>
      <c r="BZ60" s="111"/>
      <c r="CA60" s="111">
        <f t="shared" si="4"/>
        <v>40.4</v>
      </c>
      <c r="CB60" s="119"/>
      <c r="CC60" s="117"/>
      <c r="CD60" s="120" t="e">
        <v>#N/A</v>
      </c>
      <c r="CE60" s="120" t="e">
        <v>#N/A</v>
      </c>
      <c r="CF60" s="120" t="e">
        <v>#N/A</v>
      </c>
      <c r="CG60" s="111"/>
      <c r="CH60" s="120"/>
      <c r="CI60" s="120"/>
      <c r="CJ60" s="111"/>
      <c r="CK60" s="132"/>
    </row>
    <row r="61" spans="1:89" ht="43.5">
      <c r="A61" s="106" t="s">
        <v>401</v>
      </c>
      <c r="B61" s="49">
        <v>0</v>
      </c>
      <c r="C61" s="49">
        <v>0</v>
      </c>
      <c r="D61" s="49">
        <v>0</v>
      </c>
      <c r="E61" s="134"/>
      <c r="F61" s="134"/>
      <c r="G61" s="150"/>
      <c r="H61" s="154">
        <v>15194389</v>
      </c>
      <c r="I61" s="109">
        <f>Tracker[[#This Row],[DCR ID - PTC]]</f>
        <v>15194389</v>
      </c>
      <c r="J61" s="134" t="s">
        <v>404</v>
      </c>
      <c r="K61" s="134"/>
      <c r="L61" s="134"/>
      <c r="M61" s="134"/>
      <c r="N61" s="580"/>
      <c r="O61" s="123"/>
      <c r="P61" s="123"/>
      <c r="Q61" s="123"/>
      <c r="R61" s="123"/>
      <c r="S61" s="123"/>
      <c r="T61" s="123"/>
      <c r="U61" s="134"/>
      <c r="V61" s="134"/>
      <c r="W61" s="134"/>
      <c r="X61" s="134">
        <f t="shared" si="0"/>
        <v>40.4</v>
      </c>
      <c r="Y61" s="134"/>
      <c r="Z61" s="134"/>
      <c r="AA61" s="134"/>
      <c r="AC61" s="134"/>
      <c r="AD61" s="134" t="s">
        <v>93</v>
      </c>
      <c r="AE61" s="49"/>
      <c r="AF61" s="136"/>
      <c r="AG61" s="137"/>
      <c r="AH61" s="134" t="s">
        <v>350</v>
      </c>
      <c r="AI61" s="134" t="s">
        <v>101</v>
      </c>
      <c r="AJ61" s="138">
        <v>45688</v>
      </c>
      <c r="AK61" s="134" t="s">
        <v>96</v>
      </c>
      <c r="AL61" s="137">
        <v>45617.579131944447</v>
      </c>
      <c r="AM61" s="139"/>
      <c r="AN61" s="139"/>
      <c r="AO61" s="139"/>
      <c r="AP61" s="134"/>
      <c r="AQ61" s="49"/>
      <c r="AR61" s="49"/>
      <c r="AS61" s="139"/>
      <c r="AT61" s="138">
        <f t="shared" si="1"/>
        <v>40.4</v>
      </c>
      <c r="AU61" s="138"/>
      <c r="AV61" s="134"/>
      <c r="AW61" s="134"/>
      <c r="AX61" s="134"/>
      <c r="AY61" s="134" t="s">
        <v>866</v>
      </c>
      <c r="AZ61" s="134"/>
      <c r="BA61" s="134"/>
      <c r="BB61" s="134"/>
      <c r="BC61" s="134"/>
      <c r="BD61" s="123"/>
      <c r="BE61" s="123">
        <f t="shared" si="2"/>
        <v>40.4</v>
      </c>
      <c r="BF61" s="123"/>
      <c r="BG61" s="123"/>
      <c r="BH61" s="123"/>
      <c r="BI61" s="123"/>
      <c r="BJ61" s="123"/>
      <c r="BK61" s="123"/>
      <c r="BL61" s="123"/>
      <c r="BM61" s="117"/>
      <c r="BN61" s="123"/>
      <c r="BO61" s="140"/>
      <c r="BP61" s="140">
        <f t="shared" si="3"/>
        <v>40.4</v>
      </c>
      <c r="BQ61" s="140"/>
      <c r="BR61" s="123"/>
      <c r="BS61" s="141"/>
      <c r="BT61" s="123"/>
      <c r="BU61" s="141"/>
      <c r="BV61" s="123"/>
      <c r="BW61" s="123"/>
      <c r="BX61" s="123"/>
      <c r="BY61" s="123"/>
      <c r="BZ61" s="123"/>
      <c r="CA61" s="123">
        <f t="shared" si="4"/>
        <v>40.4</v>
      </c>
      <c r="CB61" s="143"/>
      <c r="CC61" s="140"/>
      <c r="CD61" s="120" t="e">
        <v>#N/A</v>
      </c>
      <c r="CE61" s="120" t="e">
        <v>#N/A</v>
      </c>
      <c r="CF61" s="120" t="e">
        <v>#N/A</v>
      </c>
      <c r="CG61" s="123"/>
      <c r="CH61" s="120"/>
      <c r="CI61" s="120"/>
      <c r="CJ61" s="123"/>
      <c r="CK61" s="132"/>
    </row>
    <row r="62" spans="1:89" ht="43.5">
      <c r="A62" s="106" t="s">
        <v>401</v>
      </c>
      <c r="B62" s="49">
        <v>0</v>
      </c>
      <c r="C62" s="49">
        <v>0</v>
      </c>
      <c r="D62" s="49">
        <v>0</v>
      </c>
      <c r="E62" s="134"/>
      <c r="F62" s="134"/>
      <c r="G62" s="150"/>
      <c r="H62" s="154">
        <v>15194491</v>
      </c>
      <c r="I62" s="109">
        <f>Tracker[[#This Row],[DCR ID - PTC]]</f>
        <v>15194491</v>
      </c>
      <c r="J62" s="134" t="s">
        <v>405</v>
      </c>
      <c r="K62" s="134"/>
      <c r="L62" s="134"/>
      <c r="M62" s="134"/>
      <c r="N62" s="580"/>
      <c r="O62" s="123"/>
      <c r="P62" s="123"/>
      <c r="Q62" s="123"/>
      <c r="R62" s="123"/>
      <c r="S62" s="123"/>
      <c r="T62" s="123"/>
      <c r="U62" s="134"/>
      <c r="V62" s="134"/>
      <c r="W62" s="134"/>
      <c r="X62" s="134">
        <f t="shared" si="0"/>
        <v>40.4</v>
      </c>
      <c r="Y62" s="134"/>
      <c r="Z62" s="134"/>
      <c r="AA62" s="134"/>
      <c r="AC62" s="134"/>
      <c r="AD62" s="134" t="s">
        <v>93</v>
      </c>
      <c r="AE62" s="49"/>
      <c r="AF62" s="136"/>
      <c r="AG62" s="137"/>
      <c r="AH62" s="134" t="s">
        <v>100</v>
      </c>
      <c r="AI62" s="134" t="s">
        <v>101</v>
      </c>
      <c r="AJ62" s="138">
        <v>45688</v>
      </c>
      <c r="AK62" s="134" t="s">
        <v>96</v>
      </c>
      <c r="AL62" s="137">
        <v>45617.608935185184</v>
      </c>
      <c r="AM62" s="139"/>
      <c r="AN62" s="139"/>
      <c r="AO62" s="139"/>
      <c r="AP62" s="134"/>
      <c r="AQ62" s="49"/>
      <c r="AR62" s="49"/>
      <c r="AS62" s="139"/>
      <c r="AT62" s="138">
        <f t="shared" si="1"/>
        <v>40.4</v>
      </c>
      <c r="AU62" s="138"/>
      <c r="AV62" s="134"/>
      <c r="AW62" s="134"/>
      <c r="AX62" s="134"/>
      <c r="AY62" s="134" t="s">
        <v>866</v>
      </c>
      <c r="AZ62" s="134"/>
      <c r="BA62" s="134"/>
      <c r="BB62" s="134"/>
      <c r="BC62" s="134"/>
      <c r="BD62" s="123"/>
      <c r="BE62" s="123">
        <f t="shared" si="2"/>
        <v>40.4</v>
      </c>
      <c r="BF62" s="123"/>
      <c r="BG62" s="123"/>
      <c r="BH62" s="123"/>
      <c r="BI62" s="123"/>
      <c r="BJ62" s="123"/>
      <c r="BK62" s="123"/>
      <c r="BL62" s="123"/>
      <c r="BM62" s="117"/>
      <c r="BN62" s="123"/>
      <c r="BO62" s="140"/>
      <c r="BP62" s="140">
        <f t="shared" si="3"/>
        <v>40.4</v>
      </c>
      <c r="BQ62" s="140"/>
      <c r="BR62" s="123"/>
      <c r="BS62" s="141"/>
      <c r="BT62" s="123"/>
      <c r="BU62" s="141"/>
      <c r="BV62" s="123"/>
      <c r="BW62" s="123"/>
      <c r="BX62" s="123"/>
      <c r="BY62" s="123"/>
      <c r="BZ62" s="123"/>
      <c r="CA62" s="123">
        <f t="shared" si="4"/>
        <v>40.4</v>
      </c>
      <c r="CB62" s="143"/>
      <c r="CC62" s="140"/>
      <c r="CD62" s="120" t="e">
        <v>#N/A</v>
      </c>
      <c r="CE62" s="120" t="e">
        <v>#N/A</v>
      </c>
      <c r="CF62" s="120" t="e">
        <v>#N/A</v>
      </c>
      <c r="CG62" s="123"/>
      <c r="CH62" s="120"/>
      <c r="CI62" s="120"/>
      <c r="CJ62" s="123"/>
      <c r="CK62" s="132"/>
    </row>
    <row r="63" spans="1:89" ht="43.5">
      <c r="A63" s="106" t="s">
        <v>401</v>
      </c>
      <c r="B63" s="49">
        <v>0</v>
      </c>
      <c r="C63" s="49">
        <v>0</v>
      </c>
      <c r="D63" s="49">
        <v>0</v>
      </c>
      <c r="E63" s="134"/>
      <c r="F63" s="134"/>
      <c r="G63" s="150"/>
      <c r="H63" s="154">
        <v>15194636</v>
      </c>
      <c r="I63" s="109">
        <f>Tracker[[#This Row],[DCR ID - PTC]]</f>
        <v>15194636</v>
      </c>
      <c r="J63" s="134" t="s">
        <v>407</v>
      </c>
      <c r="K63" s="134"/>
      <c r="L63" s="134"/>
      <c r="M63" s="134"/>
      <c r="N63" s="580"/>
      <c r="O63" s="123"/>
      <c r="P63" s="123"/>
      <c r="Q63" s="123"/>
      <c r="R63" s="123"/>
      <c r="S63" s="123"/>
      <c r="T63" s="123"/>
      <c r="U63" s="134"/>
      <c r="V63" s="134"/>
      <c r="W63" s="134"/>
      <c r="X63" s="134">
        <f t="shared" si="0"/>
        <v>40.4</v>
      </c>
      <c r="Y63" s="134"/>
      <c r="Z63" s="134"/>
      <c r="AA63" s="134"/>
      <c r="AC63" s="134"/>
      <c r="AD63" s="134" t="s">
        <v>93</v>
      </c>
      <c r="AE63" s="49"/>
      <c r="AF63" s="136"/>
      <c r="AG63" s="137"/>
      <c r="AH63" s="134" t="s">
        <v>100</v>
      </c>
      <c r="AI63" s="134" t="s">
        <v>101</v>
      </c>
      <c r="AJ63" s="138">
        <v>45688</v>
      </c>
      <c r="AK63" s="134" t="s">
        <v>96</v>
      </c>
      <c r="AL63" s="137">
        <v>45617.633634259262</v>
      </c>
      <c r="AM63" s="139"/>
      <c r="AN63" s="139"/>
      <c r="AO63" s="139"/>
      <c r="AP63" s="134"/>
      <c r="AQ63" s="49"/>
      <c r="AR63" s="49"/>
      <c r="AS63" s="139"/>
      <c r="AT63" s="138">
        <f t="shared" si="1"/>
        <v>40.4</v>
      </c>
      <c r="AU63" s="138"/>
      <c r="AV63" s="134"/>
      <c r="AW63" s="134"/>
      <c r="AX63" s="134"/>
      <c r="AY63" s="134" t="s">
        <v>866</v>
      </c>
      <c r="AZ63" s="134"/>
      <c r="BA63" s="134"/>
      <c r="BB63" s="134"/>
      <c r="BC63" s="134"/>
      <c r="BD63" s="123"/>
      <c r="BE63" s="123">
        <f t="shared" si="2"/>
        <v>40.4</v>
      </c>
      <c r="BF63" s="123"/>
      <c r="BG63" s="123"/>
      <c r="BH63" s="123"/>
      <c r="BI63" s="123"/>
      <c r="BJ63" s="123"/>
      <c r="BK63" s="123"/>
      <c r="BL63" s="123"/>
      <c r="BM63" s="117"/>
      <c r="BN63" s="123"/>
      <c r="BO63" s="140"/>
      <c r="BP63" s="140">
        <f t="shared" si="3"/>
        <v>40.4</v>
      </c>
      <c r="BQ63" s="140"/>
      <c r="BR63" s="123"/>
      <c r="BS63" s="141"/>
      <c r="BT63" s="123"/>
      <c r="BU63" s="141"/>
      <c r="BV63" s="123"/>
      <c r="BW63" s="123"/>
      <c r="BX63" s="123"/>
      <c r="BY63" s="123"/>
      <c r="BZ63" s="123"/>
      <c r="CA63" s="123">
        <f t="shared" si="4"/>
        <v>40.4</v>
      </c>
      <c r="CB63" s="143"/>
      <c r="CC63" s="140"/>
      <c r="CD63" s="120">
        <v>0</v>
      </c>
      <c r="CE63" s="120">
        <v>0</v>
      </c>
      <c r="CF63" s="120">
        <v>0</v>
      </c>
      <c r="CG63" s="123"/>
      <c r="CH63" s="120"/>
      <c r="CI63" s="120"/>
      <c r="CJ63" s="123"/>
      <c r="CK63" s="132"/>
    </row>
    <row r="64" spans="1:89" ht="43.5">
      <c r="A64" s="106" t="s">
        <v>401</v>
      </c>
      <c r="B64" s="49">
        <v>0</v>
      </c>
      <c r="C64" s="49">
        <v>0</v>
      </c>
      <c r="D64" s="49">
        <v>0</v>
      </c>
      <c r="E64" s="134"/>
      <c r="F64" s="134"/>
      <c r="G64" s="150"/>
      <c r="H64" s="154">
        <v>15194642</v>
      </c>
      <c r="I64" s="109">
        <f>Tracker[[#This Row],[DCR ID - PTC]]</f>
        <v>15194642</v>
      </c>
      <c r="J64" s="134" t="s">
        <v>408</v>
      </c>
      <c r="K64" s="134"/>
      <c r="L64" s="134"/>
      <c r="M64" s="134"/>
      <c r="N64" s="580"/>
      <c r="O64" s="123"/>
      <c r="P64" s="123"/>
      <c r="Q64" s="123"/>
      <c r="R64" s="123"/>
      <c r="S64" s="123"/>
      <c r="T64" s="123"/>
      <c r="U64" s="134"/>
      <c r="V64" s="134"/>
      <c r="W64" s="134"/>
      <c r="X64" s="134">
        <f t="shared" si="0"/>
        <v>40.4</v>
      </c>
      <c r="Y64" s="134"/>
      <c r="Z64" s="134"/>
      <c r="AA64" s="134"/>
      <c r="AC64" s="134"/>
      <c r="AD64" s="134" t="s">
        <v>93</v>
      </c>
      <c r="AE64" s="49"/>
      <c r="AF64" s="136"/>
      <c r="AG64" s="137"/>
      <c r="AH64" s="134" t="s">
        <v>100</v>
      </c>
      <c r="AI64" s="134" t="s">
        <v>101</v>
      </c>
      <c r="AJ64" s="138">
        <v>45688</v>
      </c>
      <c r="AK64" s="134" t="s">
        <v>96</v>
      </c>
      <c r="AL64" s="137">
        <v>45617.634895833333</v>
      </c>
      <c r="AM64" s="139"/>
      <c r="AN64" s="139"/>
      <c r="AO64" s="139"/>
      <c r="AP64" s="134"/>
      <c r="AQ64" s="49"/>
      <c r="AR64" s="49"/>
      <c r="AS64" s="139"/>
      <c r="AT64" s="138">
        <f t="shared" si="1"/>
        <v>40.4</v>
      </c>
      <c r="AU64" s="138"/>
      <c r="AV64" s="134"/>
      <c r="AW64" s="134"/>
      <c r="AX64" s="134"/>
      <c r="AY64" s="134" t="s">
        <v>866</v>
      </c>
      <c r="AZ64" s="134"/>
      <c r="BA64" s="134"/>
      <c r="BB64" s="134"/>
      <c r="BC64" s="134"/>
      <c r="BD64" s="123"/>
      <c r="BE64" s="123">
        <f t="shared" si="2"/>
        <v>40.4</v>
      </c>
      <c r="BF64" s="123"/>
      <c r="BG64" s="123"/>
      <c r="BH64" s="123"/>
      <c r="BI64" s="123"/>
      <c r="BJ64" s="123"/>
      <c r="BK64" s="123"/>
      <c r="BL64" s="123"/>
      <c r="BM64" s="117"/>
      <c r="BN64" s="123"/>
      <c r="BO64" s="140"/>
      <c r="BP64" s="140">
        <f t="shared" si="3"/>
        <v>40.4</v>
      </c>
      <c r="BQ64" s="140"/>
      <c r="BR64" s="123"/>
      <c r="BS64" s="141"/>
      <c r="BT64" s="123"/>
      <c r="BU64" s="141"/>
      <c r="BV64" s="123"/>
      <c r="BW64" s="123"/>
      <c r="BX64" s="123"/>
      <c r="BY64" s="123"/>
      <c r="BZ64" s="123"/>
      <c r="CA64" s="123">
        <f t="shared" si="4"/>
        <v>40.4</v>
      </c>
      <c r="CB64" s="143"/>
      <c r="CC64" s="140"/>
      <c r="CD64" s="120">
        <v>0</v>
      </c>
      <c r="CE64" s="120">
        <v>0</v>
      </c>
      <c r="CF64" s="120">
        <v>0</v>
      </c>
      <c r="CG64" s="123"/>
      <c r="CH64" s="120"/>
      <c r="CI64" s="120"/>
      <c r="CJ64" s="123"/>
      <c r="CK64" s="132"/>
    </row>
    <row r="65" spans="1:89" ht="318.95">
      <c r="A65" s="106" t="s">
        <v>401</v>
      </c>
      <c r="B65" s="49">
        <f>3+3+1.5+2</f>
        <v>9.5</v>
      </c>
      <c r="C65" s="49">
        <v>0</v>
      </c>
      <c r="D65" s="49">
        <v>0</v>
      </c>
      <c r="E65" s="134"/>
      <c r="F65" s="134"/>
      <c r="G65" s="150"/>
      <c r="H65" s="154">
        <v>19450352</v>
      </c>
      <c r="I65" s="109">
        <f>Tracker[[#This Row],[DCR ID - PTC]]</f>
        <v>19450352</v>
      </c>
      <c r="J65" s="134" t="s">
        <v>924</v>
      </c>
      <c r="K65" s="134" t="s">
        <v>904</v>
      </c>
      <c r="L65" s="134" t="s">
        <v>925</v>
      </c>
      <c r="M65" s="134"/>
      <c r="N65" s="580" t="s">
        <v>926</v>
      </c>
      <c r="O65" s="123" t="s">
        <v>231</v>
      </c>
      <c r="P65" s="123"/>
      <c r="Q65" s="123"/>
      <c r="R65" s="123"/>
      <c r="S65" s="123"/>
      <c r="T65" s="123"/>
      <c r="U65" s="134"/>
      <c r="V65" s="134"/>
      <c r="W65" s="134"/>
      <c r="X65" s="134">
        <f t="shared" si="0"/>
        <v>40.4</v>
      </c>
      <c r="Y65" s="134"/>
      <c r="Z65" s="134"/>
      <c r="AA65" s="134"/>
      <c r="AC65" s="134" t="s">
        <v>925</v>
      </c>
      <c r="AD65" s="134" t="s">
        <v>116</v>
      </c>
      <c r="AE65" s="49"/>
      <c r="AF65" s="136"/>
      <c r="AG65" s="137"/>
      <c r="AH65" s="134" t="s">
        <v>109</v>
      </c>
      <c r="AI65" s="134" t="s">
        <v>110</v>
      </c>
      <c r="AJ65" s="138">
        <v>46143.395833333336</v>
      </c>
      <c r="AK65" s="134" t="s">
        <v>96</v>
      </c>
      <c r="AL65" s="137">
        <v>46127.050752314812</v>
      </c>
      <c r="AM65" s="139"/>
      <c r="AN65" s="139"/>
      <c r="AO65" s="139"/>
      <c r="AP65" s="134"/>
      <c r="AQ65" s="49"/>
      <c r="AR65" s="49"/>
      <c r="AS65" s="139"/>
      <c r="AT65" s="138">
        <f t="shared" si="1"/>
        <v>40.4</v>
      </c>
      <c r="AU65" s="138"/>
      <c r="AV65" s="134"/>
      <c r="AW65" s="134"/>
      <c r="AX65" s="134"/>
      <c r="AY65" s="134" t="s">
        <v>866</v>
      </c>
      <c r="AZ65" s="134"/>
      <c r="BA65" s="134"/>
      <c r="BB65" s="134"/>
      <c r="BC65" s="134"/>
      <c r="BD65" s="123"/>
      <c r="BE65" s="123">
        <f t="shared" si="2"/>
        <v>40.4</v>
      </c>
      <c r="BF65" s="123"/>
      <c r="BG65" s="123"/>
      <c r="BH65" s="123"/>
      <c r="BI65" s="123"/>
      <c r="BJ65" s="123"/>
      <c r="BK65" s="123"/>
      <c r="BL65" s="123"/>
      <c r="BM65" s="117"/>
      <c r="BN65" s="123"/>
      <c r="BO65" s="140"/>
      <c r="BP65" s="140">
        <f t="shared" si="3"/>
        <v>40.4</v>
      </c>
      <c r="BQ65" s="140"/>
      <c r="BR65" s="123"/>
      <c r="BS65" s="141"/>
      <c r="BT65" s="123"/>
      <c r="BU65" s="141"/>
      <c r="BV65" s="123"/>
      <c r="BW65" s="123"/>
      <c r="BX65" s="123"/>
      <c r="BY65" s="123"/>
      <c r="BZ65" s="123"/>
      <c r="CA65" s="123">
        <f t="shared" si="4"/>
        <v>40.4</v>
      </c>
      <c r="CB65" s="143"/>
      <c r="CC65" s="140"/>
      <c r="CD65" s="120" t="e">
        <v>#N/A</v>
      </c>
      <c r="CE65" s="120" t="e">
        <v>#N/A</v>
      </c>
      <c r="CF65" s="120" t="e">
        <v>#N/A</v>
      </c>
      <c r="CG65" s="123"/>
      <c r="CH65" s="120"/>
      <c r="CI65" s="120"/>
      <c r="CJ65" s="123"/>
      <c r="CK65" s="132"/>
    </row>
    <row r="66" spans="1:89" ht="188.45">
      <c r="A66" s="106" t="s">
        <v>401</v>
      </c>
      <c r="B66" s="49">
        <v>0</v>
      </c>
      <c r="C66" s="49">
        <v>0</v>
      </c>
      <c r="D66" s="49">
        <v>0</v>
      </c>
      <c r="E66" s="134"/>
      <c r="F66" s="134"/>
      <c r="G66" s="150"/>
      <c r="H66" s="154">
        <v>17817270</v>
      </c>
      <c r="I66" s="109">
        <f>Tracker[[#This Row],[DCR ID - PTC]]</f>
        <v>17817270</v>
      </c>
      <c r="J66" s="134" t="s">
        <v>409</v>
      </c>
      <c r="K66" s="134" t="s">
        <v>179</v>
      </c>
      <c r="L66" s="134" t="s">
        <v>410</v>
      </c>
      <c r="M66" s="134"/>
      <c r="N66" s="580"/>
      <c r="O66" s="123"/>
      <c r="P66" s="123"/>
      <c r="Q66" s="123"/>
      <c r="R66" s="123"/>
      <c r="S66" s="123"/>
      <c r="T66" s="123"/>
      <c r="U66" s="134"/>
      <c r="V66" s="134"/>
      <c r="W66" s="134"/>
      <c r="X66" s="134">
        <f t="shared" ref="X66:X129" si="5">4+8+8+8+10+0.25+0.15+2</f>
        <v>40.4</v>
      </c>
      <c r="Y66" s="134"/>
      <c r="Z66" s="134"/>
      <c r="AA66" s="134"/>
      <c r="AC66" s="134" t="s">
        <v>410</v>
      </c>
      <c r="AD66" s="134" t="s">
        <v>93</v>
      </c>
      <c r="AE66" s="49"/>
      <c r="AF66" s="136"/>
      <c r="AG66" s="137"/>
      <c r="AH66" s="134" t="s">
        <v>109</v>
      </c>
      <c r="AI66" s="134" t="s">
        <v>95</v>
      </c>
      <c r="AJ66" s="138">
        <v>45989.4375</v>
      </c>
      <c r="AK66" s="134" t="s">
        <v>96</v>
      </c>
      <c r="AL66" s="137">
        <v>45966.603587962964</v>
      </c>
      <c r="AM66" s="139"/>
      <c r="AN66" s="139"/>
      <c r="AO66" s="139"/>
      <c r="AP66" s="134"/>
      <c r="AQ66" s="49"/>
      <c r="AR66" s="49"/>
      <c r="AS66" s="139"/>
      <c r="AT66" s="138">
        <f t="shared" ref="AT66:AT129" si="6">4+8+8+8+10+0.25+0.15+2</f>
        <v>40.4</v>
      </c>
      <c r="AU66" s="138"/>
      <c r="AV66" s="134"/>
      <c r="AW66" s="134"/>
      <c r="AX66" s="134"/>
      <c r="AY66" s="134" t="s">
        <v>866</v>
      </c>
      <c r="AZ66" s="134"/>
      <c r="BA66" s="134"/>
      <c r="BB66" s="134"/>
      <c r="BC66" s="134"/>
      <c r="BD66" s="123"/>
      <c r="BE66" s="123">
        <f t="shared" ref="BE66:BE129" si="7">4+8+8+8+10+0.25+0.15+2</f>
        <v>40.4</v>
      </c>
      <c r="BF66" s="123"/>
      <c r="BG66" s="123"/>
      <c r="BH66" s="123"/>
      <c r="BI66" s="123"/>
      <c r="BJ66" s="123"/>
      <c r="BK66" s="123"/>
      <c r="BL66" s="123"/>
      <c r="BM66" s="117"/>
      <c r="BN66" s="123"/>
      <c r="BO66" s="140"/>
      <c r="BP66" s="140">
        <f t="shared" ref="BP66:BP129" si="8">4+8+8+8+10+0.25+0.15+2</f>
        <v>40.4</v>
      </c>
      <c r="BQ66" s="140"/>
      <c r="BR66" s="123"/>
      <c r="BS66" s="141"/>
      <c r="BT66" s="123"/>
      <c r="BU66" s="141"/>
      <c r="BV66" s="123"/>
      <c r="BW66" s="123"/>
      <c r="BX66" s="123"/>
      <c r="BY66" s="123"/>
      <c r="BZ66" s="123"/>
      <c r="CA66" s="123">
        <f t="shared" ref="CA66:CA129" si="9">4+8+8+8+10+0.25+0.15+2</f>
        <v>40.4</v>
      </c>
      <c r="CB66" s="143"/>
      <c r="CC66" s="140"/>
      <c r="CD66" s="120" t="e">
        <v>#N/A</v>
      </c>
      <c r="CE66" s="120" t="e">
        <v>#N/A</v>
      </c>
      <c r="CF66" s="120" t="e">
        <v>#N/A</v>
      </c>
      <c r="CG66" s="123"/>
      <c r="CH66" s="120"/>
      <c r="CI66" s="120"/>
      <c r="CJ66" s="123"/>
      <c r="CK66" s="132"/>
    </row>
    <row r="67" spans="1:89" ht="409.6">
      <c r="A67" s="106" t="s">
        <v>389</v>
      </c>
      <c r="B67" s="49">
        <f>5.75+6.75+5.75+7.75+7.75+6.75+7.75+7.75+6.75+5+6.75+7.75+7.75</f>
        <v>90</v>
      </c>
      <c r="C67" s="49">
        <v>120</v>
      </c>
      <c r="D67" s="49">
        <f>Tracker[[#This Row],[Estimated Hrs]]-Tracker[[#This Row],[Actual Efforts (Hrs)]]</f>
        <v>30</v>
      </c>
      <c r="E67" s="134"/>
      <c r="F67" s="134"/>
      <c r="G67" s="150"/>
      <c r="H67" s="154">
        <v>17151985</v>
      </c>
      <c r="I67" s="109">
        <f>Tracker[[#This Row],[DCR ID - PTC]]</f>
        <v>17151985</v>
      </c>
      <c r="J67" s="49" t="s">
        <v>393</v>
      </c>
      <c r="K67" s="49" t="s">
        <v>101</v>
      </c>
      <c r="L67" s="134"/>
      <c r="M67" s="134"/>
      <c r="N67" s="580" t="s">
        <v>927</v>
      </c>
      <c r="O67" s="123" t="s">
        <v>115</v>
      </c>
      <c r="P67" s="123"/>
      <c r="Q67" s="123"/>
      <c r="R67" s="123"/>
      <c r="S67" s="123"/>
      <c r="T67" s="123"/>
      <c r="U67" s="134"/>
      <c r="V67" s="134"/>
      <c r="W67" s="134"/>
      <c r="X67" s="134">
        <f t="shared" si="5"/>
        <v>40.4</v>
      </c>
      <c r="Y67" s="134"/>
      <c r="Z67" s="134"/>
      <c r="AA67" s="134" t="s">
        <v>107</v>
      </c>
      <c r="AC67" s="134"/>
      <c r="AD67" s="134" t="s">
        <v>93</v>
      </c>
      <c r="AE67" s="49"/>
      <c r="AF67" s="136"/>
      <c r="AG67" s="137"/>
      <c r="AH67" s="134" t="s">
        <v>350</v>
      </c>
      <c r="AI67" s="134" t="s">
        <v>101</v>
      </c>
      <c r="AJ67" s="138">
        <v>45961</v>
      </c>
      <c r="AK67" s="134" t="s">
        <v>96</v>
      </c>
      <c r="AL67" s="137">
        <v>45868.673518518517</v>
      </c>
      <c r="AM67" s="139"/>
      <c r="AN67" s="139"/>
      <c r="AO67" s="139"/>
      <c r="AP67" s="134"/>
      <c r="AQ67" s="49"/>
      <c r="AR67" s="49"/>
      <c r="AS67" s="139"/>
      <c r="AT67" s="138">
        <f t="shared" si="6"/>
        <v>40.4</v>
      </c>
      <c r="AU67" s="138"/>
      <c r="AV67" s="134"/>
      <c r="AW67" s="134"/>
      <c r="AX67" s="134"/>
      <c r="AY67" s="134" t="s">
        <v>866</v>
      </c>
      <c r="AZ67" s="134"/>
      <c r="BA67" s="134"/>
      <c r="BB67" s="134"/>
      <c r="BC67" s="134"/>
      <c r="BD67" s="123"/>
      <c r="BE67" s="123">
        <f t="shared" si="7"/>
        <v>40.4</v>
      </c>
      <c r="BF67" s="123"/>
      <c r="BG67" s="123"/>
      <c r="BH67" s="123"/>
      <c r="BI67" s="123"/>
      <c r="BJ67" s="123"/>
      <c r="BK67" s="123"/>
      <c r="BL67" s="123"/>
      <c r="BM67" s="117"/>
      <c r="BN67" s="123"/>
      <c r="BO67" s="140"/>
      <c r="BP67" s="140">
        <f t="shared" si="8"/>
        <v>40.4</v>
      </c>
      <c r="BQ67" s="140"/>
      <c r="BR67" s="123"/>
      <c r="BS67" s="141"/>
      <c r="BT67" s="123"/>
      <c r="BU67" s="141"/>
      <c r="BV67" s="123"/>
      <c r="BW67" s="123"/>
      <c r="BX67" s="123"/>
      <c r="BY67" s="123"/>
      <c r="BZ67" s="123"/>
      <c r="CA67" s="123">
        <f t="shared" si="9"/>
        <v>40.4</v>
      </c>
      <c r="CB67" s="143"/>
      <c r="CC67" s="140"/>
      <c r="CD67" s="120" t="s">
        <v>125</v>
      </c>
      <c r="CE67" s="120" t="s">
        <v>125</v>
      </c>
      <c r="CF67" s="120" t="s">
        <v>125</v>
      </c>
      <c r="CG67" s="123"/>
      <c r="CH67" s="120"/>
      <c r="CI67" s="120"/>
      <c r="CJ67" s="123"/>
      <c r="CK67" s="132"/>
    </row>
    <row r="68" spans="1:89" ht="409.5">
      <c r="A68" s="106" t="s">
        <v>389</v>
      </c>
      <c r="B68" s="49">
        <f>6+8+8+8+7+6.75+7.75+7.75+7.75+7.75+(1.5)+7.75+7.75+7.75+8+1</f>
        <v>108.5</v>
      </c>
      <c r="C68" s="49">
        <v>120</v>
      </c>
      <c r="D68" s="107">
        <f>Tracker[[#This Row],[Estimated Hrs]]-Tracker[[#This Row],[Actual Efforts (Hrs)]]</f>
        <v>11.5</v>
      </c>
      <c r="E68" s="134"/>
      <c r="F68" s="134" t="s">
        <v>867</v>
      </c>
      <c r="G68" s="150" t="s">
        <v>867</v>
      </c>
      <c r="H68" s="154">
        <v>18880503</v>
      </c>
      <c r="I68" s="109">
        <f>Tracker[[#This Row],[DCR ID - PTC]]</f>
        <v>18880503</v>
      </c>
      <c r="J68" s="134" t="s">
        <v>928</v>
      </c>
      <c r="K68" s="134" t="s">
        <v>118</v>
      </c>
      <c r="L68" s="134" t="s">
        <v>165</v>
      </c>
      <c r="M68" s="134"/>
      <c r="N68" s="580" t="s">
        <v>929</v>
      </c>
      <c r="O68" s="123" t="s">
        <v>106</v>
      </c>
      <c r="P68" s="123"/>
      <c r="Q68" s="123"/>
      <c r="R68" s="123"/>
      <c r="S68" s="123"/>
      <c r="T68" s="123"/>
      <c r="U68" s="134"/>
      <c r="V68" s="134"/>
      <c r="W68" s="134"/>
      <c r="X68" s="134">
        <f t="shared" si="5"/>
        <v>40.4</v>
      </c>
      <c r="Y68" s="134"/>
      <c r="Z68" s="134"/>
      <c r="AA68" s="134" t="s">
        <v>873</v>
      </c>
      <c r="AB68" s="29">
        <v>46142</v>
      </c>
      <c r="AC68" s="134" t="s">
        <v>165</v>
      </c>
      <c r="AD68" s="134" t="s">
        <v>93</v>
      </c>
      <c r="AE68" s="49"/>
      <c r="AF68" s="136"/>
      <c r="AG68" s="137">
        <v>46140.775694444441</v>
      </c>
      <c r="AH68" s="134" t="s">
        <v>94</v>
      </c>
      <c r="AI68" s="134" t="s">
        <v>95</v>
      </c>
      <c r="AJ68" s="138">
        <v>46112.395833333336</v>
      </c>
      <c r="AK68" s="134" t="s">
        <v>96</v>
      </c>
      <c r="AL68" s="137">
        <v>46073.535185185188</v>
      </c>
      <c r="AM68" s="139"/>
      <c r="AN68" s="139"/>
      <c r="AO68" s="139">
        <v>46164</v>
      </c>
      <c r="AP68" s="134"/>
      <c r="AQ68" s="49"/>
      <c r="AR68" s="49"/>
      <c r="AS68" s="139">
        <v>46167</v>
      </c>
      <c r="AT68" s="138">
        <v>46164</v>
      </c>
      <c r="AU68" s="138">
        <v>46164</v>
      </c>
      <c r="AV68" s="134"/>
      <c r="AW68" s="134"/>
      <c r="AX68" s="108" t="s">
        <v>97</v>
      </c>
      <c r="AY68" s="108" t="s">
        <v>98</v>
      </c>
      <c r="AZ68" s="134"/>
      <c r="BA68" s="134"/>
      <c r="BB68" s="134"/>
      <c r="BC68" s="134"/>
      <c r="BD68" s="123"/>
      <c r="BE68" s="123">
        <f t="shared" si="7"/>
        <v>40.4</v>
      </c>
      <c r="BF68" s="123"/>
      <c r="BG68" s="123"/>
      <c r="BH68" s="123"/>
      <c r="BI68" s="123"/>
      <c r="BJ68" s="123"/>
      <c r="BK68" s="123"/>
      <c r="BL68" s="123"/>
      <c r="BM68" s="117"/>
      <c r="BN68" s="123"/>
      <c r="BO68" s="140"/>
      <c r="BP68" s="140">
        <f t="shared" si="8"/>
        <v>40.4</v>
      </c>
      <c r="BQ68" s="140"/>
      <c r="BR68" s="123"/>
      <c r="BS68" s="141"/>
      <c r="BT68" s="123"/>
      <c r="BU68" s="141"/>
      <c r="BV68" s="123"/>
      <c r="BW68" s="123"/>
      <c r="BX68" s="123"/>
      <c r="BY68" s="123"/>
      <c r="BZ68" s="123"/>
      <c r="CA68" s="123">
        <f t="shared" si="9"/>
        <v>40.4</v>
      </c>
      <c r="CB68" s="119">
        <v>1</v>
      </c>
      <c r="CC68" s="140"/>
      <c r="CD68" s="120">
        <v>46163</v>
      </c>
      <c r="CE68" s="120">
        <v>46163</v>
      </c>
      <c r="CF68" s="120">
        <v>46164</v>
      </c>
      <c r="CG68" s="123"/>
      <c r="CH68" s="120"/>
      <c r="CI68" s="120"/>
      <c r="CJ68" s="123"/>
      <c r="CK68" s="132" t="s">
        <v>882</v>
      </c>
    </row>
    <row r="69" spans="1:89" ht="43.5">
      <c r="A69" s="252" t="s">
        <v>389</v>
      </c>
      <c r="B69" s="49"/>
      <c r="C69" s="49">
        <v>0</v>
      </c>
      <c r="D69" s="49">
        <v>0</v>
      </c>
      <c r="E69" s="134"/>
      <c r="F69" s="134" t="s">
        <v>136</v>
      </c>
      <c r="G69" s="150"/>
      <c r="H69" s="154">
        <v>18216449</v>
      </c>
      <c r="I69" s="109">
        <f>Tracker[[#This Row],[DCR ID - PTC]]</f>
        <v>18216449</v>
      </c>
      <c r="J69" s="49" t="s">
        <v>390</v>
      </c>
      <c r="K69" s="134" t="s">
        <v>101</v>
      </c>
      <c r="L69" s="134" t="s">
        <v>165</v>
      </c>
      <c r="M69" s="134"/>
      <c r="N69" s="580"/>
      <c r="O69" s="123" t="s">
        <v>122</v>
      </c>
      <c r="P69" s="123"/>
      <c r="Q69" s="123"/>
      <c r="R69" s="123"/>
      <c r="S69" s="123"/>
      <c r="T69" s="123"/>
      <c r="U69" s="134"/>
      <c r="V69" s="134"/>
      <c r="W69" s="134"/>
      <c r="X69" s="134">
        <f t="shared" si="5"/>
        <v>40.4</v>
      </c>
      <c r="Y69" s="134"/>
      <c r="Z69" s="134"/>
      <c r="AA69" s="134" t="s">
        <v>873</v>
      </c>
      <c r="AB69" s="29">
        <v>46171</v>
      </c>
      <c r="AC69" s="134" t="s">
        <v>165</v>
      </c>
      <c r="AD69" s="134" t="s">
        <v>93</v>
      </c>
      <c r="AE69" s="49"/>
      <c r="AF69" s="136"/>
      <c r="AG69" s="137">
        <v>46094.028009259258</v>
      </c>
      <c r="AH69" s="134" t="s">
        <v>94</v>
      </c>
      <c r="AI69" s="134" t="s">
        <v>95</v>
      </c>
      <c r="AJ69" s="138">
        <v>46052.4375</v>
      </c>
      <c r="AK69" s="134" t="s">
        <v>96</v>
      </c>
      <c r="AL69" s="137">
        <v>46008.852303240739</v>
      </c>
      <c r="AM69" s="139"/>
      <c r="AN69" s="139"/>
      <c r="AO69" s="139"/>
      <c r="AP69" s="134"/>
      <c r="AQ69" s="49"/>
      <c r="AR69" s="49"/>
      <c r="AS69" s="139"/>
      <c r="AT69" s="138">
        <f t="shared" si="6"/>
        <v>40.4</v>
      </c>
      <c r="AU69" s="138"/>
      <c r="AV69" s="134"/>
      <c r="AW69" s="134"/>
      <c r="AX69" s="134"/>
      <c r="AY69" s="134" t="s">
        <v>866</v>
      </c>
      <c r="AZ69" s="134"/>
      <c r="BA69" s="134"/>
      <c r="BB69" s="134"/>
      <c r="BC69" s="134"/>
      <c r="BD69" s="123"/>
      <c r="BE69" s="123">
        <f t="shared" si="7"/>
        <v>40.4</v>
      </c>
      <c r="BF69" s="123"/>
      <c r="BG69" s="123"/>
      <c r="BH69" s="123"/>
      <c r="BI69" s="123"/>
      <c r="BJ69" s="123"/>
      <c r="BK69" s="123"/>
      <c r="BL69" s="123"/>
      <c r="BM69" s="117"/>
      <c r="BN69" s="123"/>
      <c r="BO69" s="140"/>
      <c r="BP69" s="140">
        <f t="shared" si="8"/>
        <v>40.4</v>
      </c>
      <c r="BQ69" s="140"/>
      <c r="BR69" s="123"/>
      <c r="BS69" s="141"/>
      <c r="BT69" s="123"/>
      <c r="BU69" s="141"/>
      <c r="BV69" s="123"/>
      <c r="BW69" s="123"/>
      <c r="BX69" s="123"/>
      <c r="BY69" s="123"/>
      <c r="BZ69" s="123"/>
      <c r="CA69" s="123">
        <f t="shared" si="9"/>
        <v>40.4</v>
      </c>
      <c r="CB69" s="143"/>
      <c r="CC69" s="140"/>
      <c r="CD69" s="120">
        <v>0</v>
      </c>
      <c r="CE69" s="120">
        <v>0</v>
      </c>
      <c r="CF69" s="120">
        <v>0</v>
      </c>
      <c r="CG69" s="123"/>
      <c r="CH69" s="120"/>
      <c r="CI69" s="120"/>
      <c r="CJ69" s="123"/>
      <c r="CK69" s="132"/>
    </row>
    <row r="70" spans="1:89" ht="43.5">
      <c r="A70" s="106" t="s">
        <v>316</v>
      </c>
      <c r="B70" s="49">
        <v>0</v>
      </c>
      <c r="C70" s="49">
        <v>0</v>
      </c>
      <c r="D70" s="49">
        <v>0</v>
      </c>
      <c r="E70" s="134"/>
      <c r="F70" s="134"/>
      <c r="G70" s="150"/>
      <c r="H70" s="154">
        <v>8085369</v>
      </c>
      <c r="I70" s="109">
        <f>Tracker[[#This Row],[DCR ID - PTC]]</f>
        <v>8085369</v>
      </c>
      <c r="J70" s="134" t="s">
        <v>320</v>
      </c>
      <c r="K70" s="134"/>
      <c r="L70" s="134"/>
      <c r="M70" s="134"/>
      <c r="N70" s="580"/>
      <c r="O70" s="123"/>
      <c r="P70" s="123"/>
      <c r="Q70" s="123"/>
      <c r="R70" s="123"/>
      <c r="S70" s="123"/>
      <c r="T70" s="123"/>
      <c r="U70" s="134"/>
      <c r="V70" s="134"/>
      <c r="W70" s="134"/>
      <c r="X70" s="134">
        <f t="shared" si="5"/>
        <v>40.4</v>
      </c>
      <c r="Y70" s="134"/>
      <c r="Z70" s="134"/>
      <c r="AA70" s="134"/>
      <c r="AC70" s="134"/>
      <c r="AD70" s="134" t="s">
        <v>93</v>
      </c>
      <c r="AE70" s="49"/>
      <c r="AF70" s="136"/>
      <c r="AG70" s="137"/>
      <c r="AH70" s="134" t="s">
        <v>109</v>
      </c>
      <c r="AI70" s="134" t="s">
        <v>95</v>
      </c>
      <c r="AJ70" s="138">
        <v>44592.562511574077</v>
      </c>
      <c r="AK70" s="134" t="s">
        <v>321</v>
      </c>
      <c r="AL70" s="137">
        <v>44498.562986111108</v>
      </c>
      <c r="AM70" s="139"/>
      <c r="AN70" s="139"/>
      <c r="AO70" s="139"/>
      <c r="AP70" s="134"/>
      <c r="AQ70" s="49"/>
      <c r="AR70" s="49"/>
      <c r="AS70" s="139"/>
      <c r="AT70" s="138">
        <f t="shared" si="6"/>
        <v>40.4</v>
      </c>
      <c r="AU70" s="138"/>
      <c r="AV70" s="134"/>
      <c r="AW70" s="134"/>
      <c r="AX70" s="134"/>
      <c r="AY70" s="134" t="s">
        <v>866</v>
      </c>
      <c r="AZ70" s="134"/>
      <c r="BA70" s="134"/>
      <c r="BB70" s="134"/>
      <c r="BC70" s="134"/>
      <c r="BD70" s="123"/>
      <c r="BE70" s="123">
        <f t="shared" si="7"/>
        <v>40.4</v>
      </c>
      <c r="BF70" s="123"/>
      <c r="BG70" s="123"/>
      <c r="BH70" s="123"/>
      <c r="BI70" s="123"/>
      <c r="BJ70" s="123"/>
      <c r="BK70" s="123"/>
      <c r="BL70" s="123"/>
      <c r="BM70" s="117"/>
      <c r="BN70" s="123"/>
      <c r="BO70" s="140"/>
      <c r="BP70" s="140">
        <f t="shared" si="8"/>
        <v>40.4</v>
      </c>
      <c r="BQ70" s="140"/>
      <c r="BR70" s="123"/>
      <c r="BS70" s="141"/>
      <c r="BT70" s="123"/>
      <c r="BU70" s="141"/>
      <c r="BV70" s="123"/>
      <c r="BW70" s="123"/>
      <c r="BX70" s="123"/>
      <c r="BY70" s="123"/>
      <c r="BZ70" s="123"/>
      <c r="CA70" s="123">
        <f t="shared" si="9"/>
        <v>40.4</v>
      </c>
      <c r="CB70" s="143"/>
      <c r="CC70" s="140"/>
      <c r="CD70" s="120" t="e">
        <v>#N/A</v>
      </c>
      <c r="CE70" s="120" t="e">
        <v>#N/A</v>
      </c>
      <c r="CF70" s="120" t="e">
        <v>#N/A</v>
      </c>
      <c r="CG70" s="123"/>
      <c r="CH70" s="120"/>
      <c r="CI70" s="120"/>
      <c r="CJ70" s="123"/>
      <c r="CK70" s="132"/>
    </row>
    <row r="71" spans="1:89" ht="43.5">
      <c r="A71" s="106" t="s">
        <v>316</v>
      </c>
      <c r="B71" s="49">
        <v>0</v>
      </c>
      <c r="C71" s="49">
        <v>0</v>
      </c>
      <c r="D71" s="107">
        <f>Tracker[[#This Row],[Estimated Hrs]]-Tracker[[#This Row],[Actual Efforts (Hrs)]]</f>
        <v>0</v>
      </c>
      <c r="E71" s="134"/>
      <c r="F71" s="134"/>
      <c r="G71" s="150"/>
      <c r="H71" s="358">
        <v>11978560</v>
      </c>
      <c r="I71" s="109">
        <f>Tracker[[#This Row],[DCR ID - PTC]]</f>
        <v>11978560</v>
      </c>
      <c r="J71" s="361" t="s">
        <v>324</v>
      </c>
      <c r="K71" s="134"/>
      <c r="L71" s="134"/>
      <c r="M71" s="134"/>
      <c r="N71" s="580"/>
      <c r="O71" s="123"/>
      <c r="P71" s="123"/>
      <c r="Q71" s="123"/>
      <c r="R71" s="123"/>
      <c r="S71" s="123"/>
      <c r="T71" s="123"/>
      <c r="U71" s="134"/>
      <c r="V71" s="134"/>
      <c r="W71" s="134"/>
      <c r="X71" s="134">
        <f t="shared" si="5"/>
        <v>40.4</v>
      </c>
      <c r="Y71" s="134"/>
      <c r="Z71" s="134"/>
      <c r="AA71" s="134"/>
      <c r="AB71" s="29">
        <v>45229</v>
      </c>
      <c r="AC71" s="134"/>
      <c r="AD71" s="134" t="s">
        <v>93</v>
      </c>
      <c r="AE71" s="49"/>
      <c r="AF71" s="136"/>
      <c r="AG71" s="137">
        <v>45127.975740740738</v>
      </c>
      <c r="AH71" s="134" t="s">
        <v>100</v>
      </c>
      <c r="AI71" s="134" t="s">
        <v>95</v>
      </c>
      <c r="AJ71" s="138">
        <v>45230</v>
      </c>
      <c r="AK71" s="134" t="s">
        <v>96</v>
      </c>
      <c r="AL71" s="137">
        <v>45126.510266203702</v>
      </c>
      <c r="AM71" s="139"/>
      <c r="AN71" s="139"/>
      <c r="AO71" s="139"/>
      <c r="AP71" s="134"/>
      <c r="AQ71" s="49"/>
      <c r="AR71" s="49"/>
      <c r="AS71" s="139"/>
      <c r="AT71" s="138">
        <f t="shared" si="6"/>
        <v>40.4</v>
      </c>
      <c r="AU71" s="138"/>
      <c r="AV71" s="134"/>
      <c r="AW71" s="134"/>
      <c r="AX71" s="134"/>
      <c r="AY71" s="134" t="s">
        <v>930</v>
      </c>
      <c r="AZ71" s="134"/>
      <c r="BA71" s="134"/>
      <c r="BB71" s="134"/>
      <c r="BC71" s="134"/>
      <c r="BD71" s="123"/>
      <c r="BE71" s="123">
        <f t="shared" si="7"/>
        <v>40.4</v>
      </c>
      <c r="BF71" s="123"/>
      <c r="BG71" s="123"/>
      <c r="BH71" s="123"/>
      <c r="BI71" s="123"/>
      <c r="BJ71" s="123"/>
      <c r="BK71" s="123"/>
      <c r="BL71" s="123"/>
      <c r="BM71" s="117"/>
      <c r="BN71" s="123"/>
      <c r="BO71" s="140"/>
      <c r="BP71" s="140">
        <f t="shared" si="8"/>
        <v>40.4</v>
      </c>
      <c r="BQ71" s="140"/>
      <c r="BR71" s="123"/>
      <c r="BS71" s="141"/>
      <c r="BT71" s="123"/>
      <c r="BU71" s="141"/>
      <c r="BV71" s="123"/>
      <c r="BW71" s="123"/>
      <c r="BX71" s="123"/>
      <c r="BY71" s="123"/>
      <c r="BZ71" s="123"/>
      <c r="CA71" s="123">
        <f t="shared" si="9"/>
        <v>40.4</v>
      </c>
      <c r="CB71" s="143"/>
      <c r="CC71" s="140"/>
      <c r="CD71" s="120" t="e">
        <v>#N/A</v>
      </c>
      <c r="CE71" s="120" t="e">
        <v>#N/A</v>
      </c>
      <c r="CF71" s="120" t="e">
        <v>#N/A</v>
      </c>
      <c r="CG71" s="123"/>
      <c r="CH71" s="120"/>
      <c r="CI71" s="120"/>
      <c r="CJ71" s="123"/>
      <c r="CK71" s="132"/>
    </row>
    <row r="72" spans="1:89" ht="43.5" customHeight="1">
      <c r="A72" s="106" t="s">
        <v>316</v>
      </c>
      <c r="B72" s="49">
        <v>0</v>
      </c>
      <c r="C72" s="49">
        <v>0</v>
      </c>
      <c r="D72" s="49">
        <v>0</v>
      </c>
      <c r="E72" s="134"/>
      <c r="F72" s="134"/>
      <c r="G72" s="150"/>
      <c r="H72" s="355">
        <v>11978892</v>
      </c>
      <c r="I72" s="109">
        <f>Tracker[[#This Row],[DCR ID - PTC]]</f>
        <v>11978892</v>
      </c>
      <c r="J72" s="359" t="s">
        <v>325</v>
      </c>
      <c r="K72" s="134"/>
      <c r="L72" s="134"/>
      <c r="M72" s="134"/>
      <c r="N72" s="580"/>
      <c r="O72" s="123"/>
      <c r="P72" s="123"/>
      <c r="Q72" s="123"/>
      <c r="R72" s="123"/>
      <c r="S72" s="123"/>
      <c r="T72" s="123"/>
      <c r="U72" s="134"/>
      <c r="V72" s="134"/>
      <c r="W72" s="134"/>
      <c r="X72" s="134">
        <f t="shared" si="5"/>
        <v>40.4</v>
      </c>
      <c r="Y72" s="134"/>
      <c r="Z72" s="134"/>
      <c r="AA72" s="134"/>
      <c r="AC72" s="134"/>
      <c r="AD72" s="134" t="s">
        <v>93</v>
      </c>
      <c r="AE72" s="49"/>
      <c r="AF72" s="136"/>
      <c r="AG72" s="137"/>
      <c r="AH72" s="134" t="s">
        <v>109</v>
      </c>
      <c r="AI72" s="134" t="s">
        <v>95</v>
      </c>
      <c r="AJ72" s="138">
        <v>45230</v>
      </c>
      <c r="AK72" s="134" t="s">
        <v>96</v>
      </c>
      <c r="AL72" s="137">
        <v>45126.559965277775</v>
      </c>
      <c r="AM72" s="139"/>
      <c r="AN72" s="139"/>
      <c r="AO72" s="139"/>
      <c r="AP72" s="134"/>
      <c r="AQ72" s="49"/>
      <c r="AR72" s="49"/>
      <c r="AS72" s="139"/>
      <c r="AT72" s="138">
        <f t="shared" si="6"/>
        <v>40.4</v>
      </c>
      <c r="AU72" s="138"/>
      <c r="AV72" s="134"/>
      <c r="AW72" s="134"/>
      <c r="AX72" s="134"/>
      <c r="AY72" s="134" t="s">
        <v>930</v>
      </c>
      <c r="AZ72" s="134"/>
      <c r="BA72" s="134"/>
      <c r="BB72" s="134"/>
      <c r="BC72" s="134"/>
      <c r="BD72" s="123"/>
      <c r="BE72" s="123">
        <f t="shared" si="7"/>
        <v>40.4</v>
      </c>
      <c r="BF72" s="123"/>
      <c r="BG72" s="123"/>
      <c r="BH72" s="123"/>
      <c r="BI72" s="123"/>
      <c r="BJ72" s="123"/>
      <c r="BK72" s="123"/>
      <c r="BL72" s="123"/>
      <c r="BM72" s="117"/>
      <c r="BN72" s="123"/>
      <c r="BO72" s="140"/>
      <c r="BP72" s="140">
        <f t="shared" si="8"/>
        <v>40.4</v>
      </c>
      <c r="BQ72" s="140"/>
      <c r="BR72" s="123"/>
      <c r="BS72" s="141"/>
      <c r="BT72" s="123"/>
      <c r="BU72" s="141"/>
      <c r="BV72" s="123"/>
      <c r="BW72" s="123"/>
      <c r="BX72" s="123"/>
      <c r="BY72" s="123"/>
      <c r="BZ72" s="123"/>
      <c r="CA72" s="123">
        <f t="shared" si="9"/>
        <v>40.4</v>
      </c>
      <c r="CB72" s="143"/>
      <c r="CC72" s="140"/>
      <c r="CD72" s="120" t="e">
        <v>#N/A</v>
      </c>
      <c r="CE72" s="120" t="e">
        <v>#N/A</v>
      </c>
      <c r="CF72" s="120" t="e">
        <v>#N/A</v>
      </c>
      <c r="CG72" s="123"/>
      <c r="CH72" s="120"/>
      <c r="CI72" s="120"/>
      <c r="CJ72" s="123"/>
      <c r="CK72" s="132"/>
    </row>
    <row r="73" spans="1:89" ht="43.5">
      <c r="A73" s="106" t="s">
        <v>316</v>
      </c>
      <c r="B73" s="49">
        <v>0</v>
      </c>
      <c r="C73" s="49">
        <v>0</v>
      </c>
      <c r="D73" s="49">
        <v>0</v>
      </c>
      <c r="E73" s="134"/>
      <c r="F73" s="134"/>
      <c r="G73" s="150"/>
      <c r="H73" s="154">
        <v>12383995</v>
      </c>
      <c r="I73" s="109">
        <f>Tracker[[#This Row],[DCR ID - PTC]]</f>
        <v>12383995</v>
      </c>
      <c r="J73" s="134" t="s">
        <v>326</v>
      </c>
      <c r="K73" s="134"/>
      <c r="L73" s="134"/>
      <c r="M73" s="134"/>
      <c r="N73" s="580"/>
      <c r="O73" s="123"/>
      <c r="P73" s="123"/>
      <c r="Q73" s="123"/>
      <c r="R73" s="123"/>
      <c r="S73" s="123"/>
      <c r="T73" s="123"/>
      <c r="U73" s="134"/>
      <c r="V73" s="134"/>
      <c r="W73" s="134"/>
      <c r="X73" s="134">
        <f t="shared" si="5"/>
        <v>40.4</v>
      </c>
      <c r="Y73" s="134"/>
      <c r="Z73" s="134"/>
      <c r="AA73" s="134"/>
      <c r="AB73" s="29">
        <v>45230</v>
      </c>
      <c r="AC73" s="134"/>
      <c r="AD73" s="134" t="s">
        <v>93</v>
      </c>
      <c r="AE73" s="49"/>
      <c r="AF73" s="136"/>
      <c r="AG73" s="137"/>
      <c r="AH73" s="134" t="s">
        <v>100</v>
      </c>
      <c r="AI73" s="134" t="s">
        <v>101</v>
      </c>
      <c r="AJ73" s="138">
        <v>45230</v>
      </c>
      <c r="AK73" s="134" t="s">
        <v>96</v>
      </c>
      <c r="AL73" s="137">
        <v>45203.702546296299</v>
      </c>
      <c r="AM73" s="139"/>
      <c r="AN73" s="139"/>
      <c r="AO73" s="139"/>
      <c r="AP73" s="134"/>
      <c r="AQ73" s="49"/>
      <c r="AR73" s="49"/>
      <c r="AS73" s="139"/>
      <c r="AT73" s="138">
        <f t="shared" si="6"/>
        <v>40.4</v>
      </c>
      <c r="AU73" s="138"/>
      <c r="AV73" s="134"/>
      <c r="AW73" s="134"/>
      <c r="AX73" s="134"/>
      <c r="AY73" s="134" t="s">
        <v>930</v>
      </c>
      <c r="AZ73" s="134"/>
      <c r="BA73" s="134"/>
      <c r="BB73" s="134"/>
      <c r="BC73" s="134"/>
      <c r="BD73" s="123"/>
      <c r="BE73" s="123">
        <f t="shared" si="7"/>
        <v>40.4</v>
      </c>
      <c r="BF73" s="123"/>
      <c r="BG73" s="123"/>
      <c r="BH73" s="123"/>
      <c r="BI73" s="123"/>
      <c r="BJ73" s="123"/>
      <c r="BK73" s="123"/>
      <c r="BL73" s="123"/>
      <c r="BM73" s="117"/>
      <c r="BN73" s="123"/>
      <c r="BO73" s="140"/>
      <c r="BP73" s="140">
        <f t="shared" si="8"/>
        <v>40.4</v>
      </c>
      <c r="BQ73" s="140"/>
      <c r="BR73" s="123"/>
      <c r="BS73" s="141"/>
      <c r="BT73" s="123"/>
      <c r="BU73" s="141"/>
      <c r="BV73" s="123"/>
      <c r="BW73" s="123"/>
      <c r="BX73" s="123"/>
      <c r="BY73" s="123"/>
      <c r="BZ73" s="123"/>
      <c r="CA73" s="123">
        <f t="shared" si="9"/>
        <v>40.4</v>
      </c>
      <c r="CB73" s="143"/>
      <c r="CC73" s="140"/>
      <c r="CD73" s="120" t="e">
        <v>#N/A</v>
      </c>
      <c r="CE73" s="120" t="e">
        <v>#N/A</v>
      </c>
      <c r="CF73" s="120" t="e">
        <v>#N/A</v>
      </c>
      <c r="CG73" s="123"/>
      <c r="CH73" s="120"/>
      <c r="CI73" s="120"/>
      <c r="CJ73" s="123"/>
      <c r="CK73" s="132"/>
    </row>
    <row r="74" spans="1:89" ht="43.5">
      <c r="A74" s="106" t="s">
        <v>316</v>
      </c>
      <c r="B74" s="107">
        <v>0</v>
      </c>
      <c r="C74" s="49">
        <v>0</v>
      </c>
      <c r="D74" s="107">
        <f>Tracker[[#This Row],[Estimated Hrs]]-Tracker[[#This Row],[Actual Efforts (Hrs)]]</f>
        <v>0</v>
      </c>
      <c r="E74" s="108"/>
      <c r="F74" s="413"/>
      <c r="G74" s="414"/>
      <c r="H74" s="151">
        <v>13325900</v>
      </c>
      <c r="I74" s="109">
        <f>Tracker[[#This Row],[DCR ID - PTC]]</f>
        <v>13325900</v>
      </c>
      <c r="J74" s="108" t="s">
        <v>339</v>
      </c>
      <c r="K74" s="108"/>
      <c r="L74" s="108"/>
      <c r="M74" s="108"/>
      <c r="N74" s="580"/>
      <c r="O74" s="111"/>
      <c r="P74" s="111"/>
      <c r="Q74" s="111"/>
      <c r="R74" s="111"/>
      <c r="S74" s="111"/>
      <c r="T74" s="111"/>
      <c r="U74" s="108"/>
      <c r="V74" s="108"/>
      <c r="W74" s="108"/>
      <c r="X74" s="108">
        <f t="shared" si="5"/>
        <v>40.4</v>
      </c>
      <c r="Y74" s="108"/>
      <c r="Z74" s="108"/>
      <c r="AA74" s="108"/>
      <c r="AB74" s="112">
        <v>45596</v>
      </c>
      <c r="AC74" s="108"/>
      <c r="AD74" s="108" t="s">
        <v>116</v>
      </c>
      <c r="AE74" s="107"/>
      <c r="AF74" s="113"/>
      <c r="AG74" s="115">
        <v>45411.943831018521</v>
      </c>
      <c r="AH74" s="108" t="s">
        <v>319</v>
      </c>
      <c r="AI74" s="108" t="s">
        <v>95</v>
      </c>
      <c r="AJ74" s="114">
        <v>45565</v>
      </c>
      <c r="AK74" s="108" t="s">
        <v>96</v>
      </c>
      <c r="AL74" s="115">
        <v>45366.62804398148</v>
      </c>
      <c r="AM74" s="116"/>
      <c r="AN74" s="116"/>
      <c r="AO74" s="139"/>
      <c r="AP74" s="108"/>
      <c r="AQ74" s="107"/>
      <c r="AR74" s="107"/>
      <c r="AS74" s="116"/>
      <c r="AT74" s="114">
        <f t="shared" si="6"/>
        <v>40.4</v>
      </c>
      <c r="AU74" s="114"/>
      <c r="AV74" s="108"/>
      <c r="AW74" s="108"/>
      <c r="AX74" s="108"/>
      <c r="AY74" s="108" t="s">
        <v>866</v>
      </c>
      <c r="AZ74" s="108"/>
      <c r="BA74" s="108"/>
      <c r="BB74" s="108"/>
      <c r="BC74" s="108"/>
      <c r="BD74" s="111"/>
      <c r="BE74" s="111">
        <f t="shared" si="7"/>
        <v>40.4</v>
      </c>
      <c r="BF74" s="111"/>
      <c r="BG74" s="111"/>
      <c r="BH74" s="111"/>
      <c r="BI74" s="111"/>
      <c r="BJ74" s="111"/>
      <c r="BK74" s="111"/>
      <c r="BL74" s="111"/>
      <c r="BM74" s="117"/>
      <c r="BN74" s="111"/>
      <c r="BO74" s="117"/>
      <c r="BP74" s="117">
        <f t="shared" si="8"/>
        <v>40.4</v>
      </c>
      <c r="BQ74" s="117"/>
      <c r="BR74" s="111"/>
      <c r="BS74" s="118"/>
      <c r="BT74" s="111"/>
      <c r="BU74" s="118"/>
      <c r="BV74" s="111"/>
      <c r="BW74" s="111"/>
      <c r="BX74" s="111"/>
      <c r="BY74" s="111"/>
      <c r="BZ74" s="111"/>
      <c r="CA74" s="111">
        <f t="shared" si="9"/>
        <v>40.4</v>
      </c>
      <c r="CB74" s="119"/>
      <c r="CC74" s="117"/>
      <c r="CD74" s="120" t="e">
        <v>#N/A</v>
      </c>
      <c r="CE74" s="120" t="e">
        <v>#N/A</v>
      </c>
      <c r="CF74" s="120" t="e">
        <v>#N/A</v>
      </c>
      <c r="CG74" s="111"/>
      <c r="CH74" s="120"/>
      <c r="CI74" s="120"/>
      <c r="CJ74" s="111"/>
      <c r="CK74" s="132"/>
    </row>
    <row r="75" spans="1:89" ht="43.5">
      <c r="A75" s="106" t="s">
        <v>316</v>
      </c>
      <c r="B75" s="107">
        <v>0</v>
      </c>
      <c r="C75" s="49">
        <v>0</v>
      </c>
      <c r="D75" s="107">
        <f>Tracker[[#This Row],[Estimated Hrs]]-Tracker[[#This Row],[Actual Efforts (Hrs)]]</f>
        <v>0</v>
      </c>
      <c r="E75" s="108"/>
      <c r="F75" s="108"/>
      <c r="G75" s="121"/>
      <c r="H75" s="151">
        <v>13753031</v>
      </c>
      <c r="I75" s="109">
        <f>Tracker[[#This Row],[DCR ID - PTC]]</f>
        <v>13753031</v>
      </c>
      <c r="J75" s="108" t="s">
        <v>340</v>
      </c>
      <c r="K75" s="108"/>
      <c r="L75" s="108"/>
      <c r="M75" s="108"/>
      <c r="N75" s="580"/>
      <c r="O75" s="111"/>
      <c r="P75" s="111"/>
      <c r="Q75" s="111"/>
      <c r="R75" s="111"/>
      <c r="S75" s="111"/>
      <c r="T75" s="111"/>
      <c r="U75" s="108"/>
      <c r="V75" s="108"/>
      <c r="W75" s="108"/>
      <c r="X75" s="108">
        <f t="shared" si="5"/>
        <v>40.4</v>
      </c>
      <c r="Y75" s="108"/>
      <c r="Z75" s="108"/>
      <c r="AA75" s="108"/>
      <c r="AB75" s="112"/>
      <c r="AC75" s="108"/>
      <c r="AD75" s="108" t="s">
        <v>93</v>
      </c>
      <c r="AE75" s="107"/>
      <c r="AF75" s="113"/>
      <c r="AG75" s="115"/>
      <c r="AH75" s="108" t="s">
        <v>109</v>
      </c>
      <c r="AI75" s="108" t="s">
        <v>95</v>
      </c>
      <c r="AJ75" s="114">
        <v>45473</v>
      </c>
      <c r="AK75" s="108" t="s">
        <v>96</v>
      </c>
      <c r="AL75" s="115">
        <v>45440.955358796295</v>
      </c>
      <c r="AM75" s="116"/>
      <c r="AN75" s="116"/>
      <c r="AO75" s="139"/>
      <c r="AP75" s="108"/>
      <c r="AQ75" s="107"/>
      <c r="AR75" s="107"/>
      <c r="AS75" s="116"/>
      <c r="AT75" s="114">
        <f t="shared" si="6"/>
        <v>40.4</v>
      </c>
      <c r="AU75" s="114"/>
      <c r="AV75" s="108"/>
      <c r="AW75" s="108"/>
      <c r="AX75" s="108"/>
      <c r="AY75" s="108" t="s">
        <v>930</v>
      </c>
      <c r="AZ75" s="108"/>
      <c r="BA75" s="108"/>
      <c r="BB75" s="108"/>
      <c r="BC75" s="108"/>
      <c r="BD75" s="111"/>
      <c r="BE75" s="111">
        <f t="shared" si="7"/>
        <v>40.4</v>
      </c>
      <c r="BF75" s="111"/>
      <c r="BG75" s="111"/>
      <c r="BH75" s="111"/>
      <c r="BI75" s="111"/>
      <c r="BJ75" s="111"/>
      <c r="BK75" s="111"/>
      <c r="BL75" s="111"/>
      <c r="BM75" s="117"/>
      <c r="BN75" s="111"/>
      <c r="BO75" s="117"/>
      <c r="BP75" s="117">
        <f t="shared" si="8"/>
        <v>40.4</v>
      </c>
      <c r="BQ75" s="117"/>
      <c r="BR75" s="111"/>
      <c r="BS75" s="118"/>
      <c r="BT75" s="111"/>
      <c r="BU75" s="118"/>
      <c r="BV75" s="111"/>
      <c r="BW75" s="111"/>
      <c r="BX75" s="111"/>
      <c r="BY75" s="111"/>
      <c r="BZ75" s="111"/>
      <c r="CA75" s="111">
        <f t="shared" si="9"/>
        <v>40.4</v>
      </c>
      <c r="CB75" s="119"/>
      <c r="CC75" s="117"/>
      <c r="CD75" s="120" t="e">
        <v>#N/A</v>
      </c>
      <c r="CE75" s="120" t="e">
        <v>#N/A</v>
      </c>
      <c r="CF75" s="120" t="e">
        <v>#N/A</v>
      </c>
      <c r="CG75" s="111"/>
      <c r="CH75" s="120"/>
      <c r="CI75" s="120"/>
      <c r="CJ75" s="111"/>
      <c r="CK75" s="132"/>
    </row>
    <row r="76" spans="1:89" ht="43.5">
      <c r="A76" s="106" t="s">
        <v>316</v>
      </c>
      <c r="B76" s="107">
        <v>0</v>
      </c>
      <c r="C76" s="49">
        <v>0</v>
      </c>
      <c r="D76" s="107">
        <v>0</v>
      </c>
      <c r="E76" s="108"/>
      <c r="F76" s="108"/>
      <c r="G76" s="121"/>
      <c r="H76" s="151">
        <v>13779219</v>
      </c>
      <c r="I76" s="109">
        <f>Tracker[[#This Row],[DCR ID - PTC]]</f>
        <v>13779219</v>
      </c>
      <c r="J76" s="108" t="s">
        <v>341</v>
      </c>
      <c r="K76" s="108"/>
      <c r="L76" s="108"/>
      <c r="M76" s="108"/>
      <c r="N76" s="580"/>
      <c r="O76" s="111"/>
      <c r="P76" s="111"/>
      <c r="Q76" s="111"/>
      <c r="R76" s="111"/>
      <c r="S76" s="111"/>
      <c r="T76" s="111"/>
      <c r="U76" s="108"/>
      <c r="V76" s="108"/>
      <c r="W76" s="108"/>
      <c r="X76" s="108">
        <f t="shared" si="5"/>
        <v>40.4</v>
      </c>
      <c r="Y76" s="108"/>
      <c r="Z76" s="108"/>
      <c r="AA76" s="108"/>
      <c r="AB76" s="112"/>
      <c r="AC76" s="108"/>
      <c r="AD76" s="108" t="s">
        <v>93</v>
      </c>
      <c r="AE76" s="107"/>
      <c r="AF76" s="113"/>
      <c r="AG76" s="115"/>
      <c r="AH76" s="108" t="s">
        <v>109</v>
      </c>
      <c r="AI76" s="108" t="s">
        <v>95</v>
      </c>
      <c r="AJ76" s="114">
        <v>45535.395833333336</v>
      </c>
      <c r="AK76" s="108" t="s">
        <v>96</v>
      </c>
      <c r="AL76" s="115">
        <v>45442.622835648152</v>
      </c>
      <c r="AM76" s="116"/>
      <c r="AN76" s="116"/>
      <c r="AO76" s="139"/>
      <c r="AP76" s="108"/>
      <c r="AQ76" s="107"/>
      <c r="AR76" s="107"/>
      <c r="AS76" s="116"/>
      <c r="AT76" s="114">
        <f t="shared" si="6"/>
        <v>40.4</v>
      </c>
      <c r="AU76" s="114"/>
      <c r="AV76" s="108"/>
      <c r="AW76" s="108"/>
      <c r="AX76" s="108"/>
      <c r="AY76" s="108" t="s">
        <v>866</v>
      </c>
      <c r="AZ76" s="108"/>
      <c r="BA76" s="108"/>
      <c r="BB76" s="108"/>
      <c r="BC76" s="108"/>
      <c r="BD76" s="111"/>
      <c r="BE76" s="111">
        <f t="shared" si="7"/>
        <v>40.4</v>
      </c>
      <c r="BF76" s="111"/>
      <c r="BG76" s="111"/>
      <c r="BH76" s="111"/>
      <c r="BI76" s="111"/>
      <c r="BJ76" s="111"/>
      <c r="BK76" s="111"/>
      <c r="BL76" s="111"/>
      <c r="BM76" s="117"/>
      <c r="BN76" s="111"/>
      <c r="BO76" s="117"/>
      <c r="BP76" s="117">
        <f t="shared" si="8"/>
        <v>40.4</v>
      </c>
      <c r="BQ76" s="117"/>
      <c r="BR76" s="111"/>
      <c r="BS76" s="118"/>
      <c r="BT76" s="111"/>
      <c r="BU76" s="118"/>
      <c r="BV76" s="111"/>
      <c r="BW76" s="111"/>
      <c r="BX76" s="111"/>
      <c r="BY76" s="111"/>
      <c r="BZ76" s="111"/>
      <c r="CA76" s="111">
        <f t="shared" si="9"/>
        <v>40.4</v>
      </c>
      <c r="CB76" s="119"/>
      <c r="CC76" s="117"/>
      <c r="CD76" s="120" t="e">
        <v>#N/A</v>
      </c>
      <c r="CE76" s="120" t="e">
        <v>#N/A</v>
      </c>
      <c r="CF76" s="120" t="e">
        <v>#N/A</v>
      </c>
      <c r="CG76" s="111"/>
      <c r="CH76" s="120"/>
      <c r="CI76" s="120"/>
      <c r="CJ76" s="111"/>
      <c r="CK76" s="132"/>
    </row>
    <row r="77" spans="1:89" ht="43.5">
      <c r="A77" s="106" t="s">
        <v>316</v>
      </c>
      <c r="B77" s="107">
        <v>0</v>
      </c>
      <c r="C77" s="49">
        <v>0</v>
      </c>
      <c r="D77" s="107">
        <v>0</v>
      </c>
      <c r="E77" s="108"/>
      <c r="F77" s="108"/>
      <c r="G77" s="121"/>
      <c r="H77" s="151">
        <v>14114589</v>
      </c>
      <c r="I77" s="109">
        <f>Tracker[[#This Row],[DCR ID - PTC]]</f>
        <v>14114589</v>
      </c>
      <c r="J77" s="108" t="s">
        <v>342</v>
      </c>
      <c r="K77" s="108"/>
      <c r="L77" s="108"/>
      <c r="M77" s="108"/>
      <c r="N77" s="580"/>
      <c r="O77" s="111"/>
      <c r="P77" s="111"/>
      <c r="Q77" s="111"/>
      <c r="R77" s="111"/>
      <c r="S77" s="111"/>
      <c r="T77" s="111"/>
      <c r="U77" s="108"/>
      <c r="V77" s="108"/>
      <c r="W77" s="108"/>
      <c r="X77" s="108">
        <f t="shared" si="5"/>
        <v>40.4</v>
      </c>
      <c r="Y77" s="108"/>
      <c r="Z77" s="108"/>
      <c r="AA77" s="108"/>
      <c r="AB77" s="112"/>
      <c r="AC77" s="108"/>
      <c r="AD77" s="108" t="s">
        <v>116</v>
      </c>
      <c r="AE77" s="107"/>
      <c r="AF77" s="113"/>
      <c r="AG77" s="115"/>
      <c r="AH77" s="108" t="s">
        <v>109</v>
      </c>
      <c r="AI77" s="108" t="s">
        <v>95</v>
      </c>
      <c r="AJ77" s="114">
        <v>45470.395833333336</v>
      </c>
      <c r="AK77" s="108" t="s">
        <v>96</v>
      </c>
      <c r="AL77" s="115">
        <v>45463.813194444447</v>
      </c>
      <c r="AM77" s="116"/>
      <c r="AN77" s="116"/>
      <c r="AO77" s="139"/>
      <c r="AP77" s="108"/>
      <c r="AQ77" s="107"/>
      <c r="AR77" s="107"/>
      <c r="AS77" s="116"/>
      <c r="AT77" s="114">
        <f t="shared" si="6"/>
        <v>40.4</v>
      </c>
      <c r="AU77" s="114"/>
      <c r="AV77" s="108"/>
      <c r="AW77" s="108"/>
      <c r="AX77" s="108"/>
      <c r="AY77" s="108" t="s">
        <v>866</v>
      </c>
      <c r="AZ77" s="108"/>
      <c r="BA77" s="108"/>
      <c r="BB77" s="108"/>
      <c r="BC77" s="108"/>
      <c r="BD77" s="111"/>
      <c r="BE77" s="111">
        <f t="shared" si="7"/>
        <v>40.4</v>
      </c>
      <c r="BF77" s="111"/>
      <c r="BG77" s="111"/>
      <c r="BH77" s="111"/>
      <c r="BI77" s="111"/>
      <c r="BJ77" s="111"/>
      <c r="BK77" s="111"/>
      <c r="BL77" s="111"/>
      <c r="BM77" s="117"/>
      <c r="BN77" s="111"/>
      <c r="BO77" s="117"/>
      <c r="BP77" s="117">
        <f t="shared" si="8"/>
        <v>40.4</v>
      </c>
      <c r="BQ77" s="117"/>
      <c r="BR77" s="111"/>
      <c r="BS77" s="118"/>
      <c r="BT77" s="111"/>
      <c r="BU77" s="118"/>
      <c r="BV77" s="111"/>
      <c r="BW77" s="111"/>
      <c r="BX77" s="111"/>
      <c r="BY77" s="111"/>
      <c r="BZ77" s="111"/>
      <c r="CA77" s="111">
        <f t="shared" si="9"/>
        <v>40.4</v>
      </c>
      <c r="CB77" s="119"/>
      <c r="CC77" s="117"/>
      <c r="CD77" s="120" t="e">
        <v>#N/A</v>
      </c>
      <c r="CE77" s="120" t="e">
        <v>#N/A</v>
      </c>
      <c r="CF77" s="120" t="e">
        <v>#N/A</v>
      </c>
      <c r="CG77" s="111"/>
      <c r="CH77" s="120"/>
      <c r="CI77" s="120"/>
      <c r="CJ77" s="111"/>
      <c r="CK77" s="132"/>
    </row>
    <row r="78" spans="1:89" ht="43.5">
      <c r="A78" s="106" t="s">
        <v>316</v>
      </c>
      <c r="B78" s="107">
        <v>0</v>
      </c>
      <c r="C78" s="49">
        <v>0</v>
      </c>
      <c r="D78" s="107">
        <v>0</v>
      </c>
      <c r="E78" s="108"/>
      <c r="F78" s="108"/>
      <c r="G78" s="121"/>
      <c r="H78" s="151">
        <v>14114621</v>
      </c>
      <c r="I78" s="109">
        <f>Tracker[[#This Row],[DCR ID - PTC]]</f>
        <v>14114621</v>
      </c>
      <c r="J78" s="108" t="s">
        <v>343</v>
      </c>
      <c r="K78" s="108"/>
      <c r="L78" s="108"/>
      <c r="M78" s="108"/>
      <c r="N78" s="580"/>
      <c r="O78" s="111"/>
      <c r="P78" s="111"/>
      <c r="Q78" s="111"/>
      <c r="R78" s="111"/>
      <c r="S78" s="111"/>
      <c r="T78" s="111"/>
      <c r="U78" s="108"/>
      <c r="V78" s="108"/>
      <c r="W78" s="108"/>
      <c r="X78" s="108">
        <f t="shared" si="5"/>
        <v>40.4</v>
      </c>
      <c r="Y78" s="108"/>
      <c r="Z78" s="108"/>
      <c r="AA78" s="108" t="s">
        <v>344</v>
      </c>
      <c r="AB78" s="112"/>
      <c r="AC78" s="108"/>
      <c r="AD78" s="108" t="s">
        <v>116</v>
      </c>
      <c r="AE78" s="107"/>
      <c r="AF78" s="113"/>
      <c r="AG78" s="115"/>
      <c r="AH78" s="108" t="s">
        <v>109</v>
      </c>
      <c r="AI78" s="108" t="s">
        <v>95</v>
      </c>
      <c r="AJ78" s="114">
        <v>45470.395833333336</v>
      </c>
      <c r="AK78" s="108" t="s">
        <v>96</v>
      </c>
      <c r="AL78" s="115">
        <v>45463.821666666663</v>
      </c>
      <c r="AM78" s="116"/>
      <c r="AN78" s="116"/>
      <c r="AO78" s="139"/>
      <c r="AP78" s="108"/>
      <c r="AQ78" s="107"/>
      <c r="AR78" s="107"/>
      <c r="AS78" s="116"/>
      <c r="AT78" s="114">
        <f t="shared" si="6"/>
        <v>40.4</v>
      </c>
      <c r="AU78" s="114"/>
      <c r="AV78" s="108"/>
      <c r="AW78" s="108"/>
      <c r="AX78" s="108"/>
      <c r="AY78" s="108" t="s">
        <v>866</v>
      </c>
      <c r="AZ78" s="108"/>
      <c r="BA78" s="108"/>
      <c r="BB78" s="108"/>
      <c r="BC78" s="108"/>
      <c r="BD78" s="111"/>
      <c r="BE78" s="111">
        <f t="shared" si="7"/>
        <v>40.4</v>
      </c>
      <c r="BF78" s="111"/>
      <c r="BG78" s="111"/>
      <c r="BH78" s="111"/>
      <c r="BI78" s="111"/>
      <c r="BJ78" s="111"/>
      <c r="BK78" s="111"/>
      <c r="BL78" s="111"/>
      <c r="BM78" s="117"/>
      <c r="BN78" s="111"/>
      <c r="BO78" s="117"/>
      <c r="BP78" s="117">
        <f t="shared" si="8"/>
        <v>40.4</v>
      </c>
      <c r="BQ78" s="117"/>
      <c r="BR78" s="111"/>
      <c r="BS78" s="118"/>
      <c r="BT78" s="111"/>
      <c r="BU78" s="118"/>
      <c r="BV78" s="111"/>
      <c r="BW78" s="111"/>
      <c r="BX78" s="111"/>
      <c r="BY78" s="111"/>
      <c r="BZ78" s="111"/>
      <c r="CA78" s="111">
        <f t="shared" si="9"/>
        <v>40.4</v>
      </c>
      <c r="CB78" s="119"/>
      <c r="CC78" s="117"/>
      <c r="CD78" s="120" t="e">
        <v>#N/A</v>
      </c>
      <c r="CE78" s="120" t="e">
        <v>#N/A</v>
      </c>
      <c r="CF78" s="120" t="e">
        <v>#N/A</v>
      </c>
      <c r="CG78" s="111"/>
      <c r="CH78" s="120"/>
      <c r="CI78" s="120"/>
      <c r="CJ78" s="111"/>
      <c r="CK78" s="132"/>
    </row>
    <row r="79" spans="1:89" ht="57.95">
      <c r="A79" s="106" t="s">
        <v>316</v>
      </c>
      <c r="B79" s="107">
        <v>0</v>
      </c>
      <c r="C79" s="49">
        <v>0</v>
      </c>
      <c r="D79" s="107">
        <v>0</v>
      </c>
      <c r="E79" s="108"/>
      <c r="F79" s="108"/>
      <c r="G79" s="121"/>
      <c r="H79" s="151">
        <v>14744133</v>
      </c>
      <c r="I79" s="109">
        <f>Tracker[[#This Row],[DCR ID - PTC]]</f>
        <v>14744133</v>
      </c>
      <c r="J79" s="108" t="s">
        <v>345</v>
      </c>
      <c r="K79" s="108"/>
      <c r="L79" s="108"/>
      <c r="M79" s="108"/>
      <c r="N79" s="580"/>
      <c r="O79" s="111"/>
      <c r="P79" s="111"/>
      <c r="Q79" s="111"/>
      <c r="R79" s="111"/>
      <c r="S79" s="111"/>
      <c r="T79" s="111"/>
      <c r="U79" s="108"/>
      <c r="V79" s="108"/>
      <c r="W79" s="108"/>
      <c r="X79" s="108">
        <f t="shared" si="5"/>
        <v>40.4</v>
      </c>
      <c r="Y79" s="108"/>
      <c r="Z79" s="108"/>
      <c r="AA79" s="108" t="s">
        <v>344</v>
      </c>
      <c r="AB79" s="112"/>
      <c r="AC79" s="108"/>
      <c r="AD79" s="108" t="s">
        <v>93</v>
      </c>
      <c r="AE79" s="107"/>
      <c r="AF79" s="113"/>
      <c r="AG79" s="115"/>
      <c r="AH79" s="108" t="s">
        <v>109</v>
      </c>
      <c r="AI79" s="108" t="s">
        <v>95</v>
      </c>
      <c r="AJ79" s="114">
        <v>45415.1875</v>
      </c>
      <c r="AK79" s="108" t="s">
        <v>96</v>
      </c>
      <c r="AL79" s="115">
        <v>45545.515219907407</v>
      </c>
      <c r="AM79" s="116"/>
      <c r="AN79" s="116"/>
      <c r="AO79" s="139"/>
      <c r="AP79" s="108"/>
      <c r="AQ79" s="107"/>
      <c r="AR79" s="107"/>
      <c r="AS79" s="116"/>
      <c r="AT79" s="114">
        <f t="shared" si="6"/>
        <v>40.4</v>
      </c>
      <c r="AU79" s="114"/>
      <c r="AV79" s="108"/>
      <c r="AW79" s="108"/>
      <c r="AX79" s="108"/>
      <c r="AY79" s="108" t="s">
        <v>866</v>
      </c>
      <c r="AZ79" s="108"/>
      <c r="BA79" s="108"/>
      <c r="BB79" s="108"/>
      <c r="BC79" s="108"/>
      <c r="BD79" s="111"/>
      <c r="BE79" s="111">
        <f t="shared" si="7"/>
        <v>40.4</v>
      </c>
      <c r="BF79" s="111"/>
      <c r="BG79" s="111"/>
      <c r="BH79" s="111"/>
      <c r="BI79" s="111"/>
      <c r="BJ79" s="111"/>
      <c r="BK79" s="111"/>
      <c r="BL79" s="111"/>
      <c r="BM79" s="117"/>
      <c r="BN79" s="111"/>
      <c r="BO79" s="117"/>
      <c r="BP79" s="117">
        <f t="shared" si="8"/>
        <v>40.4</v>
      </c>
      <c r="BQ79" s="117"/>
      <c r="BR79" s="111"/>
      <c r="BS79" s="118"/>
      <c r="BT79" s="111"/>
      <c r="BU79" s="118"/>
      <c r="BV79" s="111"/>
      <c r="BW79" s="111"/>
      <c r="BX79" s="111"/>
      <c r="BY79" s="111"/>
      <c r="BZ79" s="111"/>
      <c r="CA79" s="111">
        <f t="shared" si="9"/>
        <v>40.4</v>
      </c>
      <c r="CB79" s="119"/>
      <c r="CC79" s="117"/>
      <c r="CD79" s="120" t="e">
        <v>#N/A</v>
      </c>
      <c r="CE79" s="120" t="e">
        <v>#N/A</v>
      </c>
      <c r="CF79" s="120" t="e">
        <v>#N/A</v>
      </c>
      <c r="CG79" s="111"/>
      <c r="CH79" s="120"/>
      <c r="CI79" s="120"/>
      <c r="CJ79" s="111"/>
      <c r="CK79" s="132"/>
    </row>
    <row r="80" spans="1:89" ht="43.5">
      <c r="A80" s="106" t="s">
        <v>316</v>
      </c>
      <c r="B80" s="107">
        <v>0</v>
      </c>
      <c r="C80" s="49">
        <v>0</v>
      </c>
      <c r="D80" s="107">
        <v>0</v>
      </c>
      <c r="E80" s="108"/>
      <c r="F80" s="134"/>
      <c r="G80" s="134"/>
      <c r="H80" s="151">
        <v>14847366</v>
      </c>
      <c r="I80" s="109">
        <f>Tracker[[#This Row],[DCR ID - PTC]]</f>
        <v>14847366</v>
      </c>
      <c r="J80" s="108" t="s">
        <v>346</v>
      </c>
      <c r="K80" s="108"/>
      <c r="L80" s="108"/>
      <c r="M80" s="108"/>
      <c r="N80" s="580"/>
      <c r="O80" s="111"/>
      <c r="P80" s="111"/>
      <c r="Q80" s="111"/>
      <c r="R80" s="111"/>
      <c r="S80" s="111"/>
      <c r="T80" s="111"/>
      <c r="U80" s="108"/>
      <c r="V80" s="108"/>
      <c r="W80" s="108"/>
      <c r="X80" s="108">
        <f t="shared" si="5"/>
        <v>40.4</v>
      </c>
      <c r="Y80" s="108"/>
      <c r="Z80" s="108"/>
      <c r="AA80" s="108"/>
      <c r="AB80" s="112"/>
      <c r="AC80" s="108"/>
      <c r="AD80" s="108" t="s">
        <v>116</v>
      </c>
      <c r="AE80" s="107"/>
      <c r="AF80" s="113"/>
      <c r="AG80" s="115"/>
      <c r="AH80" s="108" t="s">
        <v>117</v>
      </c>
      <c r="AI80" s="108" t="s">
        <v>95</v>
      </c>
      <c r="AJ80" s="114">
        <v>45596</v>
      </c>
      <c r="AK80" s="108" t="s">
        <v>96</v>
      </c>
      <c r="AL80" s="115">
        <v>45555.75072916667</v>
      </c>
      <c r="AM80" s="116"/>
      <c r="AN80" s="116"/>
      <c r="AO80" s="139"/>
      <c r="AP80" s="108"/>
      <c r="AQ80" s="107"/>
      <c r="AR80" s="107"/>
      <c r="AS80" s="116"/>
      <c r="AT80" s="114">
        <f t="shared" si="6"/>
        <v>40.4</v>
      </c>
      <c r="AU80" s="114"/>
      <c r="AV80" s="108"/>
      <c r="AW80" s="108"/>
      <c r="AX80" s="108"/>
      <c r="AY80" s="108" t="s">
        <v>866</v>
      </c>
      <c r="AZ80" s="108"/>
      <c r="BA80" s="108"/>
      <c r="BB80" s="108"/>
      <c r="BC80" s="108"/>
      <c r="BD80" s="111"/>
      <c r="BE80" s="111">
        <f t="shared" si="7"/>
        <v>40.4</v>
      </c>
      <c r="BF80" s="111"/>
      <c r="BG80" s="111"/>
      <c r="BH80" s="111"/>
      <c r="BI80" s="111"/>
      <c r="BJ80" s="111"/>
      <c r="BK80" s="111"/>
      <c r="BL80" s="111"/>
      <c r="BM80" s="117"/>
      <c r="BN80" s="111"/>
      <c r="BO80" s="117"/>
      <c r="BP80" s="117">
        <f t="shared" si="8"/>
        <v>40.4</v>
      </c>
      <c r="BQ80" s="117"/>
      <c r="BR80" s="111"/>
      <c r="BS80" s="118"/>
      <c r="BT80" s="111"/>
      <c r="BU80" s="118"/>
      <c r="BV80" s="111"/>
      <c r="BW80" s="111"/>
      <c r="BX80" s="111"/>
      <c r="BY80" s="111"/>
      <c r="BZ80" s="111"/>
      <c r="CA80" s="111">
        <f t="shared" si="9"/>
        <v>40.4</v>
      </c>
      <c r="CB80" s="119"/>
      <c r="CC80" s="117"/>
      <c r="CD80" s="120" t="e">
        <v>#N/A</v>
      </c>
      <c r="CE80" s="120" t="e">
        <v>#N/A</v>
      </c>
      <c r="CF80" s="120" t="e">
        <v>#N/A</v>
      </c>
      <c r="CG80" s="111"/>
      <c r="CH80" s="120"/>
      <c r="CI80" s="120"/>
      <c r="CJ80" s="111"/>
      <c r="CK80" s="132"/>
    </row>
    <row r="81" spans="1:89" ht="57.95" customHeight="1">
      <c r="A81" s="106" t="s">
        <v>316</v>
      </c>
      <c r="B81" s="107">
        <v>0</v>
      </c>
      <c r="C81" s="49">
        <v>0</v>
      </c>
      <c r="D81" s="107">
        <v>0</v>
      </c>
      <c r="E81" s="108"/>
      <c r="F81" s="134"/>
      <c r="G81" s="134"/>
      <c r="H81" s="154">
        <v>14931436</v>
      </c>
      <c r="I81" s="109">
        <f>Tracker[[#This Row],[DCR ID - PTC]]</f>
        <v>14931436</v>
      </c>
      <c r="J81" s="49" t="s">
        <v>347</v>
      </c>
      <c r="K81" s="108"/>
      <c r="L81" s="108"/>
      <c r="M81" s="108"/>
      <c r="N81" s="580"/>
      <c r="O81" s="111"/>
      <c r="P81" s="111"/>
      <c r="Q81" s="111"/>
      <c r="R81" s="111"/>
      <c r="S81" s="111"/>
      <c r="T81" s="111"/>
      <c r="U81" s="108"/>
      <c r="V81" s="108"/>
      <c r="W81" s="108"/>
      <c r="X81" s="108">
        <f t="shared" si="5"/>
        <v>40.4</v>
      </c>
      <c r="Y81" s="108"/>
      <c r="Z81" s="108"/>
      <c r="AA81" s="108" t="s">
        <v>338</v>
      </c>
      <c r="AB81" s="112"/>
      <c r="AC81" s="108"/>
      <c r="AD81" s="108" t="s">
        <v>146</v>
      </c>
      <c r="AE81" s="107"/>
      <c r="AF81" s="113"/>
      <c r="AG81" s="115"/>
      <c r="AH81" s="108" t="s">
        <v>109</v>
      </c>
      <c r="AI81" s="108" t="s">
        <v>95</v>
      </c>
      <c r="AJ81" s="114">
        <v>45260.395833333336</v>
      </c>
      <c r="AK81" s="108" t="s">
        <v>96</v>
      </c>
      <c r="AL81" s="115">
        <v>45572.59983796296</v>
      </c>
      <c r="AM81" s="116"/>
      <c r="AN81" s="116"/>
      <c r="AO81" s="139"/>
      <c r="AP81" s="108"/>
      <c r="AQ81" s="107"/>
      <c r="AR81" s="107"/>
      <c r="AS81" s="116"/>
      <c r="AT81" s="114">
        <f t="shared" si="6"/>
        <v>40.4</v>
      </c>
      <c r="AU81" s="114"/>
      <c r="AV81" s="108"/>
      <c r="AW81" s="108"/>
      <c r="AX81" s="108"/>
      <c r="AY81" s="108" t="s">
        <v>866</v>
      </c>
      <c r="AZ81" s="108"/>
      <c r="BA81" s="108"/>
      <c r="BB81" s="108"/>
      <c r="BC81" s="108"/>
      <c r="BD81" s="111"/>
      <c r="BE81" s="111">
        <f t="shared" si="7"/>
        <v>40.4</v>
      </c>
      <c r="BF81" s="111"/>
      <c r="BG81" s="111"/>
      <c r="BH81" s="111"/>
      <c r="BI81" s="111"/>
      <c r="BJ81" s="111"/>
      <c r="BK81" s="111"/>
      <c r="BL81" s="111"/>
      <c r="BM81" s="117"/>
      <c r="BN81" s="111"/>
      <c r="BO81" s="117"/>
      <c r="BP81" s="117">
        <f t="shared" si="8"/>
        <v>40.4</v>
      </c>
      <c r="BQ81" s="117"/>
      <c r="BR81" s="111"/>
      <c r="BS81" s="118"/>
      <c r="BT81" s="111"/>
      <c r="BU81" s="118"/>
      <c r="BV81" s="111"/>
      <c r="BW81" s="111"/>
      <c r="BX81" s="111"/>
      <c r="BY81" s="111"/>
      <c r="BZ81" s="111"/>
      <c r="CA81" s="111">
        <f t="shared" si="9"/>
        <v>40.4</v>
      </c>
      <c r="CB81" s="119"/>
      <c r="CC81" s="117"/>
      <c r="CD81" s="120" t="e">
        <v>#N/A</v>
      </c>
      <c r="CE81" s="120" t="e">
        <v>#N/A</v>
      </c>
      <c r="CF81" s="120" t="e">
        <v>#N/A</v>
      </c>
      <c r="CG81" s="111"/>
      <c r="CH81" s="120"/>
      <c r="CI81" s="120"/>
      <c r="CJ81" s="111"/>
      <c r="CK81" s="132"/>
    </row>
    <row r="82" spans="1:89" ht="72.599999999999994" customHeight="1">
      <c r="A82" s="106" t="s">
        <v>316</v>
      </c>
      <c r="B82" s="107">
        <v>0</v>
      </c>
      <c r="C82" s="49">
        <v>0</v>
      </c>
      <c r="D82" s="107">
        <v>0</v>
      </c>
      <c r="E82" s="108"/>
      <c r="F82" s="108"/>
      <c r="G82" s="121"/>
      <c r="H82" s="154">
        <v>15123510</v>
      </c>
      <c r="I82" s="109">
        <f>Tracker[[#This Row],[DCR ID - PTC]]</f>
        <v>15123510</v>
      </c>
      <c r="J82" s="108" t="s">
        <v>348</v>
      </c>
      <c r="K82" s="108"/>
      <c r="L82" s="108"/>
      <c r="M82" s="108"/>
      <c r="N82" s="580"/>
      <c r="O82" s="111"/>
      <c r="P82" s="111"/>
      <c r="Q82" s="111"/>
      <c r="R82" s="111"/>
      <c r="S82" s="111"/>
      <c r="T82" s="111"/>
      <c r="U82" s="108"/>
      <c r="V82" s="108"/>
      <c r="W82" s="108"/>
      <c r="X82" s="108">
        <f t="shared" si="5"/>
        <v>40.4</v>
      </c>
      <c r="Y82" s="108"/>
      <c r="Z82" s="108"/>
      <c r="AA82" s="108" t="s">
        <v>349</v>
      </c>
      <c r="AB82" s="112"/>
      <c r="AC82" s="108"/>
      <c r="AD82" s="108" t="s">
        <v>93</v>
      </c>
      <c r="AE82" s="107"/>
      <c r="AF82" s="113"/>
      <c r="AG82" s="115"/>
      <c r="AH82" s="108" t="s">
        <v>350</v>
      </c>
      <c r="AI82" s="108" t="s">
        <v>101</v>
      </c>
      <c r="AJ82" s="114">
        <v>45688</v>
      </c>
      <c r="AK82" s="108" t="s">
        <v>96</v>
      </c>
      <c r="AL82" s="115">
        <v>45604.558738425927</v>
      </c>
      <c r="AM82" s="116"/>
      <c r="AN82" s="116"/>
      <c r="AO82" s="139"/>
      <c r="AP82" s="108"/>
      <c r="AQ82" s="107"/>
      <c r="AR82" s="107"/>
      <c r="AS82" s="116"/>
      <c r="AT82" s="114">
        <f t="shared" si="6"/>
        <v>40.4</v>
      </c>
      <c r="AU82" s="114"/>
      <c r="AV82" s="108"/>
      <c r="AW82" s="108"/>
      <c r="AX82" s="108"/>
      <c r="AY82" s="108" t="s">
        <v>866</v>
      </c>
      <c r="AZ82" s="108"/>
      <c r="BA82" s="108"/>
      <c r="BB82" s="108"/>
      <c r="BC82" s="108"/>
      <c r="BD82" s="111"/>
      <c r="BE82" s="111">
        <f t="shared" si="7"/>
        <v>40.4</v>
      </c>
      <c r="BF82" s="111"/>
      <c r="BG82" s="111"/>
      <c r="BH82" s="111"/>
      <c r="BI82" s="111"/>
      <c r="BJ82" s="111"/>
      <c r="BK82" s="111"/>
      <c r="BL82" s="111"/>
      <c r="BM82" s="117"/>
      <c r="BN82" s="111"/>
      <c r="BO82" s="117"/>
      <c r="BP82" s="117">
        <f t="shared" si="8"/>
        <v>40.4</v>
      </c>
      <c r="BQ82" s="117"/>
      <c r="BR82" s="111"/>
      <c r="BS82" s="118"/>
      <c r="BT82" s="111"/>
      <c r="BU82" s="118"/>
      <c r="BV82" s="111"/>
      <c r="BW82" s="111"/>
      <c r="BX82" s="111"/>
      <c r="BY82" s="111"/>
      <c r="BZ82" s="111"/>
      <c r="CA82" s="111">
        <f t="shared" si="9"/>
        <v>40.4</v>
      </c>
      <c r="CB82" s="119"/>
      <c r="CC82" s="117"/>
      <c r="CD82" s="120" t="e">
        <v>#N/A</v>
      </c>
      <c r="CE82" s="120" t="e">
        <v>#N/A</v>
      </c>
      <c r="CF82" s="120" t="e">
        <v>#N/A</v>
      </c>
      <c r="CG82" s="111"/>
      <c r="CH82" s="120"/>
      <c r="CI82" s="120"/>
      <c r="CJ82" s="111"/>
      <c r="CK82" s="132"/>
    </row>
    <row r="83" spans="1:89" ht="43.5">
      <c r="A83" s="106" t="s">
        <v>316</v>
      </c>
      <c r="B83" s="107">
        <v>0</v>
      </c>
      <c r="C83" s="49">
        <v>0</v>
      </c>
      <c r="D83" s="107">
        <v>0</v>
      </c>
      <c r="E83" s="108"/>
      <c r="F83" s="108"/>
      <c r="G83" s="121"/>
      <c r="H83" s="151">
        <v>15123512</v>
      </c>
      <c r="I83" s="109">
        <f>Tracker[[#This Row],[DCR ID - PTC]]</f>
        <v>15123512</v>
      </c>
      <c r="J83" s="108" t="s">
        <v>351</v>
      </c>
      <c r="K83" s="108"/>
      <c r="L83" s="108"/>
      <c r="M83" s="108"/>
      <c r="N83" s="580"/>
      <c r="O83" s="111"/>
      <c r="P83" s="111"/>
      <c r="Q83" s="111"/>
      <c r="R83" s="111"/>
      <c r="S83" s="111"/>
      <c r="T83" s="111"/>
      <c r="U83" s="108"/>
      <c r="V83" s="108"/>
      <c r="W83" s="108"/>
      <c r="X83" s="108">
        <f t="shared" si="5"/>
        <v>40.4</v>
      </c>
      <c r="Y83" s="108"/>
      <c r="Z83" s="108"/>
      <c r="AA83" s="108" t="s">
        <v>349</v>
      </c>
      <c r="AB83" s="112"/>
      <c r="AC83" s="108"/>
      <c r="AD83" s="108" t="s">
        <v>93</v>
      </c>
      <c r="AE83" s="107"/>
      <c r="AF83" s="113"/>
      <c r="AG83" s="115"/>
      <c r="AH83" s="108" t="s">
        <v>350</v>
      </c>
      <c r="AI83" s="108" t="s">
        <v>101</v>
      </c>
      <c r="AJ83" s="114">
        <v>45688</v>
      </c>
      <c r="AK83" s="108" t="s">
        <v>96</v>
      </c>
      <c r="AL83" s="115">
        <v>45604.559733796297</v>
      </c>
      <c r="AM83" s="116"/>
      <c r="AN83" s="116"/>
      <c r="AO83" s="139"/>
      <c r="AP83" s="108"/>
      <c r="AQ83" s="107"/>
      <c r="AR83" s="107"/>
      <c r="AS83" s="116"/>
      <c r="AT83" s="114">
        <f t="shared" si="6"/>
        <v>40.4</v>
      </c>
      <c r="AU83" s="114"/>
      <c r="AV83" s="108"/>
      <c r="AW83" s="108"/>
      <c r="AX83" s="108"/>
      <c r="AY83" s="108" t="s">
        <v>866</v>
      </c>
      <c r="AZ83" s="108"/>
      <c r="BA83" s="108"/>
      <c r="BB83" s="108"/>
      <c r="BC83" s="108"/>
      <c r="BD83" s="111"/>
      <c r="BE83" s="111">
        <f t="shared" si="7"/>
        <v>40.4</v>
      </c>
      <c r="BF83" s="111"/>
      <c r="BG83" s="111"/>
      <c r="BH83" s="111"/>
      <c r="BI83" s="111"/>
      <c r="BJ83" s="111"/>
      <c r="BK83" s="111"/>
      <c r="BL83" s="111"/>
      <c r="BM83" s="117"/>
      <c r="BN83" s="111"/>
      <c r="BO83" s="117"/>
      <c r="BP83" s="117">
        <f t="shared" si="8"/>
        <v>40.4</v>
      </c>
      <c r="BQ83" s="117"/>
      <c r="BR83" s="111"/>
      <c r="BS83" s="118"/>
      <c r="BT83" s="111"/>
      <c r="BU83" s="118"/>
      <c r="BV83" s="111"/>
      <c r="BW83" s="111"/>
      <c r="BX83" s="111"/>
      <c r="BY83" s="111"/>
      <c r="BZ83" s="111"/>
      <c r="CA83" s="111">
        <f t="shared" si="9"/>
        <v>40.4</v>
      </c>
      <c r="CB83" s="119"/>
      <c r="CC83" s="117"/>
      <c r="CD83" s="120" t="e">
        <v>#N/A</v>
      </c>
      <c r="CE83" s="120" t="e">
        <v>#N/A</v>
      </c>
      <c r="CF83" s="120" t="e">
        <v>#N/A</v>
      </c>
      <c r="CG83" s="111"/>
      <c r="CH83" s="120"/>
      <c r="CI83" s="120"/>
      <c r="CJ83" s="111"/>
      <c r="CK83" s="132"/>
    </row>
    <row r="84" spans="1:89" ht="43.5">
      <c r="A84" s="106" t="s">
        <v>316</v>
      </c>
      <c r="B84" s="107">
        <v>0</v>
      </c>
      <c r="C84" s="49">
        <v>0</v>
      </c>
      <c r="D84" s="107">
        <v>0</v>
      </c>
      <c r="E84" s="108"/>
      <c r="F84" s="134"/>
      <c r="G84" s="134"/>
      <c r="H84" s="151">
        <v>15123513</v>
      </c>
      <c r="I84" s="109">
        <f>Tracker[[#This Row],[DCR ID - PTC]]</f>
        <v>15123513</v>
      </c>
      <c r="J84" s="108" t="s">
        <v>352</v>
      </c>
      <c r="K84" s="108"/>
      <c r="L84" s="108"/>
      <c r="M84" s="108"/>
      <c r="N84" s="580"/>
      <c r="O84" s="111"/>
      <c r="P84" s="111"/>
      <c r="Q84" s="111"/>
      <c r="R84" s="111"/>
      <c r="S84" s="111"/>
      <c r="T84" s="111"/>
      <c r="U84" s="108"/>
      <c r="V84" s="108"/>
      <c r="W84" s="108"/>
      <c r="X84" s="108">
        <f t="shared" si="5"/>
        <v>40.4</v>
      </c>
      <c r="Y84" s="108"/>
      <c r="Z84" s="108"/>
      <c r="AA84" s="108" t="s">
        <v>349</v>
      </c>
      <c r="AB84" s="112"/>
      <c r="AC84" s="108"/>
      <c r="AD84" s="108" t="s">
        <v>93</v>
      </c>
      <c r="AE84" s="107"/>
      <c r="AF84" s="113"/>
      <c r="AG84" s="115"/>
      <c r="AH84" s="108" t="s">
        <v>350</v>
      </c>
      <c r="AI84" s="108" t="s">
        <v>101</v>
      </c>
      <c r="AJ84" s="114">
        <v>45688</v>
      </c>
      <c r="AK84" s="108" t="s">
        <v>96</v>
      </c>
      <c r="AL84" s="115">
        <v>45604.560659722221</v>
      </c>
      <c r="AM84" s="116"/>
      <c r="AN84" s="116"/>
      <c r="AO84" s="139"/>
      <c r="AP84" s="108"/>
      <c r="AQ84" s="107"/>
      <c r="AR84" s="107"/>
      <c r="AS84" s="116"/>
      <c r="AT84" s="114">
        <f t="shared" si="6"/>
        <v>40.4</v>
      </c>
      <c r="AU84" s="114"/>
      <c r="AV84" s="108"/>
      <c r="AW84" s="108"/>
      <c r="AX84" s="108"/>
      <c r="AY84" s="108" t="s">
        <v>866</v>
      </c>
      <c r="AZ84" s="108"/>
      <c r="BA84" s="108"/>
      <c r="BB84" s="108"/>
      <c r="BC84" s="108"/>
      <c r="BD84" s="111"/>
      <c r="BE84" s="111">
        <f t="shared" si="7"/>
        <v>40.4</v>
      </c>
      <c r="BF84" s="111"/>
      <c r="BG84" s="111"/>
      <c r="BH84" s="111"/>
      <c r="BI84" s="111"/>
      <c r="BJ84" s="111"/>
      <c r="BK84" s="111"/>
      <c r="BL84" s="111"/>
      <c r="BM84" s="117"/>
      <c r="BN84" s="111"/>
      <c r="BO84" s="117"/>
      <c r="BP84" s="117">
        <f t="shared" si="8"/>
        <v>40.4</v>
      </c>
      <c r="BQ84" s="117"/>
      <c r="BR84" s="111"/>
      <c r="BS84" s="118"/>
      <c r="BT84" s="111"/>
      <c r="BU84" s="118"/>
      <c r="BV84" s="111"/>
      <c r="BW84" s="111"/>
      <c r="BX84" s="111"/>
      <c r="BY84" s="111"/>
      <c r="BZ84" s="111"/>
      <c r="CA84" s="111">
        <f t="shared" si="9"/>
        <v>40.4</v>
      </c>
      <c r="CB84" s="119"/>
      <c r="CC84" s="117"/>
      <c r="CD84" s="120" t="e">
        <v>#N/A</v>
      </c>
      <c r="CE84" s="120" t="e">
        <v>#N/A</v>
      </c>
      <c r="CF84" s="120" t="e">
        <v>#N/A</v>
      </c>
      <c r="CG84" s="111"/>
      <c r="CH84" s="120"/>
      <c r="CI84" s="120"/>
      <c r="CJ84" s="111"/>
      <c r="CK84" s="132"/>
    </row>
    <row r="85" spans="1:89" ht="43.5">
      <c r="A85" s="106" t="s">
        <v>316</v>
      </c>
      <c r="B85" s="107">
        <v>0</v>
      </c>
      <c r="C85" s="49">
        <v>0</v>
      </c>
      <c r="D85" s="107">
        <v>0</v>
      </c>
      <c r="E85" s="108"/>
      <c r="F85" s="134"/>
      <c r="G85" s="134"/>
      <c r="H85" s="151">
        <v>15123514</v>
      </c>
      <c r="I85" s="109">
        <f>Tracker[[#This Row],[DCR ID - PTC]]</f>
        <v>15123514</v>
      </c>
      <c r="J85" s="108" t="s">
        <v>353</v>
      </c>
      <c r="K85" s="108"/>
      <c r="L85" s="108"/>
      <c r="M85" s="108"/>
      <c r="N85" s="580"/>
      <c r="O85" s="111"/>
      <c r="P85" s="111"/>
      <c r="Q85" s="111"/>
      <c r="R85" s="111"/>
      <c r="S85" s="111"/>
      <c r="T85" s="111"/>
      <c r="U85" s="108"/>
      <c r="V85" s="108"/>
      <c r="W85" s="108"/>
      <c r="X85" s="108">
        <f t="shared" si="5"/>
        <v>40.4</v>
      </c>
      <c r="Y85" s="108"/>
      <c r="Z85" s="108"/>
      <c r="AA85" s="108" t="s">
        <v>349</v>
      </c>
      <c r="AB85" s="112"/>
      <c r="AC85" s="108"/>
      <c r="AD85" s="108" t="s">
        <v>93</v>
      </c>
      <c r="AE85" s="107"/>
      <c r="AF85" s="113"/>
      <c r="AG85" s="115"/>
      <c r="AH85" s="108" t="s">
        <v>350</v>
      </c>
      <c r="AI85" s="108" t="s">
        <v>101</v>
      </c>
      <c r="AJ85" s="114">
        <v>45688</v>
      </c>
      <c r="AK85" s="108" t="s">
        <v>96</v>
      </c>
      <c r="AL85" s="115">
        <v>45604.561712962961</v>
      </c>
      <c r="AM85" s="116"/>
      <c r="AN85" s="116"/>
      <c r="AO85" s="139"/>
      <c r="AP85" s="108"/>
      <c r="AQ85" s="107"/>
      <c r="AR85" s="107"/>
      <c r="AS85" s="116"/>
      <c r="AT85" s="114">
        <f t="shared" si="6"/>
        <v>40.4</v>
      </c>
      <c r="AU85" s="114"/>
      <c r="AV85" s="108"/>
      <c r="AW85" s="108"/>
      <c r="AX85" s="108"/>
      <c r="AY85" s="108" t="s">
        <v>866</v>
      </c>
      <c r="AZ85" s="108"/>
      <c r="BA85" s="108"/>
      <c r="BB85" s="108"/>
      <c r="BC85" s="108"/>
      <c r="BD85" s="111"/>
      <c r="BE85" s="111">
        <f t="shared" si="7"/>
        <v>40.4</v>
      </c>
      <c r="BF85" s="111"/>
      <c r="BG85" s="111"/>
      <c r="BH85" s="111"/>
      <c r="BI85" s="111"/>
      <c r="BJ85" s="111"/>
      <c r="BK85" s="111"/>
      <c r="BL85" s="111"/>
      <c r="BM85" s="117"/>
      <c r="BN85" s="111"/>
      <c r="BO85" s="117"/>
      <c r="BP85" s="117">
        <f t="shared" si="8"/>
        <v>40.4</v>
      </c>
      <c r="BQ85" s="117"/>
      <c r="BR85" s="111"/>
      <c r="BS85" s="118"/>
      <c r="BT85" s="111"/>
      <c r="BU85" s="118"/>
      <c r="BV85" s="111"/>
      <c r="BW85" s="111"/>
      <c r="BX85" s="111"/>
      <c r="BY85" s="111"/>
      <c r="BZ85" s="111"/>
      <c r="CA85" s="111">
        <f t="shared" si="9"/>
        <v>40.4</v>
      </c>
      <c r="CB85" s="119"/>
      <c r="CC85" s="117"/>
      <c r="CD85" s="120" t="e">
        <v>#N/A</v>
      </c>
      <c r="CE85" s="120" t="e">
        <v>#N/A</v>
      </c>
      <c r="CF85" s="120" t="e">
        <v>#N/A</v>
      </c>
      <c r="CG85" s="111"/>
      <c r="CH85" s="120"/>
      <c r="CI85" s="120"/>
      <c r="CJ85" s="111"/>
      <c r="CK85" s="132"/>
    </row>
    <row r="86" spans="1:89" ht="43.5">
      <c r="A86" s="106" t="s">
        <v>316</v>
      </c>
      <c r="B86" s="107">
        <v>0</v>
      </c>
      <c r="C86" s="49">
        <v>0</v>
      </c>
      <c r="D86" s="107">
        <v>0</v>
      </c>
      <c r="E86" s="108"/>
      <c r="F86" s="134"/>
      <c r="G86" s="134"/>
      <c r="H86" s="151">
        <v>15599977</v>
      </c>
      <c r="I86" s="109">
        <f>Tracker[[#This Row],[DCR ID - PTC]]</f>
        <v>15599977</v>
      </c>
      <c r="J86" s="108" t="s">
        <v>356</v>
      </c>
      <c r="K86" s="108"/>
      <c r="L86" s="108"/>
      <c r="M86" s="108"/>
      <c r="N86" s="580"/>
      <c r="O86" s="111"/>
      <c r="P86" s="111"/>
      <c r="Q86" s="111"/>
      <c r="R86" s="111"/>
      <c r="S86" s="111"/>
      <c r="T86" s="111"/>
      <c r="U86" s="108"/>
      <c r="V86" s="108"/>
      <c r="W86" s="108"/>
      <c r="X86" s="108">
        <f t="shared" si="5"/>
        <v>40.4</v>
      </c>
      <c r="Y86" s="108"/>
      <c r="Z86" s="108"/>
      <c r="AA86" s="108"/>
      <c r="AB86" s="112"/>
      <c r="AC86" s="108"/>
      <c r="AD86" s="108" t="s">
        <v>108</v>
      </c>
      <c r="AE86" s="107"/>
      <c r="AF86" s="113"/>
      <c r="AG86" s="115"/>
      <c r="AH86" s="108" t="s">
        <v>109</v>
      </c>
      <c r="AI86" s="108" t="s">
        <v>95</v>
      </c>
      <c r="AJ86" s="114">
        <v>45991.395833333336</v>
      </c>
      <c r="AK86" s="108" t="s">
        <v>96</v>
      </c>
      <c r="AL86" s="115">
        <v>45681.469224537039</v>
      </c>
      <c r="AM86" s="116"/>
      <c r="AN86" s="116"/>
      <c r="AO86" s="139"/>
      <c r="AP86" s="108"/>
      <c r="AQ86" s="107"/>
      <c r="AR86" s="107"/>
      <c r="AS86" s="116"/>
      <c r="AT86" s="114">
        <f t="shared" si="6"/>
        <v>40.4</v>
      </c>
      <c r="AU86" s="114"/>
      <c r="AV86" s="108"/>
      <c r="AW86" s="108"/>
      <c r="AX86" s="108"/>
      <c r="AY86" s="108" t="s">
        <v>866</v>
      </c>
      <c r="AZ86" s="108"/>
      <c r="BA86" s="108"/>
      <c r="BB86" s="108"/>
      <c r="BC86" s="108"/>
      <c r="BD86" s="111"/>
      <c r="BE86" s="111">
        <f t="shared" si="7"/>
        <v>40.4</v>
      </c>
      <c r="BF86" s="111"/>
      <c r="BG86" s="111"/>
      <c r="BH86" s="111"/>
      <c r="BI86" s="111"/>
      <c r="BJ86" s="111"/>
      <c r="BK86" s="111"/>
      <c r="BL86" s="111"/>
      <c r="BM86" s="117"/>
      <c r="BN86" s="111"/>
      <c r="BO86" s="117"/>
      <c r="BP86" s="117">
        <f t="shared" si="8"/>
        <v>40.4</v>
      </c>
      <c r="BQ86" s="117"/>
      <c r="BR86" s="111"/>
      <c r="BS86" s="118"/>
      <c r="BT86" s="111"/>
      <c r="BU86" s="118"/>
      <c r="BV86" s="111"/>
      <c r="BW86" s="111"/>
      <c r="BX86" s="111"/>
      <c r="BY86" s="111"/>
      <c r="BZ86" s="111"/>
      <c r="CA86" s="111">
        <f t="shared" si="9"/>
        <v>40.4</v>
      </c>
      <c r="CB86" s="119"/>
      <c r="CC86" s="117"/>
      <c r="CD86" s="120" t="e">
        <v>#N/A</v>
      </c>
      <c r="CE86" s="120" t="e">
        <v>#N/A</v>
      </c>
      <c r="CF86" s="120" t="e">
        <v>#N/A</v>
      </c>
      <c r="CG86" s="111"/>
      <c r="CH86" s="120"/>
      <c r="CI86" s="120"/>
      <c r="CJ86" s="111"/>
      <c r="CK86" s="132"/>
    </row>
    <row r="87" spans="1:89" ht="43.5">
      <c r="A87" s="106" t="s">
        <v>316</v>
      </c>
      <c r="B87" s="107">
        <v>0</v>
      </c>
      <c r="C87" s="49">
        <v>0</v>
      </c>
      <c r="D87" s="107">
        <v>0</v>
      </c>
      <c r="E87" s="108"/>
      <c r="F87" s="134"/>
      <c r="G87" s="134"/>
      <c r="H87" s="151">
        <v>16484890</v>
      </c>
      <c r="I87" s="109">
        <f>Tracker[[#This Row],[DCR ID - PTC]]</f>
        <v>16484890</v>
      </c>
      <c r="J87" s="108" t="s">
        <v>359</v>
      </c>
      <c r="K87" s="108"/>
      <c r="L87" s="108"/>
      <c r="M87" s="108"/>
      <c r="N87" s="580"/>
      <c r="O87" s="111"/>
      <c r="P87" s="111"/>
      <c r="Q87" s="111"/>
      <c r="R87" s="111"/>
      <c r="S87" s="111"/>
      <c r="T87" s="111"/>
      <c r="U87" s="108"/>
      <c r="V87" s="108"/>
      <c r="W87" s="108"/>
      <c r="X87" s="108">
        <f t="shared" si="5"/>
        <v>40.4</v>
      </c>
      <c r="Y87" s="108"/>
      <c r="Z87" s="108"/>
      <c r="AA87" s="108"/>
      <c r="AB87" s="112"/>
      <c r="AC87" s="108"/>
      <c r="AD87" s="108" t="s">
        <v>93</v>
      </c>
      <c r="AE87" s="107"/>
      <c r="AF87" s="113"/>
      <c r="AG87" s="115"/>
      <c r="AH87" s="108" t="s">
        <v>109</v>
      </c>
      <c r="AI87" s="108" t="s">
        <v>95</v>
      </c>
      <c r="AJ87" s="114">
        <v>45838</v>
      </c>
      <c r="AK87" s="108" t="s">
        <v>96</v>
      </c>
      <c r="AL87" s="115">
        <v>45803.816782407404</v>
      </c>
      <c r="AM87" s="116"/>
      <c r="AN87" s="116"/>
      <c r="AO87" s="139"/>
      <c r="AP87" s="108"/>
      <c r="AQ87" s="107"/>
      <c r="AR87" s="107"/>
      <c r="AS87" s="116"/>
      <c r="AT87" s="114">
        <f t="shared" si="6"/>
        <v>40.4</v>
      </c>
      <c r="AU87" s="114"/>
      <c r="AV87" s="108"/>
      <c r="AW87" s="108"/>
      <c r="AX87" s="108"/>
      <c r="AY87" s="108" t="s">
        <v>866</v>
      </c>
      <c r="AZ87" s="108"/>
      <c r="BA87" s="108"/>
      <c r="BB87" s="108"/>
      <c r="BC87" s="108"/>
      <c r="BD87" s="111"/>
      <c r="BE87" s="111">
        <f t="shared" si="7"/>
        <v>40.4</v>
      </c>
      <c r="BF87" s="111"/>
      <c r="BG87" s="111"/>
      <c r="BH87" s="111"/>
      <c r="BI87" s="111"/>
      <c r="BJ87" s="111"/>
      <c r="BK87" s="111"/>
      <c r="BL87" s="111"/>
      <c r="BM87" s="117"/>
      <c r="BN87" s="111"/>
      <c r="BO87" s="117"/>
      <c r="BP87" s="117">
        <f t="shared" si="8"/>
        <v>40.4</v>
      </c>
      <c r="BQ87" s="117"/>
      <c r="BR87" s="111"/>
      <c r="BS87" s="118"/>
      <c r="BT87" s="111"/>
      <c r="BU87" s="118"/>
      <c r="BV87" s="111"/>
      <c r="BW87" s="111"/>
      <c r="BX87" s="111"/>
      <c r="BY87" s="111"/>
      <c r="BZ87" s="111"/>
      <c r="CA87" s="111">
        <f t="shared" si="9"/>
        <v>40.4</v>
      </c>
      <c r="CB87" s="119"/>
      <c r="CC87" s="117"/>
      <c r="CD87" s="120" t="e">
        <v>#N/A</v>
      </c>
      <c r="CE87" s="120" t="e">
        <v>#N/A</v>
      </c>
      <c r="CF87" s="120" t="e">
        <v>#N/A</v>
      </c>
      <c r="CG87" s="111"/>
      <c r="CH87" s="120"/>
      <c r="CI87" s="120"/>
      <c r="CJ87" s="111"/>
      <c r="CK87" s="132"/>
    </row>
    <row r="88" spans="1:89" ht="87">
      <c r="A88" s="106" t="s">
        <v>316</v>
      </c>
      <c r="B88" s="107">
        <v>0</v>
      </c>
      <c r="C88" s="49">
        <v>0</v>
      </c>
      <c r="D88" s="107">
        <v>0</v>
      </c>
      <c r="E88" s="108"/>
      <c r="F88" s="134"/>
      <c r="G88" s="134"/>
      <c r="H88" s="151">
        <v>18651276</v>
      </c>
      <c r="I88" s="109">
        <f>Tracker[[#This Row],[DCR ID - PTC]]</f>
        <v>18651276</v>
      </c>
      <c r="J88" s="108" t="s">
        <v>931</v>
      </c>
      <c r="K88" s="108"/>
      <c r="L88" s="108"/>
      <c r="M88" s="108"/>
      <c r="N88" s="580"/>
      <c r="O88" s="111"/>
      <c r="P88" s="111"/>
      <c r="Q88" s="111"/>
      <c r="R88" s="111"/>
      <c r="S88" s="111"/>
      <c r="T88" s="111"/>
      <c r="U88" s="108"/>
      <c r="V88" s="108"/>
      <c r="W88" s="108"/>
      <c r="X88" s="108">
        <f t="shared" si="5"/>
        <v>40.4</v>
      </c>
      <c r="Y88" s="108"/>
      <c r="Z88" s="108"/>
      <c r="AA88" s="108"/>
      <c r="AB88" s="112"/>
      <c r="AC88" s="108"/>
      <c r="AD88" s="108" t="s">
        <v>93</v>
      </c>
      <c r="AE88" s="107"/>
      <c r="AF88" s="113"/>
      <c r="AG88" s="115"/>
      <c r="AH88" s="108" t="s">
        <v>109</v>
      </c>
      <c r="AI88" s="108" t="s">
        <v>95</v>
      </c>
      <c r="AJ88" s="114">
        <v>46173.395833333336</v>
      </c>
      <c r="AK88" s="108" t="s">
        <v>96</v>
      </c>
      <c r="AL88" s="115">
        <v>46055.842812499999</v>
      </c>
      <c r="AM88" s="116"/>
      <c r="AN88" s="116"/>
      <c r="AO88" s="139"/>
      <c r="AP88" s="108"/>
      <c r="AQ88" s="107"/>
      <c r="AR88" s="107"/>
      <c r="AS88" s="116"/>
      <c r="AT88" s="114">
        <f t="shared" si="6"/>
        <v>40.4</v>
      </c>
      <c r="AU88" s="114"/>
      <c r="AV88" s="108"/>
      <c r="AW88" s="108"/>
      <c r="AX88" s="108"/>
      <c r="AY88" s="108" t="s">
        <v>866</v>
      </c>
      <c r="AZ88" s="108"/>
      <c r="BA88" s="108"/>
      <c r="BB88" s="108"/>
      <c r="BC88" s="108"/>
      <c r="BD88" s="111"/>
      <c r="BE88" s="111">
        <f t="shared" si="7"/>
        <v>40.4</v>
      </c>
      <c r="BF88" s="111"/>
      <c r="BG88" s="111"/>
      <c r="BH88" s="111"/>
      <c r="BI88" s="111"/>
      <c r="BJ88" s="111"/>
      <c r="BK88" s="111"/>
      <c r="BL88" s="111"/>
      <c r="BM88" s="117"/>
      <c r="BN88" s="111"/>
      <c r="BO88" s="117"/>
      <c r="BP88" s="117">
        <f t="shared" si="8"/>
        <v>40.4</v>
      </c>
      <c r="BQ88" s="117"/>
      <c r="BR88" s="111"/>
      <c r="BS88" s="118"/>
      <c r="BT88" s="111"/>
      <c r="BU88" s="118"/>
      <c r="BV88" s="111"/>
      <c r="BW88" s="111"/>
      <c r="BX88" s="111"/>
      <c r="BY88" s="111"/>
      <c r="BZ88" s="111"/>
      <c r="CA88" s="111">
        <f t="shared" si="9"/>
        <v>40.4</v>
      </c>
      <c r="CB88" s="119"/>
      <c r="CC88" s="117"/>
      <c r="CD88" s="123" t="e">
        <v>#N/A</v>
      </c>
      <c r="CE88" s="123" t="e">
        <v>#N/A</v>
      </c>
      <c r="CF88" s="123" t="e">
        <v>#N/A</v>
      </c>
      <c r="CG88" s="111"/>
      <c r="CH88" s="120"/>
      <c r="CI88" s="123"/>
      <c r="CJ88" s="111"/>
      <c r="CK88" s="132"/>
    </row>
    <row r="89" spans="1:89" ht="72.599999999999994">
      <c r="A89" s="106" t="s">
        <v>316</v>
      </c>
      <c r="B89" s="107">
        <v>0</v>
      </c>
      <c r="C89" s="49">
        <v>0</v>
      </c>
      <c r="D89" s="107">
        <f>Tracker[[#This Row],[Estimated Hrs]]-Tracker[[#This Row],[Actual Efforts (Hrs)]]</f>
        <v>0</v>
      </c>
      <c r="E89" s="108"/>
      <c r="F89" s="134"/>
      <c r="G89" s="134"/>
      <c r="H89" s="151">
        <v>5525332</v>
      </c>
      <c r="I89" s="109">
        <f>Tracker[[#This Row],[DCR ID - PTC]]</f>
        <v>5525332</v>
      </c>
      <c r="J89" s="108" t="s">
        <v>317</v>
      </c>
      <c r="K89" s="108"/>
      <c r="L89" s="108" t="s">
        <v>318</v>
      </c>
      <c r="M89" s="108"/>
      <c r="N89" s="580"/>
      <c r="O89" s="111"/>
      <c r="P89" s="111"/>
      <c r="Q89" s="111"/>
      <c r="R89" s="111"/>
      <c r="S89" s="111"/>
      <c r="T89" s="111"/>
      <c r="U89" s="108"/>
      <c r="V89" s="108"/>
      <c r="W89" s="108"/>
      <c r="X89" s="108">
        <f t="shared" si="5"/>
        <v>40.4</v>
      </c>
      <c r="Y89" s="108"/>
      <c r="Z89" s="108"/>
      <c r="AA89" s="108"/>
      <c r="AB89" s="112">
        <v>44286</v>
      </c>
      <c r="AC89" s="108" t="s">
        <v>318</v>
      </c>
      <c r="AD89" s="108" t="s">
        <v>146</v>
      </c>
      <c r="AE89" s="107"/>
      <c r="AF89" s="113"/>
      <c r="AG89" s="115">
        <v>44226.113935185182</v>
      </c>
      <c r="AH89" s="108" t="s">
        <v>319</v>
      </c>
      <c r="AI89" s="108" t="s">
        <v>95</v>
      </c>
      <c r="AJ89" s="114">
        <v>43467.479166666664</v>
      </c>
      <c r="AK89" s="108" t="s">
        <v>96</v>
      </c>
      <c r="AL89" s="115">
        <v>44134.972546296296</v>
      </c>
      <c r="AM89" s="116"/>
      <c r="AN89" s="116"/>
      <c r="AO89" s="139"/>
      <c r="AP89" s="108"/>
      <c r="AQ89" s="107"/>
      <c r="AR89" s="107"/>
      <c r="AS89" s="116"/>
      <c r="AT89" s="114">
        <f t="shared" si="6"/>
        <v>40.4</v>
      </c>
      <c r="AU89" s="114"/>
      <c r="AV89" s="108"/>
      <c r="AW89" s="108"/>
      <c r="AX89" s="108"/>
      <c r="AY89" s="108" t="s">
        <v>866</v>
      </c>
      <c r="AZ89" s="108"/>
      <c r="BA89" s="108"/>
      <c r="BB89" s="108"/>
      <c r="BC89" s="108"/>
      <c r="BD89" s="111"/>
      <c r="BE89" s="111">
        <f t="shared" si="7"/>
        <v>40.4</v>
      </c>
      <c r="BF89" s="111"/>
      <c r="BG89" s="111"/>
      <c r="BH89" s="111"/>
      <c r="BI89" s="111"/>
      <c r="BJ89" s="111"/>
      <c r="BK89" s="111"/>
      <c r="BL89" s="111"/>
      <c r="BM89" s="117"/>
      <c r="BN89" s="111"/>
      <c r="BO89" s="117"/>
      <c r="BP89" s="117">
        <f t="shared" si="8"/>
        <v>40.4</v>
      </c>
      <c r="BQ89" s="117"/>
      <c r="BR89" s="111"/>
      <c r="BS89" s="118"/>
      <c r="BT89" s="111"/>
      <c r="BU89" s="118"/>
      <c r="BV89" s="111"/>
      <c r="BW89" s="111"/>
      <c r="BX89" s="111"/>
      <c r="BY89" s="111"/>
      <c r="BZ89" s="111"/>
      <c r="CA89" s="111">
        <f t="shared" si="9"/>
        <v>40.4</v>
      </c>
      <c r="CB89" s="119"/>
      <c r="CC89" s="117"/>
      <c r="CD89" s="123" t="e">
        <v>#N/A</v>
      </c>
      <c r="CE89" s="123" t="e">
        <v>#N/A</v>
      </c>
      <c r="CF89" s="123" t="e">
        <v>#N/A</v>
      </c>
      <c r="CG89" s="111"/>
      <c r="CH89" s="120"/>
      <c r="CI89" s="123"/>
      <c r="CJ89" s="111"/>
      <c r="CK89" s="132"/>
    </row>
    <row r="90" spans="1:89" ht="188.45">
      <c r="A90" s="106" t="s">
        <v>316</v>
      </c>
      <c r="B90" s="107">
        <v>0</v>
      </c>
      <c r="C90" s="49">
        <v>0</v>
      </c>
      <c r="D90" s="107">
        <v>0</v>
      </c>
      <c r="E90" s="108"/>
      <c r="F90" s="108"/>
      <c r="G90" s="148"/>
      <c r="H90" s="155">
        <v>15554144</v>
      </c>
      <c r="I90" s="109">
        <f>Tracker[[#This Row],[DCR ID - PTC]]</f>
        <v>15554144</v>
      </c>
      <c r="J90" s="292" t="s">
        <v>354</v>
      </c>
      <c r="K90" s="108"/>
      <c r="L90" s="108" t="s">
        <v>355</v>
      </c>
      <c r="M90" s="108"/>
      <c r="N90" s="580"/>
      <c r="O90" s="111"/>
      <c r="P90" s="126"/>
      <c r="Q90" s="126"/>
      <c r="R90" s="126"/>
      <c r="S90" s="126"/>
      <c r="T90" s="126"/>
      <c r="U90" s="126"/>
      <c r="V90" s="126"/>
      <c r="W90" s="126"/>
      <c r="X90" s="126">
        <f t="shared" si="5"/>
        <v>40.4</v>
      </c>
      <c r="Y90" s="126"/>
      <c r="Z90" s="126"/>
      <c r="AA90" s="126"/>
      <c r="AB90" s="126"/>
      <c r="AC90" s="126" t="s">
        <v>355</v>
      </c>
      <c r="AD90" s="126" t="s">
        <v>146</v>
      </c>
      <c r="AE90" s="126"/>
      <c r="AF90" s="113"/>
      <c r="AG90" s="115"/>
      <c r="AH90" s="126" t="s">
        <v>109</v>
      </c>
      <c r="AI90" s="126" t="s">
        <v>95</v>
      </c>
      <c r="AJ90" s="126">
        <v>45688</v>
      </c>
      <c r="AK90" s="126" t="s">
        <v>96</v>
      </c>
      <c r="AL90" s="293">
        <v>45672.44903935185</v>
      </c>
      <c r="AM90" s="126"/>
      <c r="AN90" s="126"/>
      <c r="AO90" s="139"/>
      <c r="AP90" s="126"/>
      <c r="AQ90" s="126"/>
      <c r="AR90" s="126"/>
      <c r="AS90" s="116"/>
      <c r="AT90" s="114">
        <f t="shared" si="6"/>
        <v>40.4</v>
      </c>
      <c r="AU90" s="114"/>
      <c r="AV90" s="126"/>
      <c r="AW90" s="126"/>
      <c r="AX90" s="108"/>
      <c r="AY90" s="108" t="s">
        <v>866</v>
      </c>
      <c r="AZ90" s="126"/>
      <c r="BA90" s="126"/>
      <c r="BB90" s="126"/>
      <c r="BC90" s="126"/>
      <c r="BD90" s="126"/>
      <c r="BE90" s="126">
        <f t="shared" si="7"/>
        <v>40.4</v>
      </c>
      <c r="BF90" s="126"/>
      <c r="BG90" s="126"/>
      <c r="BH90" s="126"/>
      <c r="BI90" s="126"/>
      <c r="BJ90" s="126"/>
      <c r="BK90" s="126"/>
      <c r="BL90" s="126"/>
      <c r="BM90" s="117"/>
      <c r="BN90" s="126"/>
      <c r="BO90" s="126"/>
      <c r="BP90" s="126">
        <f t="shared" si="8"/>
        <v>40.4</v>
      </c>
      <c r="BQ90" s="126"/>
      <c r="BR90" s="126"/>
      <c r="BS90" s="126"/>
      <c r="BT90" s="126"/>
      <c r="BU90" s="126"/>
      <c r="BV90" s="126"/>
      <c r="BW90" s="126"/>
      <c r="BX90" s="126"/>
      <c r="BY90" s="126"/>
      <c r="BZ90" s="126"/>
      <c r="CA90" s="126">
        <f t="shared" si="9"/>
        <v>40.4</v>
      </c>
      <c r="CB90" s="119"/>
      <c r="CC90" s="126"/>
      <c r="CD90" s="120" t="e">
        <v>#N/A</v>
      </c>
      <c r="CE90" s="120" t="e">
        <v>#N/A</v>
      </c>
      <c r="CF90" s="120" t="e">
        <v>#N/A</v>
      </c>
      <c r="CG90" s="111"/>
      <c r="CH90" s="120"/>
      <c r="CI90" s="120"/>
      <c r="CJ90" s="111"/>
      <c r="CK90" s="132"/>
    </row>
    <row r="91" spans="1:89" ht="101.45">
      <c r="A91" s="147" t="s">
        <v>316</v>
      </c>
      <c r="B91" s="49">
        <v>0</v>
      </c>
      <c r="C91" s="49">
        <v>0</v>
      </c>
      <c r="D91" s="107">
        <v>0</v>
      </c>
      <c r="E91" s="108"/>
      <c r="F91" s="108"/>
      <c r="G91" s="121"/>
      <c r="H91" s="151">
        <v>13153843</v>
      </c>
      <c r="I91" s="109">
        <f>Tracker[[#This Row],[DCR ID - PTC]]</f>
        <v>13153843</v>
      </c>
      <c r="J91" s="107" t="s">
        <v>336</v>
      </c>
      <c r="K91" s="108"/>
      <c r="L91" s="108" t="s">
        <v>337</v>
      </c>
      <c r="M91" s="108"/>
      <c r="N91" s="580"/>
      <c r="O91" s="111"/>
      <c r="P91" s="116"/>
      <c r="Q91" s="108"/>
      <c r="R91" s="108"/>
      <c r="S91" s="108"/>
      <c r="T91" s="111"/>
      <c r="U91" s="111"/>
      <c r="V91" s="111"/>
      <c r="W91" s="111"/>
      <c r="X91" s="108">
        <f t="shared" si="5"/>
        <v>40.4</v>
      </c>
      <c r="Y91" s="108"/>
      <c r="Z91" s="108"/>
      <c r="AA91" s="108" t="s">
        <v>338</v>
      </c>
      <c r="AB91" s="108"/>
      <c r="AC91" s="108" t="s">
        <v>337</v>
      </c>
      <c r="AD91" s="108" t="s">
        <v>116</v>
      </c>
      <c r="AE91" s="108"/>
      <c r="AF91" s="113"/>
      <c r="AG91" s="115"/>
      <c r="AH91" s="108" t="s">
        <v>109</v>
      </c>
      <c r="AI91" s="108" t="s">
        <v>95</v>
      </c>
      <c r="AJ91" s="108">
        <v>44195.895833333336</v>
      </c>
      <c r="AK91" s="108" t="s">
        <v>96</v>
      </c>
      <c r="AL91" s="115">
        <v>45336.827986111108</v>
      </c>
      <c r="AM91" s="108"/>
      <c r="AN91" s="108"/>
      <c r="AO91" s="139"/>
      <c r="AP91" s="108"/>
      <c r="AQ91" s="108"/>
      <c r="AR91" s="108"/>
      <c r="AS91" s="116"/>
      <c r="AT91" s="114">
        <f t="shared" si="6"/>
        <v>40.4</v>
      </c>
      <c r="AU91" s="114"/>
      <c r="AV91" s="108"/>
      <c r="AW91" s="108"/>
      <c r="AX91" s="108"/>
      <c r="AY91" s="108" t="s">
        <v>866</v>
      </c>
      <c r="AZ91" s="108"/>
      <c r="BA91" s="108"/>
      <c r="BB91" s="108"/>
      <c r="BC91" s="108"/>
      <c r="BD91" s="108"/>
      <c r="BE91" s="108">
        <f t="shared" si="7"/>
        <v>40.4</v>
      </c>
      <c r="BF91" s="108"/>
      <c r="BG91" s="108"/>
      <c r="BH91" s="108"/>
      <c r="BI91" s="108"/>
      <c r="BJ91" s="108"/>
      <c r="BK91" s="108"/>
      <c r="BL91" s="108"/>
      <c r="BM91" s="117"/>
      <c r="BN91" s="108"/>
      <c r="BO91" s="108"/>
      <c r="BP91" s="108">
        <f t="shared" si="8"/>
        <v>40.4</v>
      </c>
      <c r="BQ91" s="108"/>
      <c r="BR91" s="108"/>
      <c r="BS91" s="108"/>
      <c r="BT91" s="108"/>
      <c r="BU91" s="108"/>
      <c r="BV91" s="108"/>
      <c r="BW91" s="108"/>
      <c r="BX91" s="108"/>
      <c r="BY91" s="108"/>
      <c r="BZ91" s="108"/>
      <c r="CA91" s="108">
        <f t="shared" si="9"/>
        <v>40.4</v>
      </c>
      <c r="CB91" s="119"/>
      <c r="CC91" s="108"/>
      <c r="CD91" s="123" t="e">
        <v>#N/A</v>
      </c>
      <c r="CE91" s="123" t="e">
        <v>#N/A</v>
      </c>
      <c r="CF91" s="123" t="e">
        <v>#N/A</v>
      </c>
      <c r="CG91" s="108"/>
      <c r="CH91" s="120"/>
      <c r="CI91" s="123"/>
      <c r="CJ91" s="111"/>
      <c r="CK91" s="132"/>
    </row>
    <row r="92" spans="1:89" ht="101.45">
      <c r="A92" s="106" t="s">
        <v>316</v>
      </c>
      <c r="B92" s="107">
        <v>0</v>
      </c>
      <c r="C92" s="49">
        <v>0</v>
      </c>
      <c r="D92" s="107">
        <v>0</v>
      </c>
      <c r="E92" s="108"/>
      <c r="F92" s="108"/>
      <c r="G92" s="121"/>
      <c r="H92" s="151">
        <v>15756823</v>
      </c>
      <c r="I92" s="109">
        <f>Tracker[[#This Row],[DCR ID - PTC]]</f>
        <v>15756823</v>
      </c>
      <c r="J92" s="107" t="s">
        <v>357</v>
      </c>
      <c r="K92" s="108"/>
      <c r="L92" s="108" t="s">
        <v>358</v>
      </c>
      <c r="M92" s="108"/>
      <c r="N92" s="580"/>
      <c r="O92" s="111"/>
      <c r="P92" s="111"/>
      <c r="Q92" s="111"/>
      <c r="R92" s="111"/>
      <c r="S92" s="111"/>
      <c r="T92" s="111"/>
      <c r="U92" s="108"/>
      <c r="V92" s="108"/>
      <c r="W92" s="108"/>
      <c r="X92" s="108">
        <f t="shared" si="5"/>
        <v>40.4</v>
      </c>
      <c r="Y92" s="108"/>
      <c r="Z92" s="108"/>
      <c r="AA92" s="108"/>
      <c r="AB92" s="112"/>
      <c r="AC92" s="108" t="s">
        <v>358</v>
      </c>
      <c r="AD92" s="108" t="s">
        <v>93</v>
      </c>
      <c r="AE92" s="107"/>
      <c r="AF92" s="113"/>
      <c r="AG92" s="115"/>
      <c r="AH92" s="108" t="s">
        <v>109</v>
      </c>
      <c r="AI92" s="108" t="s">
        <v>95</v>
      </c>
      <c r="AJ92" s="114">
        <v>45709.395833333336</v>
      </c>
      <c r="AK92" s="108" t="s">
        <v>96</v>
      </c>
      <c r="AL92" s="115">
        <v>45702.420092592591</v>
      </c>
      <c r="AM92" s="116"/>
      <c r="AN92" s="116"/>
      <c r="AO92" s="139"/>
      <c r="AP92" s="108"/>
      <c r="AQ92" s="107"/>
      <c r="AR92" s="107"/>
      <c r="AS92" s="116"/>
      <c r="AT92" s="118">
        <f t="shared" si="6"/>
        <v>40.4</v>
      </c>
      <c r="AU92" s="111"/>
      <c r="AV92" s="108"/>
      <c r="AW92" s="108"/>
      <c r="AX92" s="108"/>
      <c r="AY92" s="108" t="s">
        <v>866</v>
      </c>
      <c r="AZ92" s="108"/>
      <c r="BA92" s="108"/>
      <c r="BB92" s="108"/>
      <c r="BC92" s="108"/>
      <c r="BD92" s="111"/>
      <c r="BE92" s="111">
        <f t="shared" si="7"/>
        <v>40.4</v>
      </c>
      <c r="BF92" s="111"/>
      <c r="BG92" s="111"/>
      <c r="BH92" s="111"/>
      <c r="BI92" s="111"/>
      <c r="BJ92" s="111"/>
      <c r="BK92" s="111"/>
      <c r="BL92" s="111"/>
      <c r="BM92" s="117"/>
      <c r="BN92" s="111"/>
      <c r="BO92" s="117"/>
      <c r="BP92" s="117">
        <f t="shared" si="8"/>
        <v>40.4</v>
      </c>
      <c r="BQ92" s="117"/>
      <c r="BR92" s="111"/>
      <c r="BS92" s="118"/>
      <c r="BT92" s="111"/>
      <c r="BU92" s="118"/>
      <c r="BV92" s="111"/>
      <c r="BW92" s="111"/>
      <c r="BX92" s="111"/>
      <c r="BY92" s="111"/>
      <c r="BZ92" s="111"/>
      <c r="CA92" s="111">
        <f t="shared" si="9"/>
        <v>40.4</v>
      </c>
      <c r="CB92" s="119"/>
      <c r="CC92" s="117"/>
      <c r="CD92" s="120" t="e">
        <v>#N/A</v>
      </c>
      <c r="CE92" s="120" t="e">
        <v>#N/A</v>
      </c>
      <c r="CF92" s="120" t="e">
        <v>#N/A</v>
      </c>
      <c r="CG92" s="111"/>
      <c r="CH92" s="120"/>
      <c r="CI92" s="120"/>
      <c r="CJ92" s="111"/>
      <c r="CK92" s="132"/>
    </row>
    <row r="93" spans="1:89" ht="43.5">
      <c r="A93" s="267" t="s">
        <v>316</v>
      </c>
      <c r="B93" s="107">
        <v>0</v>
      </c>
      <c r="C93" s="49">
        <v>0</v>
      </c>
      <c r="D93" s="107">
        <v>0</v>
      </c>
      <c r="E93" s="108"/>
      <c r="F93" s="108"/>
      <c r="G93" s="121"/>
      <c r="H93" s="151">
        <v>12933353</v>
      </c>
      <c r="I93" s="109">
        <f>Tracker[[#This Row],[DCR ID - PTC]]</f>
        <v>12933353</v>
      </c>
      <c r="J93" s="107" t="s">
        <v>329</v>
      </c>
      <c r="K93" s="108"/>
      <c r="L93" s="108" t="s">
        <v>330</v>
      </c>
      <c r="M93" s="108"/>
      <c r="N93" s="581"/>
      <c r="O93" s="111"/>
      <c r="P93" s="111"/>
      <c r="Q93" s="111"/>
      <c r="R93" s="111"/>
      <c r="S93" s="111"/>
      <c r="T93" s="111"/>
      <c r="U93" s="108"/>
      <c r="V93" s="108"/>
      <c r="W93" s="108"/>
      <c r="X93" s="108">
        <f t="shared" si="5"/>
        <v>40.4</v>
      </c>
      <c r="Y93" s="108"/>
      <c r="Z93" s="108"/>
      <c r="AA93" s="108"/>
      <c r="AB93" s="112"/>
      <c r="AC93" s="108" t="s">
        <v>330</v>
      </c>
      <c r="AD93" s="108" t="s">
        <v>93</v>
      </c>
      <c r="AE93" s="107"/>
      <c r="AF93" s="113"/>
      <c r="AG93" s="115"/>
      <c r="AH93" s="108" t="s">
        <v>109</v>
      </c>
      <c r="AI93" s="108" t="s">
        <v>95</v>
      </c>
      <c r="AJ93" s="114">
        <v>45322.4375</v>
      </c>
      <c r="AK93" s="108" t="s">
        <v>96</v>
      </c>
      <c r="AL93" s="115">
        <v>45300.207743055558</v>
      </c>
      <c r="AM93" s="116"/>
      <c r="AN93" s="116"/>
      <c r="AO93" s="139"/>
      <c r="AP93" s="108"/>
      <c r="AQ93" s="107"/>
      <c r="AR93" s="107"/>
      <c r="AS93" s="116"/>
      <c r="AT93" s="114">
        <f t="shared" si="6"/>
        <v>40.4</v>
      </c>
      <c r="AU93" s="114"/>
      <c r="AV93" s="108"/>
      <c r="AW93" s="108"/>
      <c r="AX93" s="108"/>
      <c r="AY93" s="108" t="s">
        <v>866</v>
      </c>
      <c r="AZ93" s="108"/>
      <c r="BA93" s="108"/>
      <c r="BB93" s="108"/>
      <c r="BC93" s="108"/>
      <c r="BD93" s="111"/>
      <c r="BE93" s="111">
        <f t="shared" si="7"/>
        <v>40.4</v>
      </c>
      <c r="BF93" s="111"/>
      <c r="BG93" s="111"/>
      <c r="BH93" s="111"/>
      <c r="BI93" s="111"/>
      <c r="BJ93" s="111"/>
      <c r="BK93" s="111"/>
      <c r="BL93" s="111"/>
      <c r="BM93" s="117"/>
      <c r="BN93" s="111"/>
      <c r="BO93" s="117"/>
      <c r="BP93" s="117">
        <f t="shared" si="8"/>
        <v>40.4</v>
      </c>
      <c r="BQ93" s="117"/>
      <c r="BR93" s="111"/>
      <c r="BS93" s="118"/>
      <c r="BT93" s="111"/>
      <c r="BU93" s="118"/>
      <c r="BV93" s="111"/>
      <c r="BW93" s="111"/>
      <c r="BX93" s="111"/>
      <c r="BY93" s="111"/>
      <c r="BZ93" s="111"/>
      <c r="CA93" s="111">
        <f t="shared" si="9"/>
        <v>40.4</v>
      </c>
      <c r="CB93" s="119"/>
      <c r="CC93" s="117"/>
      <c r="CD93" s="120" t="e">
        <v>#N/A</v>
      </c>
      <c r="CE93" s="120" t="e">
        <v>#N/A</v>
      </c>
      <c r="CF93" s="120" t="e">
        <v>#N/A</v>
      </c>
      <c r="CG93" s="111"/>
      <c r="CH93" s="120"/>
      <c r="CI93" s="120"/>
      <c r="CJ93" s="111"/>
      <c r="CK93" s="132"/>
    </row>
    <row r="94" spans="1:89" ht="57.95">
      <c r="A94" s="267" t="s">
        <v>316</v>
      </c>
      <c r="B94" s="107">
        <v>0</v>
      </c>
      <c r="C94" s="49">
        <v>0</v>
      </c>
      <c r="D94" s="107">
        <f>Tracker[[#This Row],[Estimated Hrs]]-Tracker[[#This Row],[Actual Efforts (Hrs)]]</f>
        <v>0</v>
      </c>
      <c r="E94" s="108"/>
      <c r="F94" s="108"/>
      <c r="G94" s="121"/>
      <c r="H94" s="151">
        <v>13130251</v>
      </c>
      <c r="I94" s="109">
        <f>Tracker[[#This Row],[DCR ID - PTC]]</f>
        <v>13130251</v>
      </c>
      <c r="J94" s="107" t="s">
        <v>335</v>
      </c>
      <c r="K94" s="108"/>
      <c r="L94" s="108" t="s">
        <v>330</v>
      </c>
      <c r="M94" s="108"/>
      <c r="N94" s="581"/>
      <c r="O94" s="111"/>
      <c r="P94" s="111"/>
      <c r="Q94" s="111"/>
      <c r="R94" s="111"/>
      <c r="S94" s="111"/>
      <c r="T94" s="111"/>
      <c r="U94" s="108"/>
      <c r="V94" s="108"/>
      <c r="W94" s="108"/>
      <c r="X94" s="108">
        <f t="shared" si="5"/>
        <v>40.4</v>
      </c>
      <c r="Y94" s="108"/>
      <c r="Z94" s="108"/>
      <c r="AA94" s="108" t="s">
        <v>333</v>
      </c>
      <c r="AB94" s="112">
        <v>45427</v>
      </c>
      <c r="AC94" s="108" t="s">
        <v>330</v>
      </c>
      <c r="AD94" s="108" t="s">
        <v>146</v>
      </c>
      <c r="AE94" s="107"/>
      <c r="AF94" s="113"/>
      <c r="AG94" s="115">
        <v>45376.794317129628</v>
      </c>
      <c r="AH94" s="108" t="s">
        <v>100</v>
      </c>
      <c r="AI94" s="108" t="s">
        <v>95</v>
      </c>
      <c r="AJ94" s="114">
        <v>45412</v>
      </c>
      <c r="AK94" s="108" t="s">
        <v>96</v>
      </c>
      <c r="AL94" s="115">
        <v>45330.739189814813</v>
      </c>
      <c r="AM94" s="116"/>
      <c r="AN94" s="116"/>
      <c r="AO94" s="139"/>
      <c r="AP94" s="108"/>
      <c r="AQ94" s="107"/>
      <c r="AR94" s="107"/>
      <c r="AS94" s="116"/>
      <c r="AT94" s="114">
        <f t="shared" si="6"/>
        <v>40.4</v>
      </c>
      <c r="AU94" s="114"/>
      <c r="AV94" s="108"/>
      <c r="AW94" s="108"/>
      <c r="AX94" s="108"/>
      <c r="AY94" s="108" t="s">
        <v>866</v>
      </c>
      <c r="AZ94" s="108"/>
      <c r="BA94" s="108"/>
      <c r="BB94" s="108"/>
      <c r="BC94" s="108"/>
      <c r="BD94" s="111"/>
      <c r="BE94" s="111">
        <f t="shared" si="7"/>
        <v>40.4</v>
      </c>
      <c r="BF94" s="111"/>
      <c r="BG94" s="111"/>
      <c r="BH94" s="111"/>
      <c r="BI94" s="111"/>
      <c r="BJ94" s="111"/>
      <c r="BK94" s="111"/>
      <c r="BL94" s="111"/>
      <c r="BM94" s="117"/>
      <c r="BN94" s="111"/>
      <c r="BO94" s="117"/>
      <c r="BP94" s="117">
        <f t="shared" si="8"/>
        <v>40.4</v>
      </c>
      <c r="BQ94" s="117"/>
      <c r="BR94" s="111"/>
      <c r="BS94" s="118"/>
      <c r="BT94" s="111"/>
      <c r="BU94" s="118"/>
      <c r="BV94" s="111"/>
      <c r="BW94" s="111"/>
      <c r="BX94" s="111"/>
      <c r="BY94" s="111"/>
      <c r="BZ94" s="111"/>
      <c r="CA94" s="111">
        <f t="shared" si="9"/>
        <v>40.4</v>
      </c>
      <c r="CB94" s="119"/>
      <c r="CC94" s="117"/>
      <c r="CD94" s="120" t="e">
        <v>#N/A</v>
      </c>
      <c r="CE94" s="120" t="e">
        <v>#N/A</v>
      </c>
      <c r="CF94" s="120" t="e">
        <v>#N/A</v>
      </c>
      <c r="CG94" s="111"/>
      <c r="CH94" s="120"/>
      <c r="CI94" s="123"/>
      <c r="CJ94" s="111"/>
      <c r="CK94" s="132"/>
    </row>
    <row r="95" spans="1:89" ht="57.95">
      <c r="A95" s="106" t="s">
        <v>316</v>
      </c>
      <c r="B95" s="107">
        <v>0</v>
      </c>
      <c r="C95" s="49">
        <v>0</v>
      </c>
      <c r="D95" s="107">
        <f>Tracker[[#This Row],[Estimated Hrs]]-Tracker[[#This Row],[Actual Efforts (Hrs)]]</f>
        <v>0</v>
      </c>
      <c r="E95" s="108"/>
      <c r="F95" s="108"/>
      <c r="G95" s="121"/>
      <c r="H95" s="151">
        <v>13129138</v>
      </c>
      <c r="I95" s="109">
        <f>Tracker[[#This Row],[DCR ID - PTC]]</f>
        <v>13129138</v>
      </c>
      <c r="J95" s="108" t="s">
        <v>331</v>
      </c>
      <c r="K95" s="108"/>
      <c r="L95" s="108" t="s">
        <v>332</v>
      </c>
      <c r="M95" s="108"/>
      <c r="N95" s="580"/>
      <c r="O95" s="111"/>
      <c r="P95" s="111"/>
      <c r="Q95" s="111"/>
      <c r="R95" s="111"/>
      <c r="S95" s="111"/>
      <c r="T95" s="111"/>
      <c r="U95" s="108"/>
      <c r="V95" s="108"/>
      <c r="W95" s="108"/>
      <c r="X95" s="108">
        <f t="shared" si="5"/>
        <v>40.4</v>
      </c>
      <c r="Y95" s="108"/>
      <c r="Z95" s="108"/>
      <c r="AA95" s="108" t="s">
        <v>333</v>
      </c>
      <c r="AB95" s="112">
        <v>45411</v>
      </c>
      <c r="AC95" s="108" t="s">
        <v>332</v>
      </c>
      <c r="AD95" s="108" t="s">
        <v>146</v>
      </c>
      <c r="AE95" s="107"/>
      <c r="AF95" s="113"/>
      <c r="AG95" s="115">
        <v>45373.802615740744</v>
      </c>
      <c r="AH95" s="108" t="s">
        <v>100</v>
      </c>
      <c r="AI95" s="108" t="s">
        <v>95</v>
      </c>
      <c r="AJ95" s="114">
        <v>45412</v>
      </c>
      <c r="AK95" s="108" t="s">
        <v>96</v>
      </c>
      <c r="AL95" s="115">
        <v>45330.634675925925</v>
      </c>
      <c r="AM95" s="116"/>
      <c r="AN95" s="116"/>
      <c r="AO95" s="139"/>
      <c r="AP95" s="108"/>
      <c r="AQ95" s="107"/>
      <c r="AR95" s="107"/>
      <c r="AS95" s="116"/>
      <c r="AT95" s="114">
        <f t="shared" si="6"/>
        <v>40.4</v>
      </c>
      <c r="AU95" s="114"/>
      <c r="AV95" s="108"/>
      <c r="AW95" s="108"/>
      <c r="AX95" s="108"/>
      <c r="AY95" s="108" t="s">
        <v>866</v>
      </c>
      <c r="AZ95" s="108"/>
      <c r="BA95" s="108"/>
      <c r="BB95" s="108"/>
      <c r="BC95" s="108"/>
      <c r="BD95" s="111"/>
      <c r="BE95" s="111">
        <f t="shared" si="7"/>
        <v>40.4</v>
      </c>
      <c r="BF95" s="111"/>
      <c r="BG95" s="111"/>
      <c r="BH95" s="111"/>
      <c r="BI95" s="111"/>
      <c r="BJ95" s="111"/>
      <c r="BK95" s="111"/>
      <c r="BL95" s="111"/>
      <c r="BM95" s="117"/>
      <c r="BN95" s="111"/>
      <c r="BO95" s="117"/>
      <c r="BP95" s="117">
        <f t="shared" si="8"/>
        <v>40.4</v>
      </c>
      <c r="BQ95" s="117"/>
      <c r="BR95" s="111"/>
      <c r="BS95" s="118"/>
      <c r="BT95" s="111"/>
      <c r="BU95" s="118"/>
      <c r="BV95" s="111"/>
      <c r="BW95" s="111"/>
      <c r="BX95" s="111"/>
      <c r="BY95" s="111"/>
      <c r="BZ95" s="111"/>
      <c r="CA95" s="111">
        <f t="shared" si="9"/>
        <v>40.4</v>
      </c>
      <c r="CB95" s="119"/>
      <c r="CC95" s="117"/>
      <c r="CD95" s="120" t="e">
        <v>#N/A</v>
      </c>
      <c r="CE95" s="120" t="e">
        <v>#N/A</v>
      </c>
      <c r="CF95" s="120" t="e">
        <v>#N/A</v>
      </c>
      <c r="CG95" s="111"/>
      <c r="CH95" s="120"/>
      <c r="CI95" s="120"/>
      <c r="CJ95" s="111"/>
      <c r="CK95" s="132"/>
    </row>
    <row r="96" spans="1:89" ht="57.95">
      <c r="A96" s="106" t="s">
        <v>316</v>
      </c>
      <c r="B96" s="107">
        <v>0</v>
      </c>
      <c r="C96" s="49">
        <v>0</v>
      </c>
      <c r="D96" s="107">
        <f>Tracker[[#This Row],[Estimated Hrs]]-Tracker[[#This Row],[Actual Efforts (Hrs)]]</f>
        <v>0</v>
      </c>
      <c r="E96" s="108"/>
      <c r="F96" s="108"/>
      <c r="G96" s="121"/>
      <c r="H96" s="151">
        <v>13129388</v>
      </c>
      <c r="I96" s="109">
        <f>Tracker[[#This Row],[DCR ID - PTC]]</f>
        <v>13129388</v>
      </c>
      <c r="J96" s="108" t="s">
        <v>334</v>
      </c>
      <c r="K96" s="108"/>
      <c r="L96" s="108" t="s">
        <v>332</v>
      </c>
      <c r="M96" s="108"/>
      <c r="N96" s="581"/>
      <c r="O96" s="111"/>
      <c r="P96" s="111"/>
      <c r="Q96" s="111"/>
      <c r="R96" s="111"/>
      <c r="S96" s="111"/>
      <c r="T96" s="111"/>
      <c r="U96" s="108"/>
      <c r="V96" s="108"/>
      <c r="W96" s="108"/>
      <c r="X96" s="108">
        <f t="shared" si="5"/>
        <v>40.4</v>
      </c>
      <c r="Y96" s="108"/>
      <c r="Z96" s="108"/>
      <c r="AA96" s="108" t="s">
        <v>333</v>
      </c>
      <c r="AB96" s="112">
        <v>45411</v>
      </c>
      <c r="AC96" s="108" t="s">
        <v>332</v>
      </c>
      <c r="AD96" s="108" t="s">
        <v>146</v>
      </c>
      <c r="AE96" s="107"/>
      <c r="AF96" s="113"/>
      <c r="AG96" s="115">
        <v>45373.803159722222</v>
      </c>
      <c r="AH96" s="108" t="s">
        <v>100</v>
      </c>
      <c r="AI96" s="108" t="s">
        <v>95</v>
      </c>
      <c r="AJ96" s="114">
        <v>45412</v>
      </c>
      <c r="AK96" s="108" t="s">
        <v>96</v>
      </c>
      <c r="AL96" s="115">
        <v>45330.668483796297</v>
      </c>
      <c r="AM96" s="116"/>
      <c r="AN96" s="116"/>
      <c r="AO96" s="139"/>
      <c r="AP96" s="108"/>
      <c r="AQ96" s="107"/>
      <c r="AR96" s="107"/>
      <c r="AS96" s="116"/>
      <c r="AT96" s="114">
        <f t="shared" si="6"/>
        <v>40.4</v>
      </c>
      <c r="AU96" s="114"/>
      <c r="AV96" s="108"/>
      <c r="AW96" s="108"/>
      <c r="AX96" s="108"/>
      <c r="AY96" s="108" t="s">
        <v>866</v>
      </c>
      <c r="AZ96" s="108"/>
      <c r="BA96" s="108"/>
      <c r="BB96" s="108"/>
      <c r="BC96" s="108"/>
      <c r="BD96" s="111"/>
      <c r="BE96" s="111">
        <f t="shared" si="7"/>
        <v>40.4</v>
      </c>
      <c r="BF96" s="111"/>
      <c r="BG96" s="111"/>
      <c r="BH96" s="111"/>
      <c r="BI96" s="111"/>
      <c r="BJ96" s="111"/>
      <c r="BK96" s="111"/>
      <c r="BL96" s="111"/>
      <c r="BM96" s="117"/>
      <c r="BN96" s="111"/>
      <c r="BO96" s="117"/>
      <c r="BP96" s="117">
        <f t="shared" si="8"/>
        <v>40.4</v>
      </c>
      <c r="BQ96" s="117"/>
      <c r="BR96" s="111"/>
      <c r="BS96" s="118"/>
      <c r="BT96" s="111"/>
      <c r="BU96" s="118"/>
      <c r="BV96" s="111"/>
      <c r="BW96" s="111"/>
      <c r="BX96" s="111"/>
      <c r="BY96" s="111"/>
      <c r="BZ96" s="111"/>
      <c r="CA96" s="111">
        <f t="shared" si="9"/>
        <v>40.4</v>
      </c>
      <c r="CB96" s="119"/>
      <c r="CC96" s="117"/>
      <c r="CD96" s="120" t="e">
        <v>#N/A</v>
      </c>
      <c r="CE96" s="120" t="e">
        <v>#N/A</v>
      </c>
      <c r="CF96" s="120" t="e">
        <v>#N/A</v>
      </c>
      <c r="CG96" s="111"/>
      <c r="CH96" s="120"/>
      <c r="CI96" s="120"/>
      <c r="CJ96" s="111"/>
      <c r="CK96" s="132"/>
    </row>
    <row r="97" spans="1:89" ht="72.599999999999994">
      <c r="A97" s="147" t="s">
        <v>316</v>
      </c>
      <c r="B97" s="49">
        <v>0</v>
      </c>
      <c r="C97" s="49">
        <v>0</v>
      </c>
      <c r="D97" s="49">
        <v>0</v>
      </c>
      <c r="E97" s="134"/>
      <c r="F97" s="134"/>
      <c r="G97" s="150"/>
      <c r="H97" s="154">
        <v>12721478</v>
      </c>
      <c r="I97" s="109">
        <f>Tracker[[#This Row],[DCR ID - PTC]]</f>
        <v>12721478</v>
      </c>
      <c r="J97" s="134" t="s">
        <v>327</v>
      </c>
      <c r="K97" s="134"/>
      <c r="L97" s="134" t="s">
        <v>328</v>
      </c>
      <c r="M97" s="134"/>
      <c r="N97" s="580"/>
      <c r="O97" s="111"/>
      <c r="P97" s="123"/>
      <c r="Q97" s="123"/>
      <c r="R97" s="123"/>
      <c r="S97" s="123"/>
      <c r="T97" s="123"/>
      <c r="U97" s="134"/>
      <c r="V97" s="134"/>
      <c r="W97" s="134"/>
      <c r="X97" s="134">
        <f t="shared" si="5"/>
        <v>40.4</v>
      </c>
      <c r="Y97" s="134"/>
      <c r="Z97" s="134"/>
      <c r="AA97" s="134"/>
      <c r="AC97" s="134" t="s">
        <v>328</v>
      </c>
      <c r="AD97" s="134" t="s">
        <v>93</v>
      </c>
      <c r="AE97" s="49"/>
      <c r="AF97" s="136"/>
      <c r="AG97" s="137"/>
      <c r="AH97" s="134" t="s">
        <v>109</v>
      </c>
      <c r="AI97" s="134" t="s">
        <v>95</v>
      </c>
      <c r="AJ97" s="138">
        <v>44981</v>
      </c>
      <c r="AK97" s="134" t="s">
        <v>96</v>
      </c>
      <c r="AL97" s="137">
        <v>45259.825104166666</v>
      </c>
      <c r="AM97" s="139"/>
      <c r="AN97" s="139"/>
      <c r="AO97" s="139"/>
      <c r="AP97" s="134"/>
      <c r="AQ97" s="49"/>
      <c r="AR97" s="49"/>
      <c r="AS97" s="139"/>
      <c r="AT97" s="138">
        <f t="shared" si="6"/>
        <v>40.4</v>
      </c>
      <c r="AU97" s="138"/>
      <c r="AV97" s="134"/>
      <c r="AW97" s="134"/>
      <c r="AX97" s="108"/>
      <c r="AY97" s="108" t="s">
        <v>866</v>
      </c>
      <c r="AZ97" s="134"/>
      <c r="BA97" s="134"/>
      <c r="BB97" s="134"/>
      <c r="BC97" s="134"/>
      <c r="BD97" s="123"/>
      <c r="BE97" s="123">
        <f t="shared" si="7"/>
        <v>40.4</v>
      </c>
      <c r="BF97" s="123"/>
      <c r="BG97" s="123"/>
      <c r="BH97" s="123"/>
      <c r="BI97" s="123"/>
      <c r="BJ97" s="123"/>
      <c r="BK97" s="123"/>
      <c r="BL97" s="123"/>
      <c r="BM97" s="117"/>
      <c r="BN97" s="123"/>
      <c r="BO97" s="140"/>
      <c r="BP97" s="140">
        <f t="shared" si="8"/>
        <v>40.4</v>
      </c>
      <c r="BQ97" s="140"/>
      <c r="BR97" s="123"/>
      <c r="BS97" s="141"/>
      <c r="BT97" s="123"/>
      <c r="BU97" s="141"/>
      <c r="BV97" s="123"/>
      <c r="BW97" s="123"/>
      <c r="BX97" s="123"/>
      <c r="BY97" s="123"/>
      <c r="BZ97" s="123"/>
      <c r="CA97" s="123">
        <f t="shared" si="9"/>
        <v>40.4</v>
      </c>
      <c r="CB97" s="143"/>
      <c r="CC97" s="140"/>
      <c r="CD97" s="120" t="e">
        <v>#N/A</v>
      </c>
      <c r="CE97" s="120" t="e">
        <v>#N/A</v>
      </c>
      <c r="CF97" s="120" t="e">
        <v>#N/A</v>
      </c>
      <c r="CG97" s="123"/>
      <c r="CH97" s="120"/>
      <c r="CI97" s="120"/>
      <c r="CJ97" s="123"/>
      <c r="CK97" s="132"/>
    </row>
    <row r="98" spans="1:89" ht="43.5">
      <c r="A98" s="147" t="s">
        <v>316</v>
      </c>
      <c r="B98" s="49">
        <v>70</v>
      </c>
      <c r="C98" s="49">
        <v>0</v>
      </c>
      <c r="D98" s="107">
        <f>Tracker[[#This Row],[Estimated Hrs]]-Tracker[[#This Row],[Actual Efforts (Hrs)]]</f>
        <v>-70</v>
      </c>
      <c r="E98" s="134"/>
      <c r="F98" s="146" t="s">
        <v>89</v>
      </c>
      <c r="G98" s="150"/>
      <c r="H98" s="354">
        <v>17311990</v>
      </c>
      <c r="I98" s="109">
        <f>Tracker[[#This Row],[DCR ID - PTC]]</f>
        <v>17311990</v>
      </c>
      <c r="J98" s="309" t="s">
        <v>363</v>
      </c>
      <c r="K98" s="134"/>
      <c r="L98" s="134" t="s">
        <v>131</v>
      </c>
      <c r="M98" s="298"/>
      <c r="N98" s="580"/>
      <c r="O98" s="123"/>
      <c r="P98" s="123"/>
      <c r="Q98" s="123"/>
      <c r="R98" s="123"/>
      <c r="S98" s="123"/>
      <c r="T98" s="123"/>
      <c r="U98" s="134"/>
      <c r="V98" s="134"/>
      <c r="W98" s="134"/>
      <c r="X98" s="134">
        <f t="shared" si="5"/>
        <v>40.4</v>
      </c>
      <c r="Y98" s="134"/>
      <c r="Z98" s="134"/>
      <c r="AA98" s="134" t="s">
        <v>174</v>
      </c>
      <c r="AC98" s="134" t="s">
        <v>131</v>
      </c>
      <c r="AD98" s="134" t="s">
        <v>93</v>
      </c>
      <c r="AE98" s="49"/>
      <c r="AF98" s="136"/>
      <c r="AG98" s="137">
        <v>45896.696064814816</v>
      </c>
      <c r="AH98" s="134" t="s">
        <v>254</v>
      </c>
      <c r="AI98" s="134" t="s">
        <v>95</v>
      </c>
      <c r="AJ98" s="138">
        <v>45947.395833333336</v>
      </c>
      <c r="AK98" s="134" t="s">
        <v>96</v>
      </c>
      <c r="AL98" s="137">
        <v>45889.42328703704</v>
      </c>
      <c r="AM98" s="139"/>
      <c r="AN98" s="139"/>
      <c r="AO98" s="139"/>
      <c r="AP98" s="134"/>
      <c r="AQ98" s="49"/>
      <c r="AR98" s="49"/>
      <c r="AS98" s="139"/>
      <c r="AT98" s="138">
        <f t="shared" si="6"/>
        <v>40.4</v>
      </c>
      <c r="AU98" s="138"/>
      <c r="AV98" s="134"/>
      <c r="AW98" s="134"/>
      <c r="AX98" s="108"/>
      <c r="AY98" s="108" t="s">
        <v>866</v>
      </c>
      <c r="AZ98" s="134"/>
      <c r="BA98" s="134"/>
      <c r="BB98" s="134"/>
      <c r="BC98" s="134"/>
      <c r="BD98" s="123"/>
      <c r="BE98" s="123">
        <f t="shared" si="7"/>
        <v>40.4</v>
      </c>
      <c r="BF98" s="123"/>
      <c r="BG98" s="123"/>
      <c r="BH98" s="123"/>
      <c r="BI98" s="123"/>
      <c r="BJ98" s="123"/>
      <c r="BK98" s="123"/>
      <c r="BL98" s="123"/>
      <c r="BM98" s="117"/>
      <c r="BN98" s="123"/>
      <c r="BO98" s="140"/>
      <c r="BP98" s="140">
        <f t="shared" si="8"/>
        <v>40.4</v>
      </c>
      <c r="BQ98" s="140"/>
      <c r="BR98" s="123"/>
      <c r="BS98" s="141"/>
      <c r="BT98" s="123"/>
      <c r="BU98" s="141"/>
      <c r="BV98" s="123"/>
      <c r="BW98" s="123"/>
      <c r="BX98" s="123"/>
      <c r="BY98" s="123"/>
      <c r="BZ98" s="123"/>
      <c r="CA98" s="123">
        <f t="shared" si="9"/>
        <v>40.4</v>
      </c>
      <c r="CB98" s="143"/>
      <c r="CC98" s="140"/>
      <c r="CD98" s="123" t="e">
        <v>#N/A</v>
      </c>
      <c r="CE98" s="123" t="e">
        <v>#N/A</v>
      </c>
      <c r="CF98" s="123" t="e">
        <v>#N/A</v>
      </c>
      <c r="CG98" s="123"/>
      <c r="CH98" s="120"/>
      <c r="CI98" s="123"/>
      <c r="CJ98" s="123"/>
      <c r="CK98" s="132"/>
    </row>
    <row r="99" spans="1:89" ht="43.5">
      <c r="A99" s="147" t="s">
        <v>316</v>
      </c>
      <c r="B99" s="49">
        <v>123</v>
      </c>
      <c r="C99" s="49">
        <v>0</v>
      </c>
      <c r="D99" s="49">
        <v>0</v>
      </c>
      <c r="E99" s="134"/>
      <c r="F99" s="134" t="s">
        <v>89</v>
      </c>
      <c r="G99" s="150"/>
      <c r="H99" s="271">
        <v>16070941</v>
      </c>
      <c r="I99" s="109">
        <f>Tracker[[#This Row],[DCR ID - PTC]]</f>
        <v>16070941</v>
      </c>
      <c r="J99" s="49" t="s">
        <v>199</v>
      </c>
      <c r="K99" s="134"/>
      <c r="L99" s="134" t="s">
        <v>131</v>
      </c>
      <c r="M99" s="134"/>
      <c r="N99" s="580"/>
      <c r="O99" s="123"/>
      <c r="P99" s="123"/>
      <c r="Q99" s="123"/>
      <c r="R99" s="123"/>
      <c r="S99" s="123"/>
      <c r="T99" s="123"/>
      <c r="U99" s="134"/>
      <c r="V99" s="134"/>
      <c r="W99" s="134"/>
      <c r="X99" s="134">
        <f t="shared" si="5"/>
        <v>40.4</v>
      </c>
      <c r="Y99" s="134"/>
      <c r="Z99" s="134"/>
      <c r="AA99" s="134" t="s">
        <v>92</v>
      </c>
      <c r="AB99" s="29">
        <v>45992</v>
      </c>
      <c r="AC99" s="134" t="s">
        <v>131</v>
      </c>
      <c r="AD99" s="134" t="s">
        <v>93</v>
      </c>
      <c r="AE99" s="49"/>
      <c r="AF99" s="136"/>
      <c r="AG99" s="137">
        <v>45882.915555555555</v>
      </c>
      <c r="AH99" s="134" t="s">
        <v>94</v>
      </c>
      <c r="AI99" s="134" t="s">
        <v>95</v>
      </c>
      <c r="AJ99" s="138">
        <v>45994.4375</v>
      </c>
      <c r="AK99" s="134" t="s">
        <v>96</v>
      </c>
      <c r="AL99" s="137">
        <v>45743.853229166663</v>
      </c>
      <c r="AM99" s="139"/>
      <c r="AN99" s="139"/>
      <c r="AO99" s="139"/>
      <c r="AP99" s="134"/>
      <c r="AQ99" s="49"/>
      <c r="AR99" s="49"/>
      <c r="AS99" s="139"/>
      <c r="AT99" s="138">
        <f t="shared" si="6"/>
        <v>40.4</v>
      </c>
      <c r="AU99" s="138"/>
      <c r="AV99" s="134"/>
      <c r="AW99" s="134"/>
      <c r="AX99" s="108"/>
      <c r="AY99" s="108" t="s">
        <v>866</v>
      </c>
      <c r="AZ99" s="134"/>
      <c r="BA99" s="134"/>
      <c r="BB99" s="134"/>
      <c r="BC99" s="134"/>
      <c r="BD99" s="123"/>
      <c r="BE99" s="123">
        <f t="shared" si="7"/>
        <v>40.4</v>
      </c>
      <c r="BF99" s="123"/>
      <c r="BG99" s="123"/>
      <c r="BH99" s="123"/>
      <c r="BI99" s="123"/>
      <c r="BJ99" s="123"/>
      <c r="BK99" s="123"/>
      <c r="BL99" s="123"/>
      <c r="BM99" s="117"/>
      <c r="BN99" s="123"/>
      <c r="BO99" s="140"/>
      <c r="BP99" s="140">
        <f t="shared" si="8"/>
        <v>40.4</v>
      </c>
      <c r="BQ99" s="140"/>
      <c r="BR99" s="123"/>
      <c r="BS99" s="141"/>
      <c r="BT99" s="123"/>
      <c r="BU99" s="141"/>
      <c r="BV99" s="123"/>
      <c r="BW99" s="123"/>
      <c r="BX99" s="123"/>
      <c r="BY99" s="123"/>
      <c r="BZ99" s="123"/>
      <c r="CA99" s="123">
        <f t="shared" si="9"/>
        <v>40.4</v>
      </c>
      <c r="CB99" s="119"/>
      <c r="CC99" s="140"/>
      <c r="CD99" s="120" t="e">
        <v>#N/A</v>
      </c>
      <c r="CE99" s="120" t="e">
        <v>#N/A</v>
      </c>
      <c r="CF99" s="120" t="e">
        <v>#N/A</v>
      </c>
      <c r="CG99" s="123"/>
      <c r="CH99" s="120"/>
      <c r="CI99" s="120"/>
      <c r="CJ99" s="123"/>
      <c r="CK99" s="132"/>
    </row>
    <row r="100" spans="1:89" ht="409.6">
      <c r="A100" s="147" t="s">
        <v>171</v>
      </c>
      <c r="B100" s="49">
        <f>7.75+7.75+7.75+7.75+4.5+7.5+7.5+6.5+7+2.5+3+7+6</f>
        <v>82.5</v>
      </c>
      <c r="C100" s="49">
        <f>100</f>
        <v>100</v>
      </c>
      <c r="D100" s="107">
        <f>Tracker[[#This Row],[Estimated Hrs]]-Tracker[[#This Row],[Actual Efforts (Hrs)]]</f>
        <v>17.5</v>
      </c>
      <c r="E100" s="134"/>
      <c r="F100" s="134" t="s">
        <v>89</v>
      </c>
      <c r="G100" s="150"/>
      <c r="H100" s="271">
        <v>17270728</v>
      </c>
      <c r="I100" s="109">
        <f>Tracker[[#This Row],[DCR ID - PTC]]</f>
        <v>17270728</v>
      </c>
      <c r="J100" s="49" t="s">
        <v>362</v>
      </c>
      <c r="K100" s="134" t="s">
        <v>101</v>
      </c>
      <c r="L100" s="134" t="s">
        <v>131</v>
      </c>
      <c r="M100" s="134"/>
      <c r="N100" s="640" t="s">
        <v>932</v>
      </c>
      <c r="O100" s="123" t="s">
        <v>115</v>
      </c>
      <c r="P100" s="123"/>
      <c r="Q100" s="123"/>
      <c r="R100" s="123"/>
      <c r="S100" s="123"/>
      <c r="T100" s="123"/>
      <c r="U100" s="134"/>
      <c r="V100" s="134"/>
      <c r="W100" s="134"/>
      <c r="X100" s="134">
        <f t="shared" si="5"/>
        <v>40.4</v>
      </c>
      <c r="Y100" s="134"/>
      <c r="Z100" s="134"/>
      <c r="AA100" s="134" t="s">
        <v>174</v>
      </c>
      <c r="AC100" s="134" t="s">
        <v>131</v>
      </c>
      <c r="AD100" s="134" t="s">
        <v>93</v>
      </c>
      <c r="AE100" s="49"/>
      <c r="AF100" s="136"/>
      <c r="AG100" s="137">
        <v>45896.694675925923</v>
      </c>
      <c r="AH100" s="134" t="s">
        <v>254</v>
      </c>
      <c r="AI100" s="134" t="s">
        <v>95</v>
      </c>
      <c r="AJ100" s="138">
        <v>45947.395833333336</v>
      </c>
      <c r="AK100" s="134" t="s">
        <v>96</v>
      </c>
      <c r="AL100" s="137">
        <v>45882.576736111114</v>
      </c>
      <c r="AM100" s="139"/>
      <c r="AN100" s="139"/>
      <c r="AO100" s="139"/>
      <c r="AP100" s="134"/>
      <c r="AQ100" s="49"/>
      <c r="AR100" s="49"/>
      <c r="AS100" s="139"/>
      <c r="AT100" s="138">
        <f t="shared" si="6"/>
        <v>40.4</v>
      </c>
      <c r="AU100" s="138"/>
      <c r="AV100" s="134"/>
      <c r="AW100" s="134"/>
      <c r="AX100" s="108"/>
      <c r="AY100" s="108" t="s">
        <v>866</v>
      </c>
      <c r="AZ100" s="134"/>
      <c r="BA100" s="134"/>
      <c r="BB100" s="134"/>
      <c r="BC100" s="134"/>
      <c r="BD100" s="123"/>
      <c r="BE100" s="123">
        <f t="shared" si="7"/>
        <v>40.4</v>
      </c>
      <c r="BF100" s="123"/>
      <c r="BG100" s="123"/>
      <c r="BH100" s="123"/>
      <c r="BI100" s="123"/>
      <c r="BJ100" s="123"/>
      <c r="BK100" s="123"/>
      <c r="BL100" s="123"/>
      <c r="BM100" s="117"/>
      <c r="BN100" s="123"/>
      <c r="BO100" s="140"/>
      <c r="BP100" s="140">
        <f t="shared" si="8"/>
        <v>40.4</v>
      </c>
      <c r="BQ100" s="140"/>
      <c r="BR100" s="123"/>
      <c r="BS100" s="141"/>
      <c r="BT100" s="123"/>
      <c r="BU100" s="141"/>
      <c r="BV100" s="123"/>
      <c r="BW100" s="123"/>
      <c r="BX100" s="123"/>
      <c r="BY100" s="123"/>
      <c r="BZ100" s="123"/>
      <c r="CA100" s="123">
        <f t="shared" si="9"/>
        <v>40.4</v>
      </c>
      <c r="CB100" s="143"/>
      <c r="CC100" s="140"/>
      <c r="CD100" s="120">
        <v>0</v>
      </c>
      <c r="CE100" s="120">
        <v>0</v>
      </c>
      <c r="CF100" s="120">
        <v>0</v>
      </c>
      <c r="CG100" s="123"/>
      <c r="CH100" s="120"/>
      <c r="CI100" s="120"/>
      <c r="CJ100" s="123"/>
      <c r="CK100" s="132"/>
    </row>
    <row r="101" spans="1:89" ht="43.5">
      <c r="A101" s="147" t="s">
        <v>316</v>
      </c>
      <c r="B101" s="49">
        <v>0</v>
      </c>
      <c r="C101" s="49">
        <v>0</v>
      </c>
      <c r="D101" s="107">
        <f>Tracker[[#This Row],[Estimated Hrs]]-Tracker[[#This Row],[Actual Efforts (Hrs)]]</f>
        <v>0</v>
      </c>
      <c r="E101" s="134"/>
      <c r="F101" s="134" t="s">
        <v>89</v>
      </c>
      <c r="G101" s="150"/>
      <c r="H101" s="271">
        <v>16824279</v>
      </c>
      <c r="I101" s="109">
        <f>Tracker[[#This Row],[DCR ID - PTC]]</f>
        <v>16824279</v>
      </c>
      <c r="J101" s="49" t="s">
        <v>360</v>
      </c>
      <c r="K101" s="134"/>
      <c r="L101" s="134" t="s">
        <v>131</v>
      </c>
      <c r="M101" s="134"/>
      <c r="N101" s="580"/>
      <c r="O101" s="123"/>
      <c r="P101" s="123"/>
      <c r="Q101" s="123"/>
      <c r="R101" s="123"/>
      <c r="S101" s="123"/>
      <c r="T101" s="123"/>
      <c r="U101" s="134"/>
      <c r="V101" s="134"/>
      <c r="W101" s="134"/>
      <c r="X101" s="134">
        <f t="shared" si="5"/>
        <v>40.4</v>
      </c>
      <c r="Y101" s="134"/>
      <c r="Z101" s="134"/>
      <c r="AA101" s="134" t="s">
        <v>92</v>
      </c>
      <c r="AC101" s="134" t="s">
        <v>131</v>
      </c>
      <c r="AD101" s="134" t="s">
        <v>116</v>
      </c>
      <c r="AE101" s="49"/>
      <c r="AF101" s="136"/>
      <c r="AG101" s="137">
        <v>45947.004293981481</v>
      </c>
      <c r="AH101" s="134" t="s">
        <v>94</v>
      </c>
      <c r="AI101" s="134" t="s">
        <v>95</v>
      </c>
      <c r="AJ101" s="138">
        <v>45986.4375</v>
      </c>
      <c r="AK101" s="134" t="s">
        <v>96</v>
      </c>
      <c r="AL101" s="137">
        <v>45833.456608796296</v>
      </c>
      <c r="AM101" s="139"/>
      <c r="AN101" s="139"/>
      <c r="AO101" s="139"/>
      <c r="AP101" s="134"/>
      <c r="AQ101" s="49"/>
      <c r="AR101" s="49"/>
      <c r="AS101" s="139"/>
      <c r="AT101" s="138">
        <f t="shared" si="6"/>
        <v>40.4</v>
      </c>
      <c r="AU101" s="138"/>
      <c r="AV101" s="134"/>
      <c r="AW101" s="134"/>
      <c r="AX101" s="108"/>
      <c r="AY101" s="108" t="s">
        <v>866</v>
      </c>
      <c r="AZ101" s="134"/>
      <c r="BA101" s="134"/>
      <c r="BB101" s="134"/>
      <c r="BC101" s="134"/>
      <c r="BD101" s="123"/>
      <c r="BE101" s="123">
        <f t="shared" si="7"/>
        <v>40.4</v>
      </c>
      <c r="BF101" s="123"/>
      <c r="BG101" s="123"/>
      <c r="BH101" s="123"/>
      <c r="BI101" s="123"/>
      <c r="BJ101" s="123"/>
      <c r="BK101" s="123"/>
      <c r="BL101" s="123"/>
      <c r="BM101" s="117"/>
      <c r="BN101" s="123"/>
      <c r="BO101" s="140"/>
      <c r="BP101" s="140">
        <f t="shared" si="8"/>
        <v>40.4</v>
      </c>
      <c r="BQ101" s="140"/>
      <c r="BR101" s="123"/>
      <c r="BS101" s="141"/>
      <c r="BT101" s="123"/>
      <c r="BU101" s="141"/>
      <c r="BV101" s="123"/>
      <c r="BW101" s="123"/>
      <c r="BX101" s="123"/>
      <c r="BY101" s="123"/>
      <c r="BZ101" s="123"/>
      <c r="CA101" s="123">
        <f t="shared" si="9"/>
        <v>40.4</v>
      </c>
      <c r="CB101" s="143"/>
      <c r="CC101" s="140"/>
      <c r="CD101" s="123">
        <v>0</v>
      </c>
      <c r="CE101" s="123">
        <v>0</v>
      </c>
      <c r="CF101" s="123">
        <v>0</v>
      </c>
      <c r="CG101" s="123"/>
      <c r="CH101" s="120"/>
      <c r="CI101" s="123"/>
      <c r="CJ101" s="123"/>
      <c r="CK101" s="132"/>
    </row>
    <row r="102" spans="1:89" ht="43.5">
      <c r="A102" s="147" t="s">
        <v>897</v>
      </c>
      <c r="B102" s="49">
        <f>2.75</f>
        <v>2.75</v>
      </c>
      <c r="C102" s="49">
        <v>40</v>
      </c>
      <c r="D102" s="49">
        <f>Tracker[[#This Row],[Estimated Hrs]]-Tracker[[#This Row],[Actual Efforts (Hrs)]]</f>
        <v>37.25</v>
      </c>
      <c r="E102" s="134"/>
      <c r="F102" s="134" t="s">
        <v>127</v>
      </c>
      <c r="G102" s="150"/>
      <c r="H102" s="271">
        <v>17551019</v>
      </c>
      <c r="I102" s="109">
        <f>Tracker[[#This Row],[DCR ID - PTC]]</f>
        <v>17551019</v>
      </c>
      <c r="J102" s="134" t="s">
        <v>147</v>
      </c>
      <c r="K102" s="134" t="s">
        <v>101</v>
      </c>
      <c r="L102" s="134" t="s">
        <v>131</v>
      </c>
      <c r="M102" s="134"/>
      <c r="N102" s="580" t="s">
        <v>933</v>
      </c>
      <c r="O102" s="123"/>
      <c r="P102" s="123"/>
      <c r="Q102" s="123"/>
      <c r="R102" s="123"/>
      <c r="S102" s="123"/>
      <c r="T102" s="123"/>
      <c r="U102" s="134"/>
      <c r="V102" s="134"/>
      <c r="W102" s="134"/>
      <c r="X102" s="134">
        <f t="shared" si="5"/>
        <v>40.4</v>
      </c>
      <c r="Y102" s="134"/>
      <c r="Z102" s="134"/>
      <c r="AA102" s="134" t="s">
        <v>130</v>
      </c>
      <c r="AB102" s="29">
        <v>46000</v>
      </c>
      <c r="AC102" s="134" t="s">
        <v>131</v>
      </c>
      <c r="AD102" s="134" t="s">
        <v>93</v>
      </c>
      <c r="AE102" s="49"/>
      <c r="AF102" s="136"/>
      <c r="AG102" s="137">
        <v>46000.075856481482</v>
      </c>
      <c r="AH102" s="134" t="s">
        <v>94</v>
      </c>
      <c r="AI102" s="134" t="s">
        <v>95</v>
      </c>
      <c r="AJ102" s="138">
        <v>46034.4375</v>
      </c>
      <c r="AK102" s="134" t="s">
        <v>96</v>
      </c>
      <c r="AL102" s="137">
        <v>45924.504282407404</v>
      </c>
      <c r="AM102" s="139"/>
      <c r="AN102" s="139"/>
      <c r="AO102" s="139"/>
      <c r="AP102" s="134"/>
      <c r="AQ102" s="49"/>
      <c r="AR102" s="49"/>
      <c r="AS102" s="139"/>
      <c r="AT102" s="138">
        <f t="shared" si="6"/>
        <v>40.4</v>
      </c>
      <c r="AU102" s="138"/>
      <c r="AV102" s="134"/>
      <c r="AW102" s="134"/>
      <c r="AX102" s="108"/>
      <c r="AY102" s="108" t="s">
        <v>866</v>
      </c>
      <c r="AZ102" s="134"/>
      <c r="BA102" s="134"/>
      <c r="BB102" s="134"/>
      <c r="BC102" s="134"/>
      <c r="BD102" s="123"/>
      <c r="BE102" s="123">
        <f t="shared" si="7"/>
        <v>40.4</v>
      </c>
      <c r="BF102" s="123"/>
      <c r="BG102" s="123"/>
      <c r="BH102" s="123"/>
      <c r="BI102" s="123"/>
      <c r="BJ102" s="123"/>
      <c r="BK102" s="123"/>
      <c r="BL102" s="123"/>
      <c r="BM102" s="117"/>
      <c r="BN102" s="123"/>
      <c r="BO102" s="140"/>
      <c r="BP102" s="140">
        <f t="shared" si="8"/>
        <v>40.4</v>
      </c>
      <c r="BQ102" s="140"/>
      <c r="BR102" s="123"/>
      <c r="BS102" s="141"/>
      <c r="BT102" s="123"/>
      <c r="BU102" s="141"/>
      <c r="BV102" s="123"/>
      <c r="BW102" s="123"/>
      <c r="BX102" s="123"/>
      <c r="BY102" s="123"/>
      <c r="BZ102" s="123"/>
      <c r="CA102" s="123">
        <f t="shared" si="9"/>
        <v>40.4</v>
      </c>
      <c r="CB102" s="143"/>
      <c r="CC102" s="140"/>
      <c r="CD102" s="120" t="e">
        <v>#N/A</v>
      </c>
      <c r="CE102" s="120" t="e">
        <v>#N/A</v>
      </c>
      <c r="CF102" s="120" t="e">
        <v>#N/A</v>
      </c>
      <c r="CG102" s="123"/>
      <c r="CH102" s="120"/>
      <c r="CI102" s="120"/>
      <c r="CJ102" s="123"/>
      <c r="CK102" s="132"/>
    </row>
    <row r="103" spans="1:89" ht="43.5">
      <c r="A103" s="147" t="s">
        <v>171</v>
      </c>
      <c r="B103" s="49">
        <f>0</f>
        <v>0</v>
      </c>
      <c r="C103" s="49">
        <v>0</v>
      </c>
      <c r="D103" s="107">
        <f>Tracker[[#This Row],[Estimated Hrs]]-Tracker[[#This Row],[Actual Efforts (Hrs)]]</f>
        <v>0</v>
      </c>
      <c r="E103" s="134"/>
      <c r="F103" s="134" t="s">
        <v>136</v>
      </c>
      <c r="G103" s="150"/>
      <c r="H103" s="271">
        <v>18919143</v>
      </c>
      <c r="I103" s="109">
        <f>Tracker[[#This Row],[DCR ID - PTC]]</f>
        <v>18919143</v>
      </c>
      <c r="J103" s="134" t="s">
        <v>149</v>
      </c>
      <c r="K103" s="134" t="s">
        <v>101</v>
      </c>
      <c r="L103" s="134" t="s">
        <v>934</v>
      </c>
      <c r="M103" s="134"/>
      <c r="N103" s="580" t="s">
        <v>935</v>
      </c>
      <c r="O103" s="123" t="s">
        <v>115</v>
      </c>
      <c r="P103" s="123"/>
      <c r="Q103" s="123"/>
      <c r="R103" s="123"/>
      <c r="S103" s="123"/>
      <c r="T103" s="123"/>
      <c r="U103" s="134"/>
      <c r="V103" s="134"/>
      <c r="W103" s="134"/>
      <c r="X103" s="134">
        <f t="shared" si="5"/>
        <v>40.4</v>
      </c>
      <c r="Y103" s="134"/>
      <c r="Z103" s="134"/>
      <c r="AA103" s="134" t="s">
        <v>879</v>
      </c>
      <c r="AC103" s="134" t="s">
        <v>934</v>
      </c>
      <c r="AD103" s="134" t="s">
        <v>93</v>
      </c>
      <c r="AE103" s="49"/>
      <c r="AF103" s="136"/>
      <c r="AG103" s="137">
        <v>46080.006585648145</v>
      </c>
      <c r="AH103" s="134" t="s">
        <v>94</v>
      </c>
      <c r="AI103" s="134" t="s">
        <v>95</v>
      </c>
      <c r="AJ103" s="138">
        <v>46112</v>
      </c>
      <c r="AK103" s="134" t="s">
        <v>96</v>
      </c>
      <c r="AL103" s="137">
        <v>46078.486446759256</v>
      </c>
      <c r="AM103" s="139"/>
      <c r="AN103" s="139"/>
      <c r="AO103" s="139"/>
      <c r="AP103" s="134"/>
      <c r="AQ103" s="49"/>
      <c r="AR103" s="49"/>
      <c r="AS103" s="139"/>
      <c r="AT103" s="138">
        <f t="shared" si="6"/>
        <v>40.4</v>
      </c>
      <c r="AU103" s="138"/>
      <c r="AV103" s="134"/>
      <c r="AW103" s="134"/>
      <c r="AX103" s="108"/>
      <c r="AY103" s="108" t="s">
        <v>866</v>
      </c>
      <c r="AZ103" s="134"/>
      <c r="BA103" s="134"/>
      <c r="BB103" s="134"/>
      <c r="BC103" s="134"/>
      <c r="BD103" s="123"/>
      <c r="BE103" s="123">
        <f t="shared" si="7"/>
        <v>40.4</v>
      </c>
      <c r="BF103" s="123"/>
      <c r="BG103" s="123"/>
      <c r="BH103" s="123"/>
      <c r="BI103" s="123"/>
      <c r="BJ103" s="123"/>
      <c r="BK103" s="123"/>
      <c r="BL103" s="123"/>
      <c r="BM103" s="117"/>
      <c r="BN103" s="123"/>
      <c r="BO103" s="140"/>
      <c r="BP103" s="140">
        <f t="shared" si="8"/>
        <v>40.4</v>
      </c>
      <c r="BQ103" s="140"/>
      <c r="BR103" s="123"/>
      <c r="BS103" s="141"/>
      <c r="BT103" s="123"/>
      <c r="BU103" s="141"/>
      <c r="BV103" s="123"/>
      <c r="BW103" s="123"/>
      <c r="BX103" s="123"/>
      <c r="BY103" s="123"/>
      <c r="BZ103" s="123"/>
      <c r="CA103" s="123">
        <f t="shared" si="9"/>
        <v>40.4</v>
      </c>
      <c r="CB103" s="143"/>
      <c r="CC103" s="140"/>
      <c r="CD103" s="120">
        <v>0</v>
      </c>
      <c r="CE103" s="120">
        <v>0</v>
      </c>
      <c r="CF103" s="120">
        <v>0</v>
      </c>
      <c r="CG103" s="123"/>
      <c r="CH103" s="120"/>
      <c r="CI103" s="120"/>
      <c r="CJ103" s="123"/>
      <c r="CK103" s="132"/>
    </row>
    <row r="104" spans="1:89" ht="82.5">
      <c r="A104" s="106" t="s">
        <v>314</v>
      </c>
      <c r="B104" s="49"/>
      <c r="C104" s="49">
        <v>0</v>
      </c>
      <c r="D104" s="49">
        <v>0</v>
      </c>
      <c r="E104" s="134"/>
      <c r="F104" s="134" t="s">
        <v>136</v>
      </c>
      <c r="G104" s="134"/>
      <c r="H104" s="272">
        <v>18656113</v>
      </c>
      <c r="I104" s="109">
        <f>Tracker[[#This Row],[DCR ID - PTC]]</f>
        <v>18656113</v>
      </c>
      <c r="J104" s="362" t="s">
        <v>936</v>
      </c>
      <c r="K104" s="134" t="s">
        <v>101</v>
      </c>
      <c r="L104" s="134" t="s">
        <v>165</v>
      </c>
      <c r="M104" s="134"/>
      <c r="N104" s="580"/>
      <c r="O104" s="123" t="s">
        <v>122</v>
      </c>
      <c r="P104" s="139"/>
      <c r="Q104" s="134"/>
      <c r="R104" s="49"/>
      <c r="S104" s="49"/>
      <c r="T104" s="139"/>
      <c r="U104" s="138"/>
      <c r="V104" s="138"/>
      <c r="W104" s="134"/>
      <c r="X104" s="134">
        <f t="shared" si="5"/>
        <v>40.4</v>
      </c>
      <c r="Y104" s="134"/>
      <c r="Z104" s="134"/>
      <c r="AA104" s="134" t="s">
        <v>879</v>
      </c>
      <c r="AB104" s="134"/>
      <c r="AC104" s="134" t="s">
        <v>165</v>
      </c>
      <c r="AD104" s="134" t="s">
        <v>116</v>
      </c>
      <c r="AE104" s="123"/>
      <c r="AF104" s="123"/>
      <c r="AG104" s="350">
        <v>46119.168900462966</v>
      </c>
      <c r="AH104" s="123" t="s">
        <v>94</v>
      </c>
      <c r="AI104" s="123" t="s">
        <v>95</v>
      </c>
      <c r="AJ104" s="123">
        <v>46081</v>
      </c>
      <c r="AK104" s="123" t="s">
        <v>96</v>
      </c>
      <c r="AL104" s="350">
        <v>46056.709398148145</v>
      </c>
      <c r="AM104" s="123"/>
      <c r="AN104" s="140"/>
      <c r="AO104" s="139"/>
      <c r="AP104" s="140"/>
      <c r="AQ104" s="140"/>
      <c r="AR104" s="140"/>
      <c r="AS104" s="111"/>
      <c r="AT104" s="141">
        <f t="shared" si="6"/>
        <v>40.4</v>
      </c>
      <c r="AU104" s="123"/>
      <c r="AV104" s="141"/>
      <c r="AW104" s="123"/>
      <c r="AX104" s="108"/>
      <c r="AY104" s="108" t="s">
        <v>866</v>
      </c>
      <c r="AZ104" s="123"/>
      <c r="BA104" s="123"/>
      <c r="BB104" s="123"/>
      <c r="BC104" s="143"/>
      <c r="BD104" s="140"/>
      <c r="BE104" s="22">
        <f t="shared" si="7"/>
        <v>40.4</v>
      </c>
      <c r="BF104" s="22"/>
      <c r="BG104" s="22"/>
      <c r="BH104" s="22"/>
      <c r="BI104" s="22"/>
      <c r="BJ104" s="22"/>
      <c r="BK104" s="22"/>
      <c r="BL104" s="22"/>
      <c r="BM104" s="117"/>
      <c r="BO104" s="22"/>
      <c r="BP104" s="22">
        <f t="shared" si="8"/>
        <v>40.4</v>
      </c>
      <c r="BQ104" s="22"/>
      <c r="BS104" s="22"/>
      <c r="BU104" s="22"/>
      <c r="CA104" s="22">
        <f t="shared" si="9"/>
        <v>40.4</v>
      </c>
      <c r="CB104" s="143"/>
      <c r="CC104" s="22"/>
      <c r="CD104" s="120" t="e">
        <v>#N/A</v>
      </c>
      <c r="CE104" s="120" t="e">
        <v>#N/A</v>
      </c>
      <c r="CF104" s="120" t="e">
        <v>#N/A</v>
      </c>
      <c r="CG104" s="123"/>
      <c r="CH104" s="120"/>
      <c r="CI104" s="120"/>
      <c r="CJ104" s="123"/>
      <c r="CK104" s="132"/>
    </row>
    <row r="105" spans="1:89" ht="409.5">
      <c r="A105" s="106" t="s">
        <v>261</v>
      </c>
      <c r="B105" s="107">
        <f>2+4+2+1.5+0.5+0.5+0.5+2+0.25+0.5</f>
        <v>13.75</v>
      </c>
      <c r="C105" s="49">
        <v>15</v>
      </c>
      <c r="D105" s="107">
        <f>Tracker[[#This Row],[Estimated Hrs]]-Tracker[[#This Row],[Actual Efforts (Hrs)]]</f>
        <v>1.25</v>
      </c>
      <c r="E105" s="108"/>
      <c r="F105" s="108"/>
      <c r="G105" s="121"/>
      <c r="H105" s="151">
        <v>19340545</v>
      </c>
      <c r="I105" s="109">
        <f>Tracker[[#This Row],[DCR ID - PTC]]</f>
        <v>19340545</v>
      </c>
      <c r="J105" s="108" t="s">
        <v>937</v>
      </c>
      <c r="K105" s="108" t="s">
        <v>118</v>
      </c>
      <c r="L105" s="108"/>
      <c r="M105" s="108"/>
      <c r="N105" s="580" t="s">
        <v>938</v>
      </c>
      <c r="O105" s="111" t="s">
        <v>106</v>
      </c>
      <c r="P105" s="111"/>
      <c r="Q105" s="111"/>
      <c r="R105" s="111"/>
      <c r="S105" s="111"/>
      <c r="T105" s="111"/>
      <c r="U105" s="108"/>
      <c r="V105" s="108"/>
      <c r="W105" s="108"/>
      <c r="X105" s="108">
        <f t="shared" si="5"/>
        <v>40.4</v>
      </c>
      <c r="Y105" s="108"/>
      <c r="Z105" s="108"/>
      <c r="AA105" s="108"/>
      <c r="AB105" s="112"/>
      <c r="AC105" s="108"/>
      <c r="AD105" s="108" t="s">
        <v>146</v>
      </c>
      <c r="AE105" s="107"/>
      <c r="AF105" s="113"/>
      <c r="AG105" s="115"/>
      <c r="AH105" s="108" t="s">
        <v>109</v>
      </c>
      <c r="AI105" s="108" t="s">
        <v>95</v>
      </c>
      <c r="AJ105" s="114">
        <v>46203</v>
      </c>
      <c r="AK105" s="108" t="s">
        <v>96</v>
      </c>
      <c r="AL105" s="115">
        <v>46112.589895833335</v>
      </c>
      <c r="AM105" s="116"/>
      <c r="AN105" s="116"/>
      <c r="AO105" s="139"/>
      <c r="AP105" s="108"/>
      <c r="AQ105" s="107"/>
      <c r="AR105" s="107"/>
      <c r="AS105" s="116"/>
      <c r="AT105" s="114"/>
      <c r="AU105" s="114"/>
      <c r="AV105" s="108"/>
      <c r="AW105" s="108"/>
      <c r="AX105" s="108"/>
      <c r="AY105" s="108" t="s">
        <v>866</v>
      </c>
      <c r="AZ105" s="108"/>
      <c r="BA105" s="108"/>
      <c r="BB105" s="108"/>
      <c r="BC105" s="108"/>
      <c r="BD105" s="111"/>
      <c r="BE105" s="111">
        <f t="shared" si="7"/>
        <v>40.4</v>
      </c>
      <c r="BF105" s="111"/>
      <c r="BG105" s="111"/>
      <c r="BH105" s="111"/>
      <c r="BI105" s="111"/>
      <c r="BJ105" s="111"/>
      <c r="BK105" s="111"/>
      <c r="BL105" s="111"/>
      <c r="BM105" s="117"/>
      <c r="BN105" s="111"/>
      <c r="BO105" s="117"/>
      <c r="BP105" s="117">
        <f t="shared" si="8"/>
        <v>40.4</v>
      </c>
      <c r="BQ105" s="117"/>
      <c r="BR105" s="111"/>
      <c r="BS105" s="118"/>
      <c r="BT105" s="111"/>
      <c r="BU105" s="118"/>
      <c r="BV105" s="111"/>
      <c r="BW105" s="111"/>
      <c r="BX105" s="111"/>
      <c r="BY105" s="111"/>
      <c r="BZ105" s="111"/>
      <c r="CA105" s="111">
        <f t="shared" si="9"/>
        <v>40.4</v>
      </c>
      <c r="CB105" s="119"/>
      <c r="CC105" s="117"/>
      <c r="CD105" s="120">
        <v>46170</v>
      </c>
      <c r="CE105" s="120">
        <v>46170</v>
      </c>
      <c r="CF105" s="120">
        <v>46171</v>
      </c>
      <c r="CG105" s="111"/>
      <c r="CH105" s="120"/>
      <c r="CI105" s="120"/>
      <c r="CJ105" s="111"/>
      <c r="CK105" s="132"/>
    </row>
    <row r="106" spans="1:89" ht="62.45" customHeight="1">
      <c r="A106" s="106" t="s">
        <v>261</v>
      </c>
      <c r="B106" s="107">
        <f>1.5+4.5+7.5+2.5+3+0.5+2+2+0.5+0.5+0.75+0.5+0.5</f>
        <v>26.25</v>
      </c>
      <c r="C106" s="49">
        <v>20</v>
      </c>
      <c r="D106" s="107">
        <f>C106-B106</f>
        <v>-6.25</v>
      </c>
      <c r="E106" s="108"/>
      <c r="F106" s="108"/>
      <c r="G106" s="121"/>
      <c r="H106" s="154">
        <v>19340756</v>
      </c>
      <c r="I106" s="109">
        <f>Tracker[[#This Row],[DCR ID - PTC]]</f>
        <v>19340756</v>
      </c>
      <c r="J106" s="147" t="s">
        <v>939</v>
      </c>
      <c r="K106" s="108" t="s">
        <v>118</v>
      </c>
      <c r="L106" s="108"/>
      <c r="M106" s="108"/>
      <c r="N106" s="580" t="s">
        <v>940</v>
      </c>
      <c r="O106" s="111" t="s">
        <v>106</v>
      </c>
      <c r="P106" s="111"/>
      <c r="Q106" s="111"/>
      <c r="R106" s="111"/>
      <c r="S106" s="111"/>
      <c r="T106" s="111"/>
      <c r="U106" s="108"/>
      <c r="V106" s="108"/>
      <c r="W106" s="108"/>
      <c r="X106" s="108">
        <f t="shared" si="5"/>
        <v>40.4</v>
      </c>
      <c r="Y106" s="108"/>
      <c r="Z106" s="108"/>
      <c r="AA106" s="108"/>
      <c r="AB106" s="112"/>
      <c r="AC106" s="108"/>
      <c r="AD106" s="108" t="s">
        <v>146</v>
      </c>
      <c r="AE106" s="107"/>
      <c r="AF106" s="113"/>
      <c r="AG106" s="115"/>
      <c r="AH106" s="108" t="s">
        <v>109</v>
      </c>
      <c r="AI106" s="108" t="s">
        <v>95</v>
      </c>
      <c r="AJ106" s="114">
        <v>46203</v>
      </c>
      <c r="AK106" s="108" t="s">
        <v>96</v>
      </c>
      <c r="AL106" s="115">
        <v>46112.598865740743</v>
      </c>
      <c r="AM106" s="116"/>
      <c r="AN106" s="116"/>
      <c r="AO106" s="139"/>
      <c r="AP106" s="108"/>
      <c r="AQ106" s="107"/>
      <c r="AR106" s="107"/>
      <c r="AS106" s="116"/>
      <c r="AT106" s="114">
        <f t="shared" si="6"/>
        <v>40.4</v>
      </c>
      <c r="AU106" s="114"/>
      <c r="AV106" s="108"/>
      <c r="AW106" s="108"/>
      <c r="AX106" s="108"/>
      <c r="AY106" s="108" t="s">
        <v>866</v>
      </c>
      <c r="AZ106" s="108"/>
      <c r="BA106" s="108"/>
      <c r="BB106" s="108"/>
      <c r="BC106" s="108"/>
      <c r="BD106" s="111"/>
      <c r="BE106" s="111">
        <f t="shared" si="7"/>
        <v>40.4</v>
      </c>
      <c r="BF106" s="111"/>
      <c r="BG106" s="111"/>
      <c r="BH106" s="111"/>
      <c r="BI106" s="111"/>
      <c r="BJ106" s="111"/>
      <c r="BK106" s="111"/>
      <c r="BL106" s="111"/>
      <c r="BM106" s="117"/>
      <c r="BN106" s="111"/>
      <c r="BO106" s="117"/>
      <c r="BP106" s="117">
        <f t="shared" si="8"/>
        <v>40.4</v>
      </c>
      <c r="BQ106" s="117"/>
      <c r="BR106" s="111"/>
      <c r="BS106" s="118"/>
      <c r="BT106" s="111"/>
      <c r="BU106" s="118"/>
      <c r="BV106" s="111"/>
      <c r="BW106" s="111"/>
      <c r="BX106" s="111"/>
      <c r="BY106" s="111"/>
      <c r="BZ106" s="111"/>
      <c r="CA106" s="111">
        <f t="shared" si="9"/>
        <v>40.4</v>
      </c>
      <c r="CB106" s="119"/>
      <c r="CC106" s="117"/>
      <c r="CD106" s="120">
        <v>46168</v>
      </c>
      <c r="CE106" s="120">
        <v>46168</v>
      </c>
      <c r="CF106" s="120">
        <v>46169</v>
      </c>
      <c r="CG106" s="111"/>
      <c r="CH106" s="120"/>
      <c r="CI106" s="120"/>
      <c r="CJ106" s="111"/>
      <c r="CK106" s="132"/>
    </row>
    <row r="107" spans="1:89" ht="57.95" customHeight="1">
      <c r="A107" s="252" t="s">
        <v>261</v>
      </c>
      <c r="B107" s="107">
        <f>0.25+2+5+1.5+3</f>
        <v>11.75</v>
      </c>
      <c r="C107" s="49">
        <v>25</v>
      </c>
      <c r="D107" s="107">
        <f>Tracker[[#This Row],[Estimated Hrs]]-Tracker[[#This Row],[Actual Efforts (Hrs)]]</f>
        <v>13.25</v>
      </c>
      <c r="E107" s="108"/>
      <c r="F107" s="108"/>
      <c r="G107" s="121"/>
      <c r="H107" s="154">
        <v>19340781</v>
      </c>
      <c r="I107" s="109">
        <f>Tracker[[#This Row],[DCR ID - PTC]]</f>
        <v>19340781</v>
      </c>
      <c r="J107" s="276" t="s">
        <v>941</v>
      </c>
      <c r="K107" s="108" t="s">
        <v>118</v>
      </c>
      <c r="L107" s="108"/>
      <c r="M107" s="108"/>
      <c r="N107" s="581" t="s">
        <v>942</v>
      </c>
      <c r="O107" s="111" t="s">
        <v>201</v>
      </c>
      <c r="P107" s="111"/>
      <c r="Q107" s="111"/>
      <c r="R107" s="111"/>
      <c r="S107" s="111"/>
      <c r="T107" s="111"/>
      <c r="U107" s="108"/>
      <c r="V107" s="108"/>
      <c r="W107" s="108"/>
      <c r="X107" s="108">
        <f t="shared" si="5"/>
        <v>40.4</v>
      </c>
      <c r="Y107" s="108"/>
      <c r="Z107" s="108"/>
      <c r="AA107" s="108"/>
      <c r="AB107" s="112"/>
      <c r="AC107" s="108"/>
      <c r="AD107" s="108" t="s">
        <v>146</v>
      </c>
      <c r="AE107" s="107"/>
      <c r="AF107" s="113"/>
      <c r="AG107" s="115"/>
      <c r="AH107" s="108" t="s">
        <v>109</v>
      </c>
      <c r="AI107" s="108" t="s">
        <v>95</v>
      </c>
      <c r="AJ107" s="114">
        <v>46203</v>
      </c>
      <c r="AK107" s="108" t="s">
        <v>96</v>
      </c>
      <c r="AL107" s="115">
        <v>46112.603368055556</v>
      </c>
      <c r="AM107" s="116"/>
      <c r="AN107" s="116"/>
      <c r="AO107" s="139"/>
      <c r="AP107" s="108"/>
      <c r="AQ107" s="107"/>
      <c r="AR107" s="107"/>
      <c r="AS107" s="116"/>
      <c r="AT107" s="114">
        <f t="shared" si="6"/>
        <v>40.4</v>
      </c>
      <c r="AU107" s="114"/>
      <c r="AV107" s="108"/>
      <c r="AW107" s="108"/>
      <c r="AX107" s="108"/>
      <c r="AY107" s="108" t="s">
        <v>866</v>
      </c>
      <c r="AZ107" s="108"/>
      <c r="BA107" s="108"/>
      <c r="BB107" s="108"/>
      <c r="BC107" s="108"/>
      <c r="BD107" s="111"/>
      <c r="BE107" s="111">
        <f t="shared" si="7"/>
        <v>40.4</v>
      </c>
      <c r="BF107" s="111"/>
      <c r="BG107" s="111"/>
      <c r="BH107" s="111"/>
      <c r="BI107" s="111"/>
      <c r="BJ107" s="111"/>
      <c r="BK107" s="111"/>
      <c r="BL107" s="111"/>
      <c r="BM107" s="117"/>
      <c r="BN107" s="111"/>
      <c r="BO107" s="117"/>
      <c r="BP107" s="117">
        <f t="shared" si="8"/>
        <v>40.4</v>
      </c>
      <c r="BQ107" s="117"/>
      <c r="BR107" s="111"/>
      <c r="BS107" s="118"/>
      <c r="BT107" s="111"/>
      <c r="BU107" s="118"/>
      <c r="BV107" s="111"/>
      <c r="BW107" s="111"/>
      <c r="BX107" s="111"/>
      <c r="BY107" s="111"/>
      <c r="BZ107" s="111"/>
      <c r="CA107" s="111">
        <f t="shared" si="9"/>
        <v>40.4</v>
      </c>
      <c r="CB107" s="119"/>
      <c r="CC107" s="117"/>
      <c r="CD107" s="120">
        <v>46176</v>
      </c>
      <c r="CE107" s="120">
        <v>46176</v>
      </c>
      <c r="CF107" s="120">
        <v>46177</v>
      </c>
      <c r="CG107" s="111"/>
      <c r="CH107" s="120"/>
      <c r="CI107" s="120"/>
      <c r="CJ107" s="111"/>
      <c r="CK107" s="132"/>
    </row>
    <row r="108" spans="1:89" ht="101.45">
      <c r="A108" s="106" t="s">
        <v>261</v>
      </c>
      <c r="B108" s="107">
        <v>0.5</v>
      </c>
      <c r="C108" s="49">
        <v>0</v>
      </c>
      <c r="D108" s="107">
        <v>0</v>
      </c>
      <c r="E108" s="108"/>
      <c r="F108" s="108"/>
      <c r="G108" s="121"/>
      <c r="H108" s="155">
        <v>19340887</v>
      </c>
      <c r="I108" s="109">
        <f>Tracker[[#This Row],[DCR ID - PTC]]</f>
        <v>19340887</v>
      </c>
      <c r="J108" s="108" t="s">
        <v>943</v>
      </c>
      <c r="K108" s="108" t="s">
        <v>179</v>
      </c>
      <c r="L108" s="108"/>
      <c r="M108" s="108"/>
      <c r="N108" s="580" t="s">
        <v>944</v>
      </c>
      <c r="O108" s="111" t="s">
        <v>173</v>
      </c>
      <c r="P108" s="111"/>
      <c r="Q108" s="111"/>
      <c r="R108" s="111"/>
      <c r="S108" s="111"/>
      <c r="T108" s="111"/>
      <c r="U108" s="108"/>
      <c r="V108" s="108"/>
      <c r="W108" s="108"/>
      <c r="X108" s="108">
        <f t="shared" si="5"/>
        <v>40.4</v>
      </c>
      <c r="Y108" s="108"/>
      <c r="Z108" s="108"/>
      <c r="AA108" s="108"/>
      <c r="AB108" s="112"/>
      <c r="AC108" s="108"/>
      <c r="AD108" s="108" t="s">
        <v>146</v>
      </c>
      <c r="AE108" s="107"/>
      <c r="AF108" s="113"/>
      <c r="AG108" s="115"/>
      <c r="AH108" s="108" t="s">
        <v>109</v>
      </c>
      <c r="AI108" s="108" t="s">
        <v>95</v>
      </c>
      <c r="AJ108" s="114">
        <v>46203</v>
      </c>
      <c r="AK108" s="108" t="s">
        <v>96</v>
      </c>
      <c r="AL108" s="115">
        <v>46112.610162037039</v>
      </c>
      <c r="AM108" s="116"/>
      <c r="AN108" s="116"/>
      <c r="AO108" s="139"/>
      <c r="AP108" s="108"/>
      <c r="AQ108" s="107"/>
      <c r="AR108" s="107"/>
      <c r="AS108" s="116"/>
      <c r="AT108" s="114">
        <f t="shared" si="6"/>
        <v>40.4</v>
      </c>
      <c r="AU108" s="114"/>
      <c r="AV108" s="108"/>
      <c r="AW108" s="108"/>
      <c r="AX108" s="108"/>
      <c r="AY108" s="108" t="s">
        <v>866</v>
      </c>
      <c r="AZ108" s="108"/>
      <c r="BA108" s="108"/>
      <c r="BB108" s="108"/>
      <c r="BC108" s="108"/>
      <c r="BD108" s="111"/>
      <c r="BE108" s="111">
        <f t="shared" si="7"/>
        <v>40.4</v>
      </c>
      <c r="BF108" s="111"/>
      <c r="BG108" s="111"/>
      <c r="BH108" s="111"/>
      <c r="BI108" s="111"/>
      <c r="BJ108" s="111"/>
      <c r="BK108" s="111"/>
      <c r="BL108" s="111"/>
      <c r="BM108" s="117"/>
      <c r="BN108" s="111"/>
      <c r="BO108" s="117"/>
      <c r="BP108" s="117">
        <f t="shared" si="8"/>
        <v>40.4</v>
      </c>
      <c r="BQ108" s="117"/>
      <c r="BR108" s="111"/>
      <c r="BS108" s="118"/>
      <c r="BT108" s="111"/>
      <c r="BU108" s="118"/>
      <c r="BV108" s="111"/>
      <c r="BW108" s="111"/>
      <c r="BX108" s="111"/>
      <c r="BY108" s="111"/>
      <c r="BZ108" s="111"/>
      <c r="CA108" s="111">
        <f t="shared" si="9"/>
        <v>40.4</v>
      </c>
      <c r="CB108" s="119"/>
      <c r="CC108" s="117"/>
      <c r="CD108" s="120" t="e">
        <v>#N/A</v>
      </c>
      <c r="CE108" s="120" t="e">
        <v>#N/A</v>
      </c>
      <c r="CF108" s="120" t="e">
        <v>#N/A</v>
      </c>
      <c r="CG108" s="111"/>
      <c r="CH108" s="120"/>
      <c r="CI108" s="120"/>
      <c r="CJ108" s="111"/>
      <c r="CK108" s="132"/>
    </row>
    <row r="109" spans="1:89" ht="87.6" customHeight="1">
      <c r="A109" s="106" t="s">
        <v>261</v>
      </c>
      <c r="B109" s="107">
        <f>2+3+1</f>
        <v>6</v>
      </c>
      <c r="C109" s="49">
        <v>20</v>
      </c>
      <c r="D109" s="107">
        <f>Tracker[[#This Row],[Estimated Hrs]]-Tracker[[#This Row],[Actual Efforts (Hrs)]]</f>
        <v>14</v>
      </c>
      <c r="E109" s="108"/>
      <c r="F109" s="108"/>
      <c r="G109" s="121"/>
      <c r="H109" s="154">
        <v>19340986</v>
      </c>
      <c r="I109" s="109">
        <f>Tracker[[#This Row],[DCR ID - PTC]]</f>
        <v>19340986</v>
      </c>
      <c r="J109" s="147" t="s">
        <v>945</v>
      </c>
      <c r="K109" s="108" t="s">
        <v>118</v>
      </c>
      <c r="L109" s="108"/>
      <c r="M109" s="108"/>
      <c r="N109" s="580" t="s">
        <v>946</v>
      </c>
      <c r="O109" s="111" t="s">
        <v>201</v>
      </c>
      <c r="P109" s="111"/>
      <c r="Q109" s="111"/>
      <c r="R109" s="111"/>
      <c r="S109" s="111"/>
      <c r="T109" s="111"/>
      <c r="U109" s="108"/>
      <c r="V109" s="108"/>
      <c r="W109" s="108"/>
      <c r="X109" s="108">
        <f t="shared" si="5"/>
        <v>40.4</v>
      </c>
      <c r="Y109" s="108"/>
      <c r="Z109" s="108"/>
      <c r="AA109" s="108"/>
      <c r="AB109" s="112"/>
      <c r="AC109" s="108"/>
      <c r="AD109" s="108" t="s">
        <v>146</v>
      </c>
      <c r="AE109" s="107"/>
      <c r="AF109" s="113"/>
      <c r="AG109" s="115"/>
      <c r="AH109" s="108" t="s">
        <v>109</v>
      </c>
      <c r="AI109" s="108" t="s">
        <v>95</v>
      </c>
      <c r="AJ109" s="114">
        <v>46203</v>
      </c>
      <c r="AK109" s="108" t="s">
        <v>96</v>
      </c>
      <c r="AL109" s="115">
        <v>46112.621932870374</v>
      </c>
      <c r="AM109" s="116"/>
      <c r="AN109" s="116"/>
      <c r="AO109" s="139"/>
      <c r="AP109" s="108"/>
      <c r="AQ109" s="107"/>
      <c r="AR109" s="107"/>
      <c r="AS109" s="116"/>
      <c r="AT109" s="114">
        <f t="shared" si="6"/>
        <v>40.4</v>
      </c>
      <c r="AU109" s="114"/>
      <c r="AV109" s="108"/>
      <c r="AW109" s="108"/>
      <c r="AX109" s="108"/>
      <c r="AY109" s="108" t="s">
        <v>866</v>
      </c>
      <c r="AZ109" s="108"/>
      <c r="BA109" s="108"/>
      <c r="BB109" s="108"/>
      <c r="BC109" s="108"/>
      <c r="BD109" s="111"/>
      <c r="BE109" s="111">
        <f t="shared" si="7"/>
        <v>40.4</v>
      </c>
      <c r="BF109" s="111"/>
      <c r="BG109" s="111"/>
      <c r="BH109" s="111"/>
      <c r="BI109" s="111"/>
      <c r="BJ109" s="111"/>
      <c r="BK109" s="111"/>
      <c r="BL109" s="111"/>
      <c r="BM109" s="117"/>
      <c r="BN109" s="111"/>
      <c r="BO109" s="117"/>
      <c r="BP109" s="117">
        <f t="shared" si="8"/>
        <v>40.4</v>
      </c>
      <c r="BQ109" s="117"/>
      <c r="BR109" s="111"/>
      <c r="BS109" s="118"/>
      <c r="BT109" s="111"/>
      <c r="BU109" s="118"/>
      <c r="BV109" s="111"/>
      <c r="BW109" s="111"/>
      <c r="BX109" s="111"/>
      <c r="BY109" s="111"/>
      <c r="BZ109" s="111"/>
      <c r="CA109" s="111">
        <f t="shared" si="9"/>
        <v>40.4</v>
      </c>
      <c r="CB109" s="119"/>
      <c r="CC109" s="117"/>
      <c r="CD109" s="120">
        <v>46183</v>
      </c>
      <c r="CE109" s="120">
        <v>46183</v>
      </c>
      <c r="CF109" s="120">
        <v>46184</v>
      </c>
      <c r="CG109" s="111"/>
      <c r="CH109" s="120"/>
      <c r="CI109" s="120"/>
      <c r="CJ109" s="111"/>
      <c r="CK109" s="132"/>
    </row>
    <row r="110" spans="1:89" ht="409.5">
      <c r="A110" s="106" t="s">
        <v>261</v>
      </c>
      <c r="B110" s="49">
        <f>6+8+8.5+8+2.5+0.25+3.5</f>
        <v>36.75</v>
      </c>
      <c r="C110" s="49">
        <v>33</v>
      </c>
      <c r="D110" s="107">
        <f>Tracker[[#This Row],[Estimated Hrs]]-Tracker[[#This Row],[Actual Efforts (Hrs)]]</f>
        <v>-3.75</v>
      </c>
      <c r="E110" s="134"/>
      <c r="F110" s="134" t="s">
        <v>867</v>
      </c>
      <c r="G110" s="150" t="s">
        <v>867</v>
      </c>
      <c r="H110" s="271">
        <v>19459316</v>
      </c>
      <c r="I110" s="109">
        <f>Tracker[[#This Row],[DCR ID - PTC]]</f>
        <v>19459316</v>
      </c>
      <c r="J110" s="49" t="s">
        <v>947</v>
      </c>
      <c r="K110" s="134" t="s">
        <v>104</v>
      </c>
      <c r="L110" s="134"/>
      <c r="M110" s="134"/>
      <c r="N110" s="580" t="s">
        <v>948</v>
      </c>
      <c r="O110" s="111" t="s">
        <v>106</v>
      </c>
      <c r="P110" s="123"/>
      <c r="Q110" s="123"/>
      <c r="R110" s="123"/>
      <c r="S110" s="123"/>
      <c r="T110" s="123"/>
      <c r="U110" s="134"/>
      <c r="V110" s="134"/>
      <c r="W110" s="134"/>
      <c r="X110" s="134">
        <f t="shared" si="5"/>
        <v>40.4</v>
      </c>
      <c r="Y110" s="134"/>
      <c r="Z110" s="134"/>
      <c r="AA110" s="134"/>
      <c r="AC110" s="134"/>
      <c r="AD110" s="134" t="s">
        <v>116</v>
      </c>
      <c r="AE110" s="49"/>
      <c r="AF110" s="136"/>
      <c r="AG110" s="137">
        <v>46146</v>
      </c>
      <c r="AH110" s="134" t="s">
        <v>109</v>
      </c>
      <c r="AI110" s="134" t="s">
        <v>110</v>
      </c>
      <c r="AJ110" s="138">
        <v>46160.145833333336</v>
      </c>
      <c r="AK110" s="134" t="s">
        <v>96</v>
      </c>
      <c r="AL110" s="137">
        <v>46127.763645833336</v>
      </c>
      <c r="AM110" s="139"/>
      <c r="AN110" s="139"/>
      <c r="AO110" s="139">
        <v>46154</v>
      </c>
      <c r="AP110" s="134"/>
      <c r="AQ110" s="49"/>
      <c r="AR110" s="49"/>
      <c r="AS110" s="139">
        <v>46155</v>
      </c>
      <c r="AT110" s="138">
        <v>46154</v>
      </c>
      <c r="AU110" s="138">
        <v>46154</v>
      </c>
      <c r="AV110" s="134"/>
      <c r="AW110" s="134"/>
      <c r="AX110" s="108" t="s">
        <v>97</v>
      </c>
      <c r="AY110" s="108" t="s">
        <v>98</v>
      </c>
      <c r="AZ110" s="134"/>
      <c r="BA110" s="134"/>
      <c r="BB110" s="134"/>
      <c r="BC110" s="134"/>
      <c r="BD110" s="123"/>
      <c r="BE110" s="123">
        <f t="shared" si="7"/>
        <v>40.4</v>
      </c>
      <c r="BF110" s="123"/>
      <c r="BG110" s="123"/>
      <c r="BH110" s="123"/>
      <c r="BI110" s="123"/>
      <c r="BJ110" s="123"/>
      <c r="BK110" s="123"/>
      <c r="BL110" s="123"/>
      <c r="BM110" s="117"/>
      <c r="BN110" s="123"/>
      <c r="BO110" s="140"/>
      <c r="BP110" s="140">
        <f t="shared" si="8"/>
        <v>40.4</v>
      </c>
      <c r="BQ110" s="140"/>
      <c r="BR110" s="123"/>
      <c r="BS110" s="141"/>
      <c r="BT110" s="123"/>
      <c r="BU110" s="141"/>
      <c r="BV110" s="123"/>
      <c r="BW110" s="123"/>
      <c r="BX110" s="123"/>
      <c r="BY110" s="123"/>
      <c r="BZ110" s="123"/>
      <c r="CA110" s="123">
        <f t="shared" si="9"/>
        <v>40.4</v>
      </c>
      <c r="CB110" s="119">
        <v>1</v>
      </c>
      <c r="CC110" s="140"/>
      <c r="CD110" s="120">
        <v>46154</v>
      </c>
      <c r="CE110" s="120">
        <v>46162</v>
      </c>
      <c r="CF110" s="120">
        <v>46163</v>
      </c>
      <c r="CG110" s="123"/>
      <c r="CH110" s="120"/>
      <c r="CI110" s="120"/>
      <c r="CJ110" s="123"/>
      <c r="CK110" s="586" t="s">
        <v>882</v>
      </c>
    </row>
    <row r="111" spans="1:89" ht="57.95">
      <c r="A111" s="106" t="s">
        <v>261</v>
      </c>
      <c r="B111" s="49">
        <v>0</v>
      </c>
      <c r="C111" s="49">
        <v>0</v>
      </c>
      <c r="D111" s="107">
        <f>Tracker[[#This Row],[Estimated Hrs]]-Tracker[[#This Row],[Actual Efforts (Hrs)]]</f>
        <v>0</v>
      </c>
      <c r="E111" s="134"/>
      <c r="F111" s="134" t="s">
        <v>867</v>
      </c>
      <c r="G111" s="147" t="s">
        <v>867</v>
      </c>
      <c r="H111" s="271">
        <v>19552762</v>
      </c>
      <c r="I111" s="109">
        <f>Tracker[[#This Row],[DCR ID - PTC]]</f>
        <v>19552762</v>
      </c>
      <c r="J111" s="134" t="s">
        <v>949</v>
      </c>
      <c r="K111" s="134" t="s">
        <v>104</v>
      </c>
      <c r="L111" s="134"/>
      <c r="M111" s="134"/>
      <c r="N111" s="580" t="s">
        <v>950</v>
      </c>
      <c r="O111" s="111" t="s">
        <v>106</v>
      </c>
      <c r="P111" s="123"/>
      <c r="Q111" s="123"/>
      <c r="R111" s="123"/>
      <c r="S111" s="123"/>
      <c r="T111" s="123"/>
      <c r="U111" s="134"/>
      <c r="V111" s="134"/>
      <c r="W111" s="134"/>
      <c r="X111" s="134">
        <f t="shared" si="5"/>
        <v>40.4</v>
      </c>
      <c r="Y111" s="134"/>
      <c r="Z111" s="134"/>
      <c r="AA111" s="134"/>
      <c r="AC111" s="134"/>
      <c r="AD111" s="134" t="s">
        <v>116</v>
      </c>
      <c r="AE111" s="49"/>
      <c r="AF111" s="136"/>
      <c r="AG111" s="137">
        <v>46146</v>
      </c>
      <c r="AH111" s="134" t="s">
        <v>109</v>
      </c>
      <c r="AI111" s="134" t="s">
        <v>110</v>
      </c>
      <c r="AJ111" s="138">
        <v>46142.395833333336</v>
      </c>
      <c r="AK111" s="134" t="s">
        <v>96</v>
      </c>
      <c r="AL111" s="137">
        <v>46139.388344907406</v>
      </c>
      <c r="AM111" s="139"/>
      <c r="AN111" s="139"/>
      <c r="AO111" s="139">
        <v>46154</v>
      </c>
      <c r="AP111" s="134"/>
      <c r="AQ111" s="49"/>
      <c r="AR111" s="49"/>
      <c r="AS111" s="139">
        <v>46155</v>
      </c>
      <c r="AT111" s="138">
        <v>46154</v>
      </c>
      <c r="AU111" s="138">
        <v>46154</v>
      </c>
      <c r="AV111" s="134"/>
      <c r="AW111" s="134"/>
      <c r="AX111" s="108" t="s">
        <v>97</v>
      </c>
      <c r="AY111" s="108" t="s">
        <v>98</v>
      </c>
      <c r="AZ111" s="134"/>
      <c r="BA111" s="134"/>
      <c r="BB111" s="134"/>
      <c r="BC111" s="134"/>
      <c r="BD111" s="123"/>
      <c r="BE111" s="123">
        <f t="shared" si="7"/>
        <v>40.4</v>
      </c>
      <c r="BF111" s="123"/>
      <c r="BG111" s="123"/>
      <c r="BH111" s="123"/>
      <c r="BI111" s="123"/>
      <c r="BJ111" s="123"/>
      <c r="BK111" s="123"/>
      <c r="BL111" s="123"/>
      <c r="BM111" s="117"/>
      <c r="BN111" s="123"/>
      <c r="BO111" s="140"/>
      <c r="BP111" s="140">
        <f t="shared" si="8"/>
        <v>40.4</v>
      </c>
      <c r="BQ111" s="140"/>
      <c r="BR111" s="123"/>
      <c r="BS111" s="141"/>
      <c r="BT111" s="123"/>
      <c r="BU111" s="141"/>
      <c r="BV111" s="123"/>
      <c r="BW111" s="123"/>
      <c r="BX111" s="123"/>
      <c r="BY111" s="123"/>
      <c r="BZ111" s="123"/>
      <c r="CA111" s="123">
        <f t="shared" si="9"/>
        <v>40.4</v>
      </c>
      <c r="CB111" s="119">
        <v>1</v>
      </c>
      <c r="CC111" s="140"/>
      <c r="CD111" s="120">
        <v>46154</v>
      </c>
      <c r="CE111" s="120">
        <v>46162</v>
      </c>
      <c r="CF111" s="120">
        <v>46163</v>
      </c>
      <c r="CG111" s="123"/>
      <c r="CH111" s="120"/>
      <c r="CI111" s="120"/>
      <c r="CJ111" s="123"/>
      <c r="CK111" s="586" t="s">
        <v>882</v>
      </c>
    </row>
    <row r="112" spans="1:89" ht="43.5">
      <c r="A112" s="106" t="s">
        <v>261</v>
      </c>
      <c r="B112" s="49"/>
      <c r="C112" s="49">
        <v>0</v>
      </c>
      <c r="D112" s="107">
        <f>Tracker[[#This Row],[Estimated Hrs]]-Tracker[[#This Row],[Actual Efforts (Hrs)]]</f>
        <v>0</v>
      </c>
      <c r="E112" s="134"/>
      <c r="F112" s="134" t="s">
        <v>136</v>
      </c>
      <c r="G112" s="150"/>
      <c r="H112" s="271">
        <v>19532799</v>
      </c>
      <c r="I112" s="109">
        <f>Tracker[[#This Row],[DCR ID - PTC]]</f>
        <v>19532799</v>
      </c>
      <c r="J112" s="49" t="s">
        <v>951</v>
      </c>
      <c r="K112" s="134" t="s">
        <v>101</v>
      </c>
      <c r="L112" s="134" t="s">
        <v>165</v>
      </c>
      <c r="M112" s="134"/>
      <c r="N112" s="580"/>
      <c r="O112" s="111" t="s">
        <v>122</v>
      </c>
      <c r="P112" s="123"/>
      <c r="Q112" s="123"/>
      <c r="R112" s="123"/>
      <c r="S112" s="123"/>
      <c r="T112" s="123"/>
      <c r="U112" s="134"/>
      <c r="V112" s="134"/>
      <c r="W112" s="134"/>
      <c r="X112" s="134">
        <f t="shared" si="5"/>
        <v>40.4</v>
      </c>
      <c r="Y112" s="134"/>
      <c r="Z112" s="134"/>
      <c r="AA112" s="134" t="s">
        <v>873</v>
      </c>
      <c r="AB112" s="29">
        <v>46142</v>
      </c>
      <c r="AC112" s="134" t="s">
        <v>165</v>
      </c>
      <c r="AD112" s="134" t="s">
        <v>116</v>
      </c>
      <c r="AE112" s="49"/>
      <c r="AF112" s="136"/>
      <c r="AG112" s="137">
        <v>46140.776099537034</v>
      </c>
      <c r="AH112" s="134" t="s">
        <v>94</v>
      </c>
      <c r="AI112" s="134" t="s">
        <v>95</v>
      </c>
      <c r="AJ112" s="138">
        <v>46142.482627314814</v>
      </c>
      <c r="AK112" s="134" t="s">
        <v>96</v>
      </c>
      <c r="AL112" s="137">
        <v>46136.483391203707</v>
      </c>
      <c r="AM112" s="139"/>
      <c r="AN112" s="139"/>
      <c r="AO112" s="139"/>
      <c r="AP112" s="134"/>
      <c r="AQ112" s="49"/>
      <c r="AR112" s="49"/>
      <c r="AS112" s="139"/>
      <c r="AT112" s="138">
        <f t="shared" si="6"/>
        <v>40.4</v>
      </c>
      <c r="AU112" s="138"/>
      <c r="AV112" s="134"/>
      <c r="AW112" s="134"/>
      <c r="AX112" s="108"/>
      <c r="AY112" s="108" t="s">
        <v>866</v>
      </c>
      <c r="AZ112" s="134"/>
      <c r="BA112" s="134"/>
      <c r="BB112" s="134"/>
      <c r="BC112" s="134"/>
      <c r="BD112" s="123"/>
      <c r="BE112" s="123">
        <f t="shared" si="7"/>
        <v>40.4</v>
      </c>
      <c r="BF112" s="123"/>
      <c r="BG112" s="123"/>
      <c r="BH112" s="123"/>
      <c r="BI112" s="123"/>
      <c r="BJ112" s="123"/>
      <c r="BK112" s="123"/>
      <c r="BL112" s="123"/>
      <c r="BM112" s="117"/>
      <c r="BN112" s="123"/>
      <c r="BO112" s="140"/>
      <c r="BP112" s="140">
        <f t="shared" si="8"/>
        <v>40.4</v>
      </c>
      <c r="BQ112" s="140"/>
      <c r="BR112" s="123"/>
      <c r="BS112" s="141"/>
      <c r="BT112" s="123"/>
      <c r="BU112" s="141"/>
      <c r="BV112" s="123"/>
      <c r="BW112" s="123"/>
      <c r="BX112" s="123"/>
      <c r="BY112" s="123"/>
      <c r="BZ112" s="123"/>
      <c r="CA112" s="123">
        <f t="shared" si="9"/>
        <v>40.4</v>
      </c>
      <c r="CB112" s="143"/>
      <c r="CC112" s="140"/>
      <c r="CD112" s="120" t="e">
        <v>#N/A</v>
      </c>
      <c r="CE112" s="120" t="e">
        <v>#N/A</v>
      </c>
      <c r="CF112" s="120" t="e">
        <v>#N/A</v>
      </c>
      <c r="CG112" s="123"/>
      <c r="CH112" s="120"/>
      <c r="CI112" s="120"/>
      <c r="CJ112" s="123"/>
      <c r="CK112" s="132"/>
    </row>
    <row r="113" spans="1:89" ht="409.5">
      <c r="A113" s="106" t="s">
        <v>261</v>
      </c>
      <c r="B113" s="49">
        <f>6+8.5+8.5+8.5+10+9+5+3</f>
        <v>58.5</v>
      </c>
      <c r="C113" s="49">
        <v>44</v>
      </c>
      <c r="D113" s="107">
        <f>Tracker[[#This Row],[Estimated Hrs]]-Tracker[[#This Row],[Actual Efforts (Hrs)]]</f>
        <v>-14.5</v>
      </c>
      <c r="E113" s="134"/>
      <c r="F113" s="134" t="s">
        <v>867</v>
      </c>
      <c r="G113" s="150" t="s">
        <v>867</v>
      </c>
      <c r="H113" s="149">
        <v>19459316</v>
      </c>
      <c r="I113" s="109">
        <f>Tracker[[#This Row],[DCR ID - PTC]]</f>
        <v>19459316</v>
      </c>
      <c r="J113" s="49" t="s">
        <v>947</v>
      </c>
      <c r="K113" s="134" t="s">
        <v>118</v>
      </c>
      <c r="L113" s="134"/>
      <c r="M113" s="134"/>
      <c r="N113" s="580" t="s">
        <v>952</v>
      </c>
      <c r="O113" s="111" t="s">
        <v>106</v>
      </c>
      <c r="P113" s="123"/>
      <c r="Q113" s="123"/>
      <c r="R113" s="123"/>
      <c r="S113" s="123"/>
      <c r="T113" s="123"/>
      <c r="U113" s="134"/>
      <c r="V113" s="134"/>
      <c r="W113" s="134"/>
      <c r="X113" s="134">
        <f t="shared" si="5"/>
        <v>40.4</v>
      </c>
      <c r="Y113" s="134"/>
      <c r="Z113" s="134"/>
      <c r="AA113" s="134"/>
      <c r="AC113" s="134"/>
      <c r="AD113" s="134" t="s">
        <v>116</v>
      </c>
      <c r="AE113" s="49"/>
      <c r="AF113" s="136"/>
      <c r="AG113" s="137">
        <v>46160</v>
      </c>
      <c r="AH113" s="134" t="s">
        <v>109</v>
      </c>
      <c r="AI113" s="134" t="s">
        <v>110</v>
      </c>
      <c r="AJ113" s="138">
        <v>46160.145833333336</v>
      </c>
      <c r="AK113" s="134" t="s">
        <v>96</v>
      </c>
      <c r="AL113" s="137">
        <v>46127.763645833336</v>
      </c>
      <c r="AM113" s="139"/>
      <c r="AN113" s="139"/>
      <c r="AO113" s="139">
        <v>46164</v>
      </c>
      <c r="AP113" s="134"/>
      <c r="AQ113" s="49"/>
      <c r="AR113" s="49"/>
      <c r="AS113" s="139">
        <v>46168</v>
      </c>
      <c r="AT113" s="138">
        <v>46163</v>
      </c>
      <c r="AU113" s="138">
        <v>46164</v>
      </c>
      <c r="AV113" s="134"/>
      <c r="AW113" s="134"/>
      <c r="AX113" s="108" t="s">
        <v>97</v>
      </c>
      <c r="AY113" s="108" t="s">
        <v>98</v>
      </c>
      <c r="AZ113" s="134"/>
      <c r="BA113" s="134"/>
      <c r="BB113" s="134"/>
      <c r="BC113" s="134"/>
      <c r="BD113" s="123"/>
      <c r="BE113" s="123">
        <f t="shared" si="7"/>
        <v>40.4</v>
      </c>
      <c r="BF113" s="123"/>
      <c r="BG113" s="123"/>
      <c r="BH113" s="123"/>
      <c r="BI113" s="123"/>
      <c r="BJ113" s="123"/>
      <c r="BK113" s="123"/>
      <c r="BL113" s="123"/>
      <c r="BM113" s="117"/>
      <c r="BN113" s="123"/>
      <c r="BO113" s="140"/>
      <c r="BP113" s="140">
        <f t="shared" si="8"/>
        <v>40.4</v>
      </c>
      <c r="BQ113" s="140"/>
      <c r="BR113" s="123"/>
      <c r="BS113" s="141"/>
      <c r="BT113" s="123"/>
      <c r="BU113" s="141"/>
      <c r="BV113" s="123"/>
      <c r="BW113" s="123"/>
      <c r="BX113" s="123"/>
      <c r="BY113" s="123"/>
      <c r="BZ113" s="123"/>
      <c r="CA113" s="123">
        <f t="shared" si="9"/>
        <v>40.4</v>
      </c>
      <c r="CB113" s="119">
        <v>1</v>
      </c>
      <c r="CC113" s="140"/>
      <c r="CD113" s="120">
        <v>46161</v>
      </c>
      <c r="CE113" s="120">
        <v>46162</v>
      </c>
      <c r="CF113" s="120">
        <v>46163</v>
      </c>
      <c r="CG113" s="123"/>
      <c r="CH113" s="120"/>
      <c r="CI113" s="120"/>
      <c r="CJ113" s="123"/>
      <c r="CK113" s="132" t="s">
        <v>870</v>
      </c>
    </row>
    <row r="114" spans="1:89" ht="57.95">
      <c r="A114" s="106" t="s">
        <v>261</v>
      </c>
      <c r="B114" s="49">
        <v>0</v>
      </c>
      <c r="C114" s="49">
        <v>0</v>
      </c>
      <c r="D114" s="107">
        <f>Tracker[[#This Row],[Estimated Hrs]]-Tracker[[#This Row],[Actual Efforts (Hrs)]]</f>
        <v>0</v>
      </c>
      <c r="E114" s="134"/>
      <c r="F114" s="134" t="s">
        <v>867</v>
      </c>
      <c r="G114" s="150" t="s">
        <v>867</v>
      </c>
      <c r="H114" s="149">
        <v>19552762</v>
      </c>
      <c r="I114" s="109">
        <f>Tracker[[#This Row],[DCR ID - PTC]]</f>
        <v>19552762</v>
      </c>
      <c r="J114" s="134" t="s">
        <v>949</v>
      </c>
      <c r="K114" s="134" t="s">
        <v>118</v>
      </c>
      <c r="L114" s="134"/>
      <c r="M114" s="134"/>
      <c r="N114" s="580" t="s">
        <v>950</v>
      </c>
      <c r="O114" s="111" t="s">
        <v>106</v>
      </c>
      <c r="P114" s="123"/>
      <c r="Q114" s="123"/>
      <c r="R114" s="123"/>
      <c r="S114" s="123"/>
      <c r="T114" s="123"/>
      <c r="U114" s="134"/>
      <c r="V114" s="134"/>
      <c r="W114" s="134"/>
      <c r="X114" s="134">
        <f t="shared" si="5"/>
        <v>40.4</v>
      </c>
      <c r="Y114" s="134"/>
      <c r="Z114" s="134"/>
      <c r="AA114" s="134"/>
      <c r="AC114" s="134"/>
      <c r="AD114" s="134" t="s">
        <v>116</v>
      </c>
      <c r="AE114" s="49"/>
      <c r="AF114" s="136"/>
      <c r="AG114" s="137">
        <v>46160</v>
      </c>
      <c r="AH114" s="134" t="s">
        <v>109</v>
      </c>
      <c r="AI114" s="134" t="s">
        <v>110</v>
      </c>
      <c r="AJ114" s="138">
        <v>46142.395833333336</v>
      </c>
      <c r="AK114" s="134" t="s">
        <v>96</v>
      </c>
      <c r="AL114" s="137">
        <v>46139.388344907406</v>
      </c>
      <c r="AM114" s="139"/>
      <c r="AN114" s="139"/>
      <c r="AO114" s="139">
        <v>46164</v>
      </c>
      <c r="AP114" s="134"/>
      <c r="AQ114" s="49"/>
      <c r="AR114" s="49"/>
      <c r="AS114" s="139">
        <v>46168</v>
      </c>
      <c r="AT114" s="138">
        <v>46163</v>
      </c>
      <c r="AU114" s="138">
        <v>46164</v>
      </c>
      <c r="AV114" s="134"/>
      <c r="AW114" s="134"/>
      <c r="AX114" s="108" t="s">
        <v>97</v>
      </c>
      <c r="AY114" s="108" t="s">
        <v>98</v>
      </c>
      <c r="AZ114" s="134"/>
      <c r="BA114" s="134"/>
      <c r="BB114" s="134"/>
      <c r="BC114" s="134"/>
      <c r="BD114" s="123"/>
      <c r="BE114" s="123">
        <f t="shared" si="7"/>
        <v>40.4</v>
      </c>
      <c r="BF114" s="123"/>
      <c r="BG114" s="123"/>
      <c r="BH114" s="123"/>
      <c r="BI114" s="123"/>
      <c r="BJ114" s="123"/>
      <c r="BK114" s="123"/>
      <c r="BL114" s="123"/>
      <c r="BM114" s="117"/>
      <c r="BN114" s="123"/>
      <c r="BO114" s="140"/>
      <c r="BP114" s="140">
        <f t="shared" si="8"/>
        <v>40.4</v>
      </c>
      <c r="BQ114" s="140"/>
      <c r="BR114" s="123"/>
      <c r="BS114" s="141"/>
      <c r="BT114" s="123"/>
      <c r="BU114" s="141"/>
      <c r="BV114" s="123"/>
      <c r="BW114" s="123"/>
      <c r="BX114" s="123"/>
      <c r="BY114" s="123"/>
      <c r="BZ114" s="123"/>
      <c r="CA114" s="123">
        <f t="shared" si="9"/>
        <v>40.4</v>
      </c>
      <c r="CB114" s="119">
        <v>1</v>
      </c>
      <c r="CC114" s="140"/>
      <c r="CD114" s="120">
        <v>46161</v>
      </c>
      <c r="CE114" s="120">
        <v>46162</v>
      </c>
      <c r="CF114" s="120">
        <v>46163</v>
      </c>
      <c r="CG114" s="123"/>
      <c r="CH114" s="120"/>
      <c r="CI114" s="120"/>
      <c r="CJ114" s="123"/>
      <c r="CK114" s="132" t="s">
        <v>870</v>
      </c>
    </row>
    <row r="115" spans="1:89" ht="409.6">
      <c r="A115" s="106" t="s">
        <v>953</v>
      </c>
      <c r="B115" s="49">
        <f>3+6+7+8+6+8+7.75+8+8+6.5+7+8+7.5+8+3.5+4+4.5+7.75+7.25+4+8+8.5+8+(0.5+0.5+0.25)</f>
        <v>155.5</v>
      </c>
      <c r="C115" s="49">
        <f>80+C116</f>
        <v>80</v>
      </c>
      <c r="D115" s="107">
        <v>0</v>
      </c>
      <c r="E115" s="134"/>
      <c r="F115" s="134"/>
      <c r="G115" s="150"/>
      <c r="H115" s="271">
        <v>17625100</v>
      </c>
      <c r="I115" s="109">
        <f>Tracker[[#This Row],[DCR ID - PTC]]</f>
        <v>17625100</v>
      </c>
      <c r="J115" s="49" t="s">
        <v>574</v>
      </c>
      <c r="K115" s="49" t="s">
        <v>118</v>
      </c>
      <c r="L115" s="134"/>
      <c r="M115" s="134"/>
      <c r="N115" s="580" t="s">
        <v>954</v>
      </c>
      <c r="O115" s="111" t="s">
        <v>115</v>
      </c>
      <c r="P115" s="123"/>
      <c r="Q115" s="123"/>
      <c r="R115" s="123"/>
      <c r="S115" s="123"/>
      <c r="T115" s="123"/>
      <c r="U115" s="134"/>
      <c r="V115" s="134"/>
      <c r="W115" s="134"/>
      <c r="X115" s="134">
        <f t="shared" si="5"/>
        <v>40.4</v>
      </c>
      <c r="Y115" s="134"/>
      <c r="Z115" s="134"/>
      <c r="AA115" s="134"/>
      <c r="AC115" s="134"/>
      <c r="AD115" s="134" t="s">
        <v>93</v>
      </c>
      <c r="AE115" s="49"/>
      <c r="AF115" s="136"/>
      <c r="AG115" s="137"/>
      <c r="AH115" s="134" t="s">
        <v>109</v>
      </c>
      <c r="AI115" s="134" t="s">
        <v>95</v>
      </c>
      <c r="AJ115" s="138">
        <v>46112.395833333336</v>
      </c>
      <c r="AK115" s="134" t="s">
        <v>96</v>
      </c>
      <c r="AL115" s="137">
        <v>45933.940925925926</v>
      </c>
      <c r="AM115" s="139"/>
      <c r="AN115" s="139"/>
      <c r="AO115" s="139"/>
      <c r="AP115" s="134"/>
      <c r="AQ115" s="49"/>
      <c r="AR115" s="49"/>
      <c r="AS115" s="139"/>
      <c r="AT115" s="138">
        <f t="shared" si="6"/>
        <v>40.4</v>
      </c>
      <c r="AU115" s="138"/>
      <c r="AV115" s="134"/>
      <c r="AW115" s="134"/>
      <c r="AX115" s="108"/>
      <c r="AY115" s="108" t="s">
        <v>866</v>
      </c>
      <c r="AZ115" s="134"/>
      <c r="BA115" s="134"/>
      <c r="BB115" s="134"/>
      <c r="BC115" s="134"/>
      <c r="BD115" s="123"/>
      <c r="BE115" s="123">
        <f t="shared" si="7"/>
        <v>40.4</v>
      </c>
      <c r="BF115" s="123"/>
      <c r="BG115" s="123"/>
      <c r="BH115" s="123"/>
      <c r="BI115" s="123"/>
      <c r="BJ115" s="123"/>
      <c r="BK115" s="123"/>
      <c r="BL115" s="123"/>
      <c r="BM115" s="117"/>
      <c r="BN115" s="123"/>
      <c r="BO115" s="140"/>
      <c r="BP115" s="140">
        <f t="shared" si="8"/>
        <v>40.4</v>
      </c>
      <c r="BQ115" s="140"/>
      <c r="BR115" s="123"/>
      <c r="BS115" s="141"/>
      <c r="BT115" s="123"/>
      <c r="BU115" s="141"/>
      <c r="BV115" s="123"/>
      <c r="BW115" s="123"/>
      <c r="BX115" s="123"/>
      <c r="BY115" s="123"/>
      <c r="BZ115" s="123"/>
      <c r="CA115" s="123">
        <f t="shared" si="9"/>
        <v>40.4</v>
      </c>
      <c r="CB115" s="143"/>
      <c r="CC115" s="140"/>
      <c r="CD115" s="120">
        <v>46168</v>
      </c>
      <c r="CE115" s="120">
        <v>46170</v>
      </c>
      <c r="CF115" s="120">
        <v>46175</v>
      </c>
      <c r="CG115" s="123"/>
      <c r="CH115" s="120"/>
      <c r="CI115" s="120"/>
      <c r="CJ115" s="123"/>
      <c r="CK115" s="132"/>
    </row>
    <row r="116" spans="1:89" ht="57.95">
      <c r="A116" s="106" t="s">
        <v>953</v>
      </c>
      <c r="B116" s="107">
        <v>0</v>
      </c>
      <c r="C116" s="49">
        <v>0</v>
      </c>
      <c r="D116" s="107">
        <v>0</v>
      </c>
      <c r="E116" s="108"/>
      <c r="F116" s="108"/>
      <c r="G116" s="121"/>
      <c r="H116" s="155">
        <v>17625104</v>
      </c>
      <c r="I116" s="109">
        <f>Tracker[[#This Row],[DCR ID - PTC]]</f>
        <v>17625104</v>
      </c>
      <c r="J116" s="107" t="s">
        <v>572</v>
      </c>
      <c r="K116" s="49" t="s">
        <v>118</v>
      </c>
      <c r="L116" s="108"/>
      <c r="M116" s="108"/>
      <c r="N116" s="580" t="s">
        <v>955</v>
      </c>
      <c r="O116" s="111" t="s">
        <v>115</v>
      </c>
      <c r="P116" s="111"/>
      <c r="Q116" s="111"/>
      <c r="R116" s="111"/>
      <c r="S116" s="111"/>
      <c r="T116" s="111"/>
      <c r="U116" s="108"/>
      <c r="V116" s="108"/>
      <c r="W116" s="108"/>
      <c r="X116" s="108">
        <f t="shared" si="5"/>
        <v>40.4</v>
      </c>
      <c r="Y116" s="108"/>
      <c r="Z116" s="108"/>
      <c r="AA116" s="108"/>
      <c r="AB116" s="112"/>
      <c r="AC116" s="108"/>
      <c r="AD116" s="108" t="s">
        <v>93</v>
      </c>
      <c r="AE116" s="107"/>
      <c r="AF116" s="113"/>
      <c r="AG116" s="115"/>
      <c r="AH116" s="108" t="s">
        <v>109</v>
      </c>
      <c r="AI116" s="108" t="s">
        <v>95</v>
      </c>
      <c r="AJ116" s="114">
        <v>46112.395833333336</v>
      </c>
      <c r="AK116" s="108" t="s">
        <v>96</v>
      </c>
      <c r="AL116" s="115">
        <v>45933.945057870369</v>
      </c>
      <c r="AM116" s="116"/>
      <c r="AN116" s="116"/>
      <c r="AO116" s="139"/>
      <c r="AP116" s="108"/>
      <c r="AQ116" s="107"/>
      <c r="AR116" s="107"/>
      <c r="AS116" s="116"/>
      <c r="AT116" s="114">
        <f t="shared" si="6"/>
        <v>40.4</v>
      </c>
      <c r="AU116" s="114"/>
      <c r="AV116" s="108"/>
      <c r="AW116" s="108"/>
      <c r="AX116" s="108"/>
      <c r="AY116" s="108" t="s">
        <v>866</v>
      </c>
      <c r="AZ116" s="108"/>
      <c r="BA116" s="108"/>
      <c r="BB116" s="108"/>
      <c r="BC116" s="108"/>
      <c r="BD116" s="111"/>
      <c r="BE116" s="111">
        <f t="shared" si="7"/>
        <v>40.4</v>
      </c>
      <c r="BF116" s="111"/>
      <c r="BG116" s="111"/>
      <c r="BH116" s="111"/>
      <c r="BI116" s="111"/>
      <c r="BJ116" s="111"/>
      <c r="BK116" s="111"/>
      <c r="BL116" s="111"/>
      <c r="BM116" s="117"/>
      <c r="BN116" s="111"/>
      <c r="BO116" s="117"/>
      <c r="BP116" s="117">
        <f t="shared" si="8"/>
        <v>40.4</v>
      </c>
      <c r="BQ116" s="117"/>
      <c r="BR116" s="111"/>
      <c r="BS116" s="118"/>
      <c r="BT116" s="111"/>
      <c r="BU116" s="118"/>
      <c r="BV116" s="111"/>
      <c r="BW116" s="111"/>
      <c r="BX116" s="111"/>
      <c r="BY116" s="111"/>
      <c r="BZ116" s="111"/>
      <c r="CA116" s="111">
        <f t="shared" si="9"/>
        <v>40.4</v>
      </c>
      <c r="CB116" s="119"/>
      <c r="CC116" s="117"/>
      <c r="CD116" s="120">
        <v>46168</v>
      </c>
      <c r="CE116" s="120">
        <v>46170</v>
      </c>
      <c r="CF116" s="120">
        <v>46175</v>
      </c>
      <c r="CG116" s="111"/>
      <c r="CH116" s="120"/>
      <c r="CI116" s="120"/>
      <c r="CJ116" s="111"/>
      <c r="CK116" s="132"/>
    </row>
    <row r="117" spans="1:89" ht="43.5">
      <c r="A117" s="106" t="s">
        <v>248</v>
      </c>
      <c r="B117" s="107">
        <v>0</v>
      </c>
      <c r="C117" s="49">
        <v>0</v>
      </c>
      <c r="D117" s="107">
        <v>0</v>
      </c>
      <c r="E117" s="108"/>
      <c r="F117" s="108"/>
      <c r="G117" s="121"/>
      <c r="H117" s="151">
        <v>17119319</v>
      </c>
      <c r="I117" s="109">
        <f>Tracker[[#This Row],[DCR ID - PTC]]</f>
        <v>17119319</v>
      </c>
      <c r="J117" s="107" t="s">
        <v>249</v>
      </c>
      <c r="K117" s="107"/>
      <c r="L117" s="108"/>
      <c r="M117" s="108"/>
      <c r="N117" s="580"/>
      <c r="O117" s="111"/>
      <c r="P117" s="111"/>
      <c r="Q117" s="111"/>
      <c r="R117" s="111"/>
      <c r="S117" s="111"/>
      <c r="T117" s="111"/>
      <c r="U117" s="108"/>
      <c r="V117" s="108"/>
      <c r="W117" s="108"/>
      <c r="X117" s="108">
        <f t="shared" si="5"/>
        <v>40.4</v>
      </c>
      <c r="Y117" s="108"/>
      <c r="Z117" s="108"/>
      <c r="AA117" s="108" t="s">
        <v>107</v>
      </c>
      <c r="AB117" s="112"/>
      <c r="AC117" s="108"/>
      <c r="AD117" s="108" t="s">
        <v>146</v>
      </c>
      <c r="AE117" s="107"/>
      <c r="AF117" s="113"/>
      <c r="AG117" s="115"/>
      <c r="AH117" s="108" t="s">
        <v>109</v>
      </c>
      <c r="AI117" s="108" t="s">
        <v>95</v>
      </c>
      <c r="AJ117" s="114">
        <v>45961.395833333336</v>
      </c>
      <c r="AK117" s="108" t="s">
        <v>96</v>
      </c>
      <c r="AL117" s="115">
        <v>45864.047280092593</v>
      </c>
      <c r="AM117" s="116"/>
      <c r="AN117" s="116"/>
      <c r="AO117" s="139"/>
      <c r="AP117" s="108"/>
      <c r="AQ117" s="107"/>
      <c r="AR117" s="107"/>
      <c r="AS117" s="116"/>
      <c r="AT117" s="114">
        <f t="shared" si="6"/>
        <v>40.4</v>
      </c>
      <c r="AU117" s="114"/>
      <c r="AV117" s="108"/>
      <c r="AW117" s="108"/>
      <c r="AX117" s="108"/>
      <c r="AY117" s="108" t="s">
        <v>866</v>
      </c>
      <c r="AZ117" s="108"/>
      <c r="BA117" s="108"/>
      <c r="BB117" s="108"/>
      <c r="BC117" s="108"/>
      <c r="BD117" s="111"/>
      <c r="BE117" s="111">
        <f t="shared" si="7"/>
        <v>40.4</v>
      </c>
      <c r="BF117" s="111"/>
      <c r="BG117" s="111"/>
      <c r="BH117" s="111"/>
      <c r="BI117" s="111"/>
      <c r="BJ117" s="111"/>
      <c r="BK117" s="111"/>
      <c r="BL117" s="111"/>
      <c r="BM117" s="117"/>
      <c r="BN117" s="111"/>
      <c r="BO117" s="117"/>
      <c r="BP117" s="117">
        <f t="shared" si="8"/>
        <v>40.4</v>
      </c>
      <c r="BQ117" s="117"/>
      <c r="BR117" s="111"/>
      <c r="BS117" s="118"/>
      <c r="BT117" s="111"/>
      <c r="BU117" s="118"/>
      <c r="BV117" s="111"/>
      <c r="BW117" s="111"/>
      <c r="BX117" s="111"/>
      <c r="BY117" s="111"/>
      <c r="BZ117" s="111"/>
      <c r="CA117" s="111">
        <f t="shared" si="9"/>
        <v>40.4</v>
      </c>
      <c r="CB117" s="119"/>
      <c r="CC117" s="117"/>
      <c r="CD117" s="120" t="e">
        <v>#N/A</v>
      </c>
      <c r="CE117" s="120" t="e">
        <v>#N/A</v>
      </c>
      <c r="CF117" s="120" t="e">
        <v>#N/A</v>
      </c>
      <c r="CG117" s="111"/>
      <c r="CH117" s="120"/>
      <c r="CI117" s="120"/>
      <c r="CJ117" s="111"/>
      <c r="CK117" s="132"/>
    </row>
    <row r="118" spans="1:89" ht="43.5">
      <c r="A118" s="134" t="s">
        <v>248</v>
      </c>
      <c r="B118" s="49">
        <v>0</v>
      </c>
      <c r="C118" s="49">
        <v>0</v>
      </c>
      <c r="D118" s="107">
        <v>0</v>
      </c>
      <c r="E118" s="134"/>
      <c r="F118" s="134"/>
      <c r="G118" s="150"/>
      <c r="H118" s="271">
        <v>18480332</v>
      </c>
      <c r="I118" s="109">
        <f>Tracker[[#This Row],[DCR ID - PTC]]</f>
        <v>18480332</v>
      </c>
      <c r="J118" s="134" t="s">
        <v>255</v>
      </c>
      <c r="K118" s="134"/>
      <c r="L118" s="134"/>
      <c r="M118" s="134"/>
      <c r="N118" s="580"/>
      <c r="O118" s="123"/>
      <c r="P118" s="123"/>
      <c r="Q118" s="123"/>
      <c r="R118" s="123"/>
      <c r="S118" s="123"/>
      <c r="T118" s="123"/>
      <c r="U118" s="134"/>
      <c r="V118" s="134"/>
      <c r="W118" s="134"/>
      <c r="X118" s="134">
        <f t="shared" si="5"/>
        <v>40.4</v>
      </c>
      <c r="Y118" s="134"/>
      <c r="Z118" s="134"/>
      <c r="AA118" s="134"/>
      <c r="AB118" s="29">
        <v>46142</v>
      </c>
      <c r="AC118" s="134"/>
      <c r="AD118" s="134" t="s">
        <v>116</v>
      </c>
      <c r="AE118" s="49"/>
      <c r="AF118" s="136"/>
      <c r="AG118" s="137"/>
      <c r="AH118" s="134" t="s">
        <v>117</v>
      </c>
      <c r="AI118" s="134" t="s">
        <v>95</v>
      </c>
      <c r="AJ118" s="138">
        <v>45535</v>
      </c>
      <c r="AK118" s="134" t="s">
        <v>96</v>
      </c>
      <c r="AL118" s="137">
        <v>46041.681863425925</v>
      </c>
      <c r="AM118" s="139"/>
      <c r="AN118" s="139"/>
      <c r="AO118" s="139"/>
      <c r="AP118" s="134"/>
      <c r="AQ118" s="49"/>
      <c r="AR118" s="49"/>
      <c r="AS118" s="139"/>
      <c r="AT118" s="138">
        <f t="shared" si="6"/>
        <v>40.4</v>
      </c>
      <c r="AU118" s="138"/>
      <c r="AV118" s="134"/>
      <c r="AW118" s="134"/>
      <c r="AX118" s="108"/>
      <c r="AY118" s="108" t="s">
        <v>866</v>
      </c>
      <c r="AZ118" s="134"/>
      <c r="BA118" s="134"/>
      <c r="BB118" s="134"/>
      <c r="BC118" s="134"/>
      <c r="BD118" s="123"/>
      <c r="BE118" s="123">
        <f t="shared" si="7"/>
        <v>40.4</v>
      </c>
      <c r="BF118" s="123"/>
      <c r="BG118" s="123"/>
      <c r="BH118" s="123"/>
      <c r="BI118" s="123"/>
      <c r="BJ118" s="123"/>
      <c r="BK118" s="123"/>
      <c r="BL118" s="123"/>
      <c r="BM118" s="117"/>
      <c r="BN118" s="123"/>
      <c r="BO118" s="140"/>
      <c r="BP118" s="140">
        <f t="shared" si="8"/>
        <v>40.4</v>
      </c>
      <c r="BQ118" s="140"/>
      <c r="BR118" s="123"/>
      <c r="BS118" s="141"/>
      <c r="BT118" s="123"/>
      <c r="BU118" s="141"/>
      <c r="BV118" s="123"/>
      <c r="BW118" s="123"/>
      <c r="BX118" s="123"/>
      <c r="BY118" s="123"/>
      <c r="BZ118" s="123"/>
      <c r="CA118" s="123">
        <f t="shared" si="9"/>
        <v>40.4</v>
      </c>
      <c r="CB118" s="143"/>
      <c r="CC118" s="140"/>
      <c r="CD118" s="120" t="e">
        <v>#N/A</v>
      </c>
      <c r="CE118" s="120" t="e">
        <v>#N/A</v>
      </c>
      <c r="CF118" s="120" t="e">
        <v>#N/A</v>
      </c>
      <c r="CG118" s="123"/>
      <c r="CH118" s="120"/>
      <c r="CI118" s="120"/>
      <c r="CJ118" s="123"/>
      <c r="CK118" s="132"/>
    </row>
    <row r="119" spans="1:89" ht="76.5">
      <c r="A119" s="268" t="s">
        <v>549</v>
      </c>
      <c r="B119" s="49">
        <f>6.5</f>
        <v>6.5</v>
      </c>
      <c r="C119" s="49">
        <v>0</v>
      </c>
      <c r="D119" s="107">
        <v>0</v>
      </c>
      <c r="E119" s="134"/>
      <c r="F119" s="134" t="s">
        <v>136</v>
      </c>
      <c r="G119" s="150"/>
      <c r="H119" s="271">
        <v>18901997</v>
      </c>
      <c r="I119" s="109">
        <f>Tracker[[#This Row],[DCR ID - PTC]]</f>
        <v>18901997</v>
      </c>
      <c r="J119" s="134" t="s">
        <v>956</v>
      </c>
      <c r="K119" s="134" t="s">
        <v>101</v>
      </c>
      <c r="L119" s="134"/>
      <c r="M119" s="134"/>
      <c r="N119" s="581" t="s">
        <v>957</v>
      </c>
      <c r="O119" s="111" t="s">
        <v>115</v>
      </c>
      <c r="P119" s="123"/>
      <c r="Q119" s="123"/>
      <c r="R119" s="123"/>
      <c r="S119" s="123"/>
      <c r="T119" s="123"/>
      <c r="U119" s="134"/>
      <c r="V119" s="134"/>
      <c r="W119" s="134"/>
      <c r="X119" s="134">
        <f t="shared" si="5"/>
        <v>40.4</v>
      </c>
      <c r="Y119" s="134"/>
      <c r="Z119" s="134"/>
      <c r="AA119" s="134" t="s">
        <v>873</v>
      </c>
      <c r="AB119" s="29">
        <v>46115</v>
      </c>
      <c r="AC119" s="134"/>
      <c r="AD119" s="134" t="s">
        <v>116</v>
      </c>
      <c r="AE119" s="49"/>
      <c r="AF119" s="136"/>
      <c r="AG119" s="137">
        <v>46120.037361111114</v>
      </c>
      <c r="AH119" s="134" t="s">
        <v>94</v>
      </c>
      <c r="AI119" s="134" t="s">
        <v>110</v>
      </c>
      <c r="AJ119" s="138">
        <v>46120.395833333336</v>
      </c>
      <c r="AK119" s="134" t="s">
        <v>96</v>
      </c>
      <c r="AL119" s="137">
        <v>46076.977638888886</v>
      </c>
      <c r="AM119" s="139"/>
      <c r="AN119" s="139"/>
      <c r="AO119" s="139"/>
      <c r="AP119" s="134"/>
      <c r="AQ119" s="49"/>
      <c r="AR119" s="49"/>
      <c r="AS119" s="139"/>
      <c r="AT119" s="138">
        <f t="shared" si="6"/>
        <v>40.4</v>
      </c>
      <c r="AU119" s="138"/>
      <c r="AV119" s="134"/>
      <c r="AW119" s="134"/>
      <c r="AX119" s="108"/>
      <c r="AY119" s="108" t="s">
        <v>866</v>
      </c>
      <c r="AZ119" s="134"/>
      <c r="BA119" s="134"/>
      <c r="BB119" s="134"/>
      <c r="BC119" s="134"/>
      <c r="BD119" s="123"/>
      <c r="BE119" s="123">
        <f t="shared" si="7"/>
        <v>40.4</v>
      </c>
      <c r="BF119" s="123"/>
      <c r="BG119" s="123"/>
      <c r="BH119" s="123"/>
      <c r="BI119" s="123"/>
      <c r="BJ119" s="123"/>
      <c r="BK119" s="123"/>
      <c r="BL119" s="123"/>
      <c r="BM119" s="117"/>
      <c r="BN119" s="123"/>
      <c r="BO119" s="140"/>
      <c r="BP119" s="140">
        <f t="shared" si="8"/>
        <v>40.4</v>
      </c>
      <c r="BQ119" s="140"/>
      <c r="BR119" s="123"/>
      <c r="BS119" s="141"/>
      <c r="BT119" s="123"/>
      <c r="BU119" s="141"/>
      <c r="BV119" s="123"/>
      <c r="BW119" s="123"/>
      <c r="BX119" s="123"/>
      <c r="BY119" s="123"/>
      <c r="BZ119" s="123"/>
      <c r="CA119" s="123">
        <f t="shared" si="9"/>
        <v>40.4</v>
      </c>
      <c r="CB119" s="143"/>
      <c r="CC119" s="140"/>
      <c r="CD119" s="120" t="e">
        <v>#N/A</v>
      </c>
      <c r="CE119" s="120" t="e">
        <v>#N/A</v>
      </c>
      <c r="CF119" s="120" t="e">
        <v>#N/A</v>
      </c>
      <c r="CG119" s="123"/>
      <c r="CH119" s="120"/>
      <c r="CI119" s="120"/>
      <c r="CJ119" s="123"/>
      <c r="CK119" s="132"/>
    </row>
    <row r="120" spans="1:89" ht="43.5">
      <c r="A120" s="268" t="s">
        <v>248</v>
      </c>
      <c r="B120" s="49">
        <v>0</v>
      </c>
      <c r="C120" s="49">
        <v>0</v>
      </c>
      <c r="D120" s="49">
        <v>0</v>
      </c>
      <c r="E120" s="134"/>
      <c r="F120" s="134" t="s">
        <v>136</v>
      </c>
      <c r="G120" s="150"/>
      <c r="H120" s="271">
        <v>18929504</v>
      </c>
      <c r="I120" s="109">
        <f>Tracker[[#This Row],[DCR ID - PTC]]</f>
        <v>18929504</v>
      </c>
      <c r="J120" s="134" t="s">
        <v>958</v>
      </c>
      <c r="K120" s="134"/>
      <c r="L120" s="134"/>
      <c r="M120" s="134"/>
      <c r="N120" s="580"/>
      <c r="O120" s="111"/>
      <c r="P120" s="123"/>
      <c r="Q120" s="123"/>
      <c r="R120" s="123"/>
      <c r="S120" s="123"/>
      <c r="T120" s="123"/>
      <c r="U120" s="134"/>
      <c r="V120" s="134"/>
      <c r="W120" s="134"/>
      <c r="X120" s="134">
        <f t="shared" si="5"/>
        <v>40.4</v>
      </c>
      <c r="Y120" s="134"/>
      <c r="Z120" s="134"/>
      <c r="AA120" s="134" t="s">
        <v>873</v>
      </c>
      <c r="AB120" s="29">
        <v>46112</v>
      </c>
      <c r="AC120" s="134"/>
      <c r="AD120" s="134" t="s">
        <v>116</v>
      </c>
      <c r="AE120" s="49"/>
      <c r="AF120" s="136"/>
      <c r="AG120" s="137">
        <v>46120.036041666666</v>
      </c>
      <c r="AH120" s="134" t="s">
        <v>94</v>
      </c>
      <c r="AI120" s="134" t="s">
        <v>110</v>
      </c>
      <c r="AJ120" s="138">
        <v>46120.395833333336</v>
      </c>
      <c r="AK120" s="134" t="s">
        <v>96</v>
      </c>
      <c r="AL120" s="137">
        <v>46079.838402777779</v>
      </c>
      <c r="AM120" s="139"/>
      <c r="AN120" s="139"/>
      <c r="AO120" s="139"/>
      <c r="AP120" s="134"/>
      <c r="AQ120" s="49"/>
      <c r="AR120" s="49"/>
      <c r="AS120" s="139"/>
      <c r="AT120" s="138">
        <f t="shared" si="6"/>
        <v>40.4</v>
      </c>
      <c r="AU120" s="138"/>
      <c r="AV120" s="134"/>
      <c r="AW120" s="134"/>
      <c r="AX120" s="108"/>
      <c r="AY120" s="108" t="s">
        <v>866</v>
      </c>
      <c r="AZ120" s="134"/>
      <c r="BA120" s="134"/>
      <c r="BB120" s="134"/>
      <c r="BC120" s="134"/>
      <c r="BD120" s="123"/>
      <c r="BE120" s="123">
        <f t="shared" si="7"/>
        <v>40.4</v>
      </c>
      <c r="BF120" s="123"/>
      <c r="BG120" s="123"/>
      <c r="BH120" s="123"/>
      <c r="BI120" s="123"/>
      <c r="BJ120" s="123"/>
      <c r="BK120" s="123"/>
      <c r="BL120" s="123"/>
      <c r="BM120" s="117"/>
      <c r="BN120" s="123"/>
      <c r="BO120" s="140"/>
      <c r="BP120" s="140">
        <f t="shared" si="8"/>
        <v>40.4</v>
      </c>
      <c r="BQ120" s="140"/>
      <c r="BR120" s="123"/>
      <c r="BS120" s="141"/>
      <c r="BT120" s="123"/>
      <c r="BU120" s="141"/>
      <c r="BV120" s="123"/>
      <c r="BW120" s="123"/>
      <c r="BX120" s="123"/>
      <c r="BY120" s="123"/>
      <c r="BZ120" s="123"/>
      <c r="CA120" s="123">
        <f t="shared" si="9"/>
        <v>40.4</v>
      </c>
      <c r="CB120" s="143"/>
      <c r="CC120" s="140"/>
      <c r="CD120" s="120" t="e">
        <v>#N/A</v>
      </c>
      <c r="CE120" s="120" t="e">
        <v>#N/A</v>
      </c>
      <c r="CF120" s="120" t="e">
        <v>#N/A</v>
      </c>
      <c r="CG120" s="123"/>
      <c r="CH120" s="120"/>
      <c r="CI120" s="120"/>
      <c r="CJ120" s="123"/>
      <c r="CK120" s="132"/>
    </row>
    <row r="121" spans="1:89" ht="43.5">
      <c r="A121" s="268" t="s">
        <v>248</v>
      </c>
      <c r="B121" s="49">
        <v>0</v>
      </c>
      <c r="C121" s="49">
        <v>0</v>
      </c>
      <c r="D121" s="107">
        <v>0</v>
      </c>
      <c r="E121" s="134"/>
      <c r="F121" s="134" t="s">
        <v>136</v>
      </c>
      <c r="G121" s="150"/>
      <c r="H121" s="271">
        <v>19391708</v>
      </c>
      <c r="I121" s="109">
        <f>Tracker[[#This Row],[DCR ID - PTC]]</f>
        <v>19391708</v>
      </c>
      <c r="J121" s="49" t="s">
        <v>959</v>
      </c>
      <c r="K121" s="134"/>
      <c r="L121" s="134"/>
      <c r="M121" s="134"/>
      <c r="N121" s="580"/>
      <c r="O121" s="111"/>
      <c r="P121" s="123"/>
      <c r="Q121" s="123"/>
      <c r="R121" s="123"/>
      <c r="S121" s="123"/>
      <c r="T121" s="123"/>
      <c r="U121" s="134"/>
      <c r="V121" s="134"/>
      <c r="W121" s="134"/>
      <c r="X121" s="134">
        <f t="shared" si="5"/>
        <v>40.4</v>
      </c>
      <c r="Y121" s="134"/>
      <c r="Z121" s="134"/>
      <c r="AA121" s="134" t="s">
        <v>873</v>
      </c>
      <c r="AC121" s="134"/>
      <c r="AD121" s="134" t="s">
        <v>116</v>
      </c>
      <c r="AE121" s="49"/>
      <c r="AF121" s="136"/>
      <c r="AG121" s="137">
        <v>46137.010289351849</v>
      </c>
      <c r="AH121" s="134" t="s">
        <v>94</v>
      </c>
      <c r="AI121" s="134" t="s">
        <v>110</v>
      </c>
      <c r="AJ121" s="138">
        <v>46142.395833333336</v>
      </c>
      <c r="AK121" s="134" t="s">
        <v>96</v>
      </c>
      <c r="AL121" s="137">
        <v>46120.713842592595</v>
      </c>
      <c r="AM121" s="139"/>
      <c r="AN121" s="139"/>
      <c r="AO121" s="139"/>
      <c r="AP121" s="134"/>
      <c r="AQ121" s="49"/>
      <c r="AR121" s="49"/>
      <c r="AS121" s="116"/>
      <c r="AT121" s="138">
        <f t="shared" si="6"/>
        <v>40.4</v>
      </c>
      <c r="AU121" s="138"/>
      <c r="AV121" s="134"/>
      <c r="AW121" s="134"/>
      <c r="AX121" s="108"/>
      <c r="AY121" s="108" t="s">
        <v>866</v>
      </c>
      <c r="AZ121" s="134"/>
      <c r="BA121" s="134"/>
      <c r="BB121" s="134"/>
      <c r="BC121" s="134"/>
      <c r="BD121" s="123"/>
      <c r="BE121" s="123">
        <f t="shared" si="7"/>
        <v>40.4</v>
      </c>
      <c r="BF121" s="123"/>
      <c r="BG121" s="123"/>
      <c r="BH121" s="123"/>
      <c r="BI121" s="123"/>
      <c r="BJ121" s="123"/>
      <c r="BK121" s="123"/>
      <c r="BL121" s="123"/>
      <c r="BM121" s="117"/>
      <c r="BN121" s="123"/>
      <c r="BO121" s="140"/>
      <c r="BP121" s="140">
        <f t="shared" si="8"/>
        <v>40.4</v>
      </c>
      <c r="BQ121" s="140"/>
      <c r="BR121" s="123"/>
      <c r="BS121" s="141"/>
      <c r="BT121" s="123"/>
      <c r="BU121" s="141"/>
      <c r="BV121" s="123"/>
      <c r="BW121" s="123"/>
      <c r="BX121" s="123"/>
      <c r="BY121" s="123"/>
      <c r="BZ121" s="123"/>
      <c r="CA121" s="123">
        <f t="shared" si="9"/>
        <v>40.4</v>
      </c>
      <c r="CB121" s="143"/>
      <c r="CC121" s="140"/>
      <c r="CD121" s="120" t="e">
        <v>#N/A</v>
      </c>
      <c r="CE121" s="120" t="e">
        <v>#N/A</v>
      </c>
      <c r="CF121" s="120" t="e">
        <v>#N/A</v>
      </c>
      <c r="CG121" s="123"/>
      <c r="CH121" s="120"/>
      <c r="CI121" s="120"/>
      <c r="CJ121" s="123"/>
      <c r="CK121" s="132"/>
    </row>
    <row r="122" spans="1:89" ht="43.5">
      <c r="A122" s="268" t="s">
        <v>248</v>
      </c>
      <c r="B122" s="49">
        <v>0</v>
      </c>
      <c r="C122" s="49">
        <v>0</v>
      </c>
      <c r="D122" s="49">
        <v>0</v>
      </c>
      <c r="E122" s="134"/>
      <c r="F122" s="134" t="s">
        <v>127</v>
      </c>
      <c r="G122" s="150"/>
      <c r="H122" s="271">
        <v>17965355</v>
      </c>
      <c r="I122" s="109">
        <f>Tracker[[#This Row],[DCR ID - PTC]]</f>
        <v>17965355</v>
      </c>
      <c r="J122" s="49" t="s">
        <v>251</v>
      </c>
      <c r="K122" s="49" t="s">
        <v>101</v>
      </c>
      <c r="L122" s="134" t="s">
        <v>252</v>
      </c>
      <c r="M122" s="134"/>
      <c r="N122" s="580"/>
      <c r="O122" s="111"/>
      <c r="P122" s="123"/>
      <c r="Q122" s="123"/>
      <c r="R122" s="123"/>
      <c r="S122" s="123"/>
      <c r="T122" s="123"/>
      <c r="U122" s="134"/>
      <c r="V122" s="134"/>
      <c r="W122" s="134"/>
      <c r="X122" s="134">
        <f t="shared" si="5"/>
        <v>40.4</v>
      </c>
      <c r="Y122" s="134"/>
      <c r="Z122" s="134"/>
      <c r="AA122" s="134" t="s">
        <v>253</v>
      </c>
      <c r="AB122" s="29">
        <v>45991</v>
      </c>
      <c r="AC122" s="134" t="s">
        <v>252</v>
      </c>
      <c r="AD122" s="134" t="s">
        <v>116</v>
      </c>
      <c r="AE122" s="49"/>
      <c r="AF122" s="136"/>
      <c r="AG122" s="137">
        <v>45986.781701388885</v>
      </c>
      <c r="AH122" s="134" t="s">
        <v>254</v>
      </c>
      <c r="AI122" s="134" t="s">
        <v>110</v>
      </c>
      <c r="AJ122" s="138">
        <v>45991.4375</v>
      </c>
      <c r="AK122" s="134" t="s">
        <v>96</v>
      </c>
      <c r="AL122" s="137">
        <v>45976.499479166669</v>
      </c>
      <c r="AM122" s="139"/>
      <c r="AN122" s="139"/>
      <c r="AO122" s="139"/>
      <c r="AP122" s="134"/>
      <c r="AQ122" s="49"/>
      <c r="AR122" s="49"/>
      <c r="AS122" s="139"/>
      <c r="AT122" s="138">
        <f t="shared" si="6"/>
        <v>40.4</v>
      </c>
      <c r="AU122" s="138"/>
      <c r="AV122" s="134"/>
      <c r="AW122" s="134"/>
      <c r="AX122" s="108"/>
      <c r="AY122" s="108" t="s">
        <v>866</v>
      </c>
      <c r="AZ122" s="134"/>
      <c r="BA122" s="134"/>
      <c r="BB122" s="134"/>
      <c r="BC122" s="134"/>
      <c r="BD122" s="123"/>
      <c r="BE122" s="123">
        <f t="shared" si="7"/>
        <v>40.4</v>
      </c>
      <c r="BF122" s="123"/>
      <c r="BG122" s="123"/>
      <c r="BH122" s="123"/>
      <c r="BI122" s="123"/>
      <c r="BJ122" s="123"/>
      <c r="BK122" s="123"/>
      <c r="BL122" s="123"/>
      <c r="BM122" s="117"/>
      <c r="BN122" s="123"/>
      <c r="BO122" s="140"/>
      <c r="BP122" s="140">
        <f t="shared" si="8"/>
        <v>40.4</v>
      </c>
      <c r="BQ122" s="140"/>
      <c r="BR122" s="123"/>
      <c r="BS122" s="141"/>
      <c r="BT122" s="123"/>
      <c r="BU122" s="141"/>
      <c r="BV122" s="123"/>
      <c r="BW122" s="123"/>
      <c r="BX122" s="123"/>
      <c r="BY122" s="123"/>
      <c r="BZ122" s="123"/>
      <c r="CA122" s="123">
        <f t="shared" si="9"/>
        <v>40.4</v>
      </c>
      <c r="CB122" s="143"/>
      <c r="CC122" s="140"/>
      <c r="CD122" s="120" t="e">
        <v>#N/A</v>
      </c>
      <c r="CE122" s="120" t="e">
        <v>#N/A</v>
      </c>
      <c r="CF122" s="120" t="e">
        <v>#N/A</v>
      </c>
      <c r="CG122" s="123"/>
      <c r="CH122" s="120"/>
      <c r="CI122" s="120"/>
      <c r="CJ122" s="123"/>
      <c r="CK122" s="132"/>
    </row>
    <row r="123" spans="1:89" ht="87">
      <c r="A123" s="268" t="s">
        <v>248</v>
      </c>
      <c r="B123" s="49">
        <f>7+19+2+4</f>
        <v>32</v>
      </c>
      <c r="C123" s="49">
        <v>30</v>
      </c>
      <c r="D123" s="107">
        <f>Tracker[[#This Row],[Estimated Hrs]]-Tracker[[#This Row],[Actual Efforts (Hrs)]]</f>
        <v>-2</v>
      </c>
      <c r="E123" s="134"/>
      <c r="F123" s="134" t="s">
        <v>867</v>
      </c>
      <c r="G123" s="150" t="s">
        <v>867</v>
      </c>
      <c r="H123" s="149">
        <v>19564373</v>
      </c>
      <c r="I123" s="149">
        <v>19564373</v>
      </c>
      <c r="J123" s="49" t="s">
        <v>960</v>
      </c>
      <c r="K123" s="134" t="s">
        <v>104</v>
      </c>
      <c r="L123" s="134"/>
      <c r="M123" s="134"/>
      <c r="N123" s="580" t="s">
        <v>961</v>
      </c>
      <c r="O123" s="111" t="s">
        <v>106</v>
      </c>
      <c r="P123" s="123"/>
      <c r="Q123" s="123"/>
      <c r="R123" s="123"/>
      <c r="S123" s="123"/>
      <c r="T123" s="123"/>
      <c r="U123" s="134"/>
      <c r="V123" s="134"/>
      <c r="W123" s="134"/>
      <c r="X123" s="134">
        <f t="shared" si="5"/>
        <v>40.4</v>
      </c>
      <c r="Y123" s="134"/>
      <c r="Z123" s="134"/>
      <c r="AA123" s="134" t="s">
        <v>873</v>
      </c>
      <c r="AB123" s="29">
        <v>46148</v>
      </c>
      <c r="AC123" s="134"/>
      <c r="AD123" s="134" t="s">
        <v>116</v>
      </c>
      <c r="AE123" s="49"/>
      <c r="AF123" s="136"/>
      <c r="AG123" s="137">
        <v>46146</v>
      </c>
      <c r="AH123" s="134" t="s">
        <v>94</v>
      </c>
      <c r="AI123" s="134" t="s">
        <v>95</v>
      </c>
      <c r="AJ123" s="138">
        <v>46142.395833333336</v>
      </c>
      <c r="AK123" s="134" t="s">
        <v>96</v>
      </c>
      <c r="AL123" s="137">
        <v>46126.864131944443</v>
      </c>
      <c r="AM123" s="139"/>
      <c r="AN123" s="139"/>
      <c r="AO123" s="139">
        <v>46157</v>
      </c>
      <c r="AP123" s="134"/>
      <c r="AQ123" s="49"/>
      <c r="AR123" s="49"/>
      <c r="AS123" s="139">
        <v>46160</v>
      </c>
      <c r="AT123" s="138">
        <v>46155</v>
      </c>
      <c r="AU123" s="138">
        <v>46156</v>
      </c>
      <c r="AV123" s="134"/>
      <c r="AW123" s="134"/>
      <c r="AX123" s="108" t="s">
        <v>97</v>
      </c>
      <c r="AY123" s="108" t="s">
        <v>98</v>
      </c>
      <c r="AZ123" s="134"/>
      <c r="BA123" s="134"/>
      <c r="BB123" s="134"/>
      <c r="BC123" s="134"/>
      <c r="BD123" s="123"/>
      <c r="BE123" s="123">
        <f t="shared" si="7"/>
        <v>40.4</v>
      </c>
      <c r="BF123" s="123"/>
      <c r="BG123" s="123"/>
      <c r="BH123" s="123"/>
      <c r="BI123" s="123"/>
      <c r="BJ123" s="123"/>
      <c r="BK123" s="123"/>
      <c r="BL123" s="123"/>
      <c r="BM123" s="117"/>
      <c r="BN123" s="123"/>
      <c r="BO123" s="140"/>
      <c r="BP123" s="140">
        <f t="shared" si="8"/>
        <v>40.4</v>
      </c>
      <c r="BQ123" s="140"/>
      <c r="BR123" s="123"/>
      <c r="BS123" s="141"/>
      <c r="BT123" s="123"/>
      <c r="BU123" s="141"/>
      <c r="BV123" s="123"/>
      <c r="BW123" s="123"/>
      <c r="BX123" s="123"/>
      <c r="BY123" s="123"/>
      <c r="BZ123" s="123"/>
      <c r="CA123" s="123">
        <f t="shared" si="9"/>
        <v>40.4</v>
      </c>
      <c r="CB123" s="119">
        <v>1</v>
      </c>
      <c r="CC123" s="140"/>
      <c r="CD123" s="120">
        <v>46153</v>
      </c>
      <c r="CE123" s="120" t="s">
        <v>917</v>
      </c>
      <c r="CF123" s="120" t="s">
        <v>918</v>
      </c>
      <c r="CG123" s="123"/>
      <c r="CH123" s="120"/>
      <c r="CI123" s="120"/>
      <c r="CJ123" s="123"/>
      <c r="CK123" s="586" t="s">
        <v>870</v>
      </c>
    </row>
    <row r="124" spans="1:89" ht="57.95">
      <c r="A124" s="268" t="s">
        <v>248</v>
      </c>
      <c r="B124" s="49">
        <f>13+5.5+6.5+1</f>
        <v>26</v>
      </c>
      <c r="C124" s="49">
        <v>32.5</v>
      </c>
      <c r="D124" s="107">
        <f>Tracker[[#This Row],[Estimated Hrs]]-Tracker[[#This Row],[Actual Efforts (Hrs)]]</f>
        <v>6.5</v>
      </c>
      <c r="E124" s="134"/>
      <c r="F124" s="134" t="s">
        <v>867</v>
      </c>
      <c r="G124" s="150" t="s">
        <v>867</v>
      </c>
      <c r="H124" s="149">
        <v>19564373</v>
      </c>
      <c r="I124" s="149">
        <v>19564373</v>
      </c>
      <c r="J124" s="49" t="s">
        <v>960</v>
      </c>
      <c r="K124" s="134" t="s">
        <v>118</v>
      </c>
      <c r="L124" s="134"/>
      <c r="M124" s="134"/>
      <c r="N124" s="580" t="s">
        <v>962</v>
      </c>
      <c r="O124" s="111" t="s">
        <v>106</v>
      </c>
      <c r="P124" s="123"/>
      <c r="Q124" s="123"/>
      <c r="R124" s="123"/>
      <c r="S124" s="123"/>
      <c r="T124" s="123"/>
      <c r="U124" s="134"/>
      <c r="V124" s="134"/>
      <c r="W124" s="134"/>
      <c r="X124" s="134">
        <f t="shared" si="5"/>
        <v>40.4</v>
      </c>
      <c r="Y124" s="134"/>
      <c r="Z124" s="134"/>
      <c r="AA124" s="134" t="s">
        <v>873</v>
      </c>
      <c r="AB124" s="29">
        <v>46148</v>
      </c>
      <c r="AC124" s="134"/>
      <c r="AD124" s="134" t="s">
        <v>116</v>
      </c>
      <c r="AE124" s="49"/>
      <c r="AF124" s="136"/>
      <c r="AG124" s="137">
        <v>46161</v>
      </c>
      <c r="AH124" s="134" t="s">
        <v>94</v>
      </c>
      <c r="AI124" s="134" t="s">
        <v>95</v>
      </c>
      <c r="AJ124" s="138">
        <v>46142.395833333336</v>
      </c>
      <c r="AK124" s="134" t="s">
        <v>96</v>
      </c>
      <c r="AL124" s="137">
        <v>46126.864131944443</v>
      </c>
      <c r="AM124" s="139"/>
      <c r="AN124" s="139"/>
      <c r="AO124" s="139">
        <v>46164</v>
      </c>
      <c r="AP124" s="134"/>
      <c r="AQ124" s="49"/>
      <c r="AR124" s="49"/>
      <c r="AS124" s="139">
        <v>46164</v>
      </c>
      <c r="AT124" s="138">
        <v>46162</v>
      </c>
      <c r="AU124" s="138">
        <v>46163</v>
      </c>
      <c r="AV124" s="134"/>
      <c r="AW124" s="134"/>
      <c r="AX124" s="108" t="s">
        <v>97</v>
      </c>
      <c r="AY124" s="108" t="s">
        <v>98</v>
      </c>
      <c r="AZ124" s="134"/>
      <c r="BA124" s="134"/>
      <c r="BB124" s="134"/>
      <c r="BC124" s="134"/>
      <c r="BD124" s="123"/>
      <c r="BE124" s="123">
        <f t="shared" si="7"/>
        <v>40.4</v>
      </c>
      <c r="BF124" s="123"/>
      <c r="BG124" s="123"/>
      <c r="BH124" s="123"/>
      <c r="BI124" s="123"/>
      <c r="BJ124" s="123"/>
      <c r="BK124" s="123"/>
      <c r="BL124" s="123"/>
      <c r="BM124" s="117"/>
      <c r="BN124" s="123"/>
      <c r="BO124" s="140"/>
      <c r="BP124" s="140">
        <f t="shared" si="8"/>
        <v>40.4</v>
      </c>
      <c r="BQ124" s="140"/>
      <c r="BR124" s="123"/>
      <c r="BS124" s="141"/>
      <c r="BT124" s="123"/>
      <c r="BU124" s="141"/>
      <c r="BV124" s="123"/>
      <c r="BW124" s="123"/>
      <c r="BX124" s="123"/>
      <c r="BY124" s="123"/>
      <c r="BZ124" s="123"/>
      <c r="CA124" s="123">
        <f t="shared" si="9"/>
        <v>40.4</v>
      </c>
      <c r="CB124" s="119">
        <v>1</v>
      </c>
      <c r="CC124" s="140"/>
      <c r="CD124" s="120" t="s">
        <v>916</v>
      </c>
      <c r="CE124" s="120" t="s">
        <v>917</v>
      </c>
      <c r="CF124" s="120" t="s">
        <v>918</v>
      </c>
      <c r="CG124" s="123"/>
      <c r="CH124" s="120"/>
      <c r="CI124" s="120"/>
      <c r="CJ124" s="123"/>
      <c r="CK124" s="132" t="s">
        <v>882</v>
      </c>
    </row>
    <row r="125" spans="1:89" ht="409.5">
      <c r="A125" s="106" t="s">
        <v>212</v>
      </c>
      <c r="B125" s="49">
        <f>8+8.5+10+8+8+8+8+3+0.25</f>
        <v>61.75</v>
      </c>
      <c r="C125" s="49">
        <v>0</v>
      </c>
      <c r="D125" s="107">
        <v>0</v>
      </c>
      <c r="E125" s="134"/>
      <c r="F125" s="134"/>
      <c r="G125" s="150"/>
      <c r="H125" s="271">
        <v>15834223</v>
      </c>
      <c r="I125" s="149">
        <f>Tracker[[#This Row],[DCR ID - PTC]]</f>
        <v>15834223</v>
      </c>
      <c r="J125" s="134" t="s">
        <v>213</v>
      </c>
      <c r="K125" s="134" t="s">
        <v>101</v>
      </c>
      <c r="L125" s="134"/>
      <c r="M125" s="134"/>
      <c r="N125" s="580" t="s">
        <v>963</v>
      </c>
      <c r="O125" s="111" t="s">
        <v>115</v>
      </c>
      <c r="P125" s="123"/>
      <c r="Q125" s="123"/>
      <c r="R125" s="123"/>
      <c r="S125" s="123"/>
      <c r="T125" s="123"/>
      <c r="U125" s="134"/>
      <c r="V125" s="134"/>
      <c r="W125" s="134"/>
      <c r="X125" s="134">
        <f t="shared" si="5"/>
        <v>40.4</v>
      </c>
      <c r="Y125" s="134"/>
      <c r="Z125" s="134"/>
      <c r="AA125" s="134" t="s">
        <v>107</v>
      </c>
      <c r="AC125" s="134"/>
      <c r="AD125" s="134" t="s">
        <v>146</v>
      </c>
      <c r="AE125" s="49"/>
      <c r="AF125" s="136"/>
      <c r="AG125" s="137"/>
      <c r="AH125" s="134" t="s">
        <v>109</v>
      </c>
      <c r="AI125" s="134" t="s">
        <v>95</v>
      </c>
      <c r="AJ125" s="138">
        <v>45994.4375</v>
      </c>
      <c r="AK125" s="134" t="s">
        <v>96</v>
      </c>
      <c r="AL125" s="137">
        <v>45714.914398148147</v>
      </c>
      <c r="AM125" s="139"/>
      <c r="AN125" s="139"/>
      <c r="AO125" s="139"/>
      <c r="AP125" s="134"/>
      <c r="AQ125" s="49"/>
      <c r="AR125" s="49"/>
      <c r="AS125" s="139"/>
      <c r="AT125" s="138">
        <f t="shared" si="6"/>
        <v>40.4</v>
      </c>
      <c r="AU125" s="138"/>
      <c r="AV125" s="134"/>
      <c r="AW125" s="134"/>
      <c r="AX125" s="108"/>
      <c r="AY125" s="108" t="s">
        <v>866</v>
      </c>
      <c r="AZ125" s="134"/>
      <c r="BA125" s="134"/>
      <c r="BB125" s="134"/>
      <c r="BC125" s="134"/>
      <c r="BD125" s="123"/>
      <c r="BE125" s="123">
        <f t="shared" si="7"/>
        <v>40.4</v>
      </c>
      <c r="BF125" s="123"/>
      <c r="BG125" s="123"/>
      <c r="BH125" s="123"/>
      <c r="BI125" s="123"/>
      <c r="BJ125" s="123"/>
      <c r="BK125" s="123"/>
      <c r="BL125" s="123"/>
      <c r="BM125" s="117"/>
      <c r="BN125" s="123"/>
      <c r="BO125" s="140"/>
      <c r="BP125" s="140">
        <f t="shared" si="8"/>
        <v>40.4</v>
      </c>
      <c r="BQ125" s="140"/>
      <c r="BR125" s="123"/>
      <c r="BS125" s="141"/>
      <c r="BT125" s="123"/>
      <c r="BU125" s="141"/>
      <c r="BV125" s="123"/>
      <c r="BW125" s="123"/>
      <c r="BX125" s="123"/>
      <c r="BY125" s="123"/>
      <c r="BZ125" s="123"/>
      <c r="CA125" s="123">
        <f t="shared" si="9"/>
        <v>40.4</v>
      </c>
      <c r="CB125" s="143"/>
      <c r="CC125" s="140"/>
      <c r="CD125" s="120" t="s">
        <v>125</v>
      </c>
      <c r="CE125" s="120" t="s">
        <v>125</v>
      </c>
      <c r="CF125" s="120" t="s">
        <v>125</v>
      </c>
      <c r="CG125" s="123"/>
      <c r="CH125" s="120"/>
      <c r="CI125" s="120"/>
      <c r="CJ125" s="123"/>
      <c r="CK125" s="132"/>
    </row>
    <row r="126" spans="1:89" ht="290.10000000000002">
      <c r="A126" s="146" t="s">
        <v>964</v>
      </c>
      <c r="B126" s="49">
        <f>2+4+8+8+8+8+2+8+4+2+2+8+4+1+2+4+1.5</f>
        <v>76.5</v>
      </c>
      <c r="C126" s="49">
        <v>0</v>
      </c>
      <c r="D126" s="107">
        <v>0</v>
      </c>
      <c r="E126" s="134"/>
      <c r="F126" s="49"/>
      <c r="G126" s="345"/>
      <c r="H126" s="271">
        <v>19553713</v>
      </c>
      <c r="I126" s="149">
        <f>Tracker[[#This Row],[DCR ID - PTC]]</f>
        <v>19553713</v>
      </c>
      <c r="J126" s="134" t="s">
        <v>965</v>
      </c>
      <c r="K126" s="134" t="s">
        <v>104</v>
      </c>
      <c r="L126" s="134"/>
      <c r="M126" s="134"/>
      <c r="N126" s="580" t="s">
        <v>966</v>
      </c>
      <c r="O126" s="111" t="s">
        <v>106</v>
      </c>
      <c r="P126" s="123"/>
      <c r="Q126" s="123"/>
      <c r="R126" s="123"/>
      <c r="S126" s="123"/>
      <c r="T126" s="123"/>
      <c r="U126" s="134"/>
      <c r="V126" s="134"/>
      <c r="W126" s="134"/>
      <c r="X126" s="134">
        <f t="shared" si="5"/>
        <v>40.4</v>
      </c>
      <c r="Y126" s="134"/>
      <c r="Z126" s="134"/>
      <c r="AA126" s="134"/>
      <c r="AC126" s="134"/>
      <c r="AD126" s="134" t="s">
        <v>93</v>
      </c>
      <c r="AE126" s="49"/>
      <c r="AF126" s="136"/>
      <c r="AG126" s="137"/>
      <c r="AH126" s="134" t="s">
        <v>117</v>
      </c>
      <c r="AI126" s="134" t="s">
        <v>95</v>
      </c>
      <c r="AJ126" s="138">
        <v>46234.395833333336</v>
      </c>
      <c r="AK126" s="134" t="s">
        <v>96</v>
      </c>
      <c r="AL126" s="137">
        <v>46139.461655092593</v>
      </c>
      <c r="AM126" s="139"/>
      <c r="AN126" s="139"/>
      <c r="AO126" s="139"/>
      <c r="AP126" s="134"/>
      <c r="AQ126" s="49"/>
      <c r="AR126" s="49"/>
      <c r="AS126" s="139"/>
      <c r="AT126" s="138">
        <f t="shared" si="6"/>
        <v>40.4</v>
      </c>
      <c r="AU126" s="138"/>
      <c r="AV126" s="134"/>
      <c r="AW126" s="134"/>
      <c r="AX126" s="108"/>
      <c r="AY126" s="108" t="s">
        <v>866</v>
      </c>
      <c r="AZ126" s="134"/>
      <c r="BA126" s="134"/>
      <c r="BB126" s="134"/>
      <c r="BC126" s="134"/>
      <c r="BD126" s="123"/>
      <c r="BE126" s="123">
        <f t="shared" si="7"/>
        <v>40.4</v>
      </c>
      <c r="BF126" s="123"/>
      <c r="BG126" s="123"/>
      <c r="BH126" s="123"/>
      <c r="BI126" s="123"/>
      <c r="BJ126" s="123"/>
      <c r="BK126" s="123"/>
      <c r="BL126" s="123"/>
      <c r="BM126" s="117"/>
      <c r="BN126" s="123"/>
      <c r="BO126" s="140"/>
      <c r="BP126" s="140">
        <f t="shared" si="8"/>
        <v>40.4</v>
      </c>
      <c r="BQ126" s="140"/>
      <c r="BR126" s="123"/>
      <c r="BS126" s="141"/>
      <c r="BT126" s="123"/>
      <c r="BU126" s="141"/>
      <c r="BV126" s="123"/>
      <c r="BW126" s="123"/>
      <c r="BX126" s="123"/>
      <c r="BY126" s="123"/>
      <c r="BZ126" s="123"/>
      <c r="CA126" s="123">
        <f t="shared" si="9"/>
        <v>40.4</v>
      </c>
      <c r="CB126" s="143"/>
      <c r="CC126" s="140"/>
      <c r="CD126" s="120">
        <v>46170</v>
      </c>
      <c r="CE126" s="120">
        <v>46217</v>
      </c>
      <c r="CF126" s="120">
        <v>46223</v>
      </c>
      <c r="CG126" s="123"/>
      <c r="CH126" s="120"/>
      <c r="CI126" s="120"/>
      <c r="CJ126" s="123"/>
      <c r="CK126" s="132"/>
    </row>
    <row r="127" spans="1:89" ht="130.5" customHeight="1">
      <c r="A127" s="268" t="s">
        <v>964</v>
      </c>
      <c r="B127" s="49">
        <f>3+2+3+5</f>
        <v>13</v>
      </c>
      <c r="C127" s="49">
        <v>135</v>
      </c>
      <c r="D127" s="49">
        <v>0</v>
      </c>
      <c r="E127" s="134"/>
      <c r="F127" s="49"/>
      <c r="G127" s="345"/>
      <c r="H127" s="149">
        <v>19553713</v>
      </c>
      <c r="I127" s="149">
        <f>Tracker[[#This Row],[DCR ID - PTC]]</f>
        <v>19553713</v>
      </c>
      <c r="J127" s="134" t="s">
        <v>965</v>
      </c>
      <c r="K127" s="134" t="s">
        <v>118</v>
      </c>
      <c r="L127" s="134"/>
      <c r="M127" s="134"/>
      <c r="N127" s="580" t="s">
        <v>967</v>
      </c>
      <c r="O127" s="111" t="s">
        <v>115</v>
      </c>
      <c r="P127" s="123"/>
      <c r="Q127" s="123"/>
      <c r="R127" s="123"/>
      <c r="S127" s="123"/>
      <c r="T127" s="123"/>
      <c r="U127" s="134"/>
      <c r="V127" s="134"/>
      <c r="W127" s="134"/>
      <c r="X127" s="134">
        <f t="shared" si="5"/>
        <v>40.4</v>
      </c>
      <c r="Y127" s="134"/>
      <c r="Z127" s="134"/>
      <c r="AA127" s="134"/>
      <c r="AC127" s="134"/>
      <c r="AD127" s="134" t="s">
        <v>93</v>
      </c>
      <c r="AE127" s="49"/>
      <c r="AF127" s="136"/>
      <c r="AG127" s="137"/>
      <c r="AH127" s="134" t="s">
        <v>117</v>
      </c>
      <c r="AI127" s="134" t="s">
        <v>95</v>
      </c>
      <c r="AJ127" s="138">
        <v>46234.395833333336</v>
      </c>
      <c r="AK127" s="134" t="s">
        <v>96</v>
      </c>
      <c r="AL127" s="137">
        <v>46139.461655092593</v>
      </c>
      <c r="AM127" s="139"/>
      <c r="AN127" s="139"/>
      <c r="AO127" s="139"/>
      <c r="AP127" s="134"/>
      <c r="AQ127" s="49"/>
      <c r="AR127" s="49"/>
      <c r="AS127" s="139"/>
      <c r="AT127" s="138">
        <f t="shared" si="6"/>
        <v>40.4</v>
      </c>
      <c r="AU127" s="138"/>
      <c r="AV127" s="134"/>
      <c r="AW127" s="134"/>
      <c r="AX127" s="108"/>
      <c r="AY127" s="108" t="s">
        <v>866</v>
      </c>
      <c r="AZ127" s="134"/>
      <c r="BA127" s="134"/>
      <c r="BB127" s="134"/>
      <c r="BC127" s="134"/>
      <c r="BD127" s="123"/>
      <c r="BE127" s="123">
        <f t="shared" si="7"/>
        <v>40.4</v>
      </c>
      <c r="BF127" s="123"/>
      <c r="BG127" s="123"/>
      <c r="BH127" s="123"/>
      <c r="BI127" s="123"/>
      <c r="BJ127" s="123"/>
      <c r="BK127" s="123"/>
      <c r="BL127" s="123"/>
      <c r="BM127" s="117"/>
      <c r="BN127" s="123"/>
      <c r="BO127" s="140"/>
      <c r="BP127" s="140">
        <f t="shared" si="8"/>
        <v>40.4</v>
      </c>
      <c r="BQ127" s="140"/>
      <c r="BR127" s="123"/>
      <c r="BS127" s="141"/>
      <c r="BT127" s="123"/>
      <c r="BU127" s="141"/>
      <c r="BV127" s="123"/>
      <c r="BW127" s="123"/>
      <c r="BX127" s="123"/>
      <c r="BY127" s="123"/>
      <c r="BZ127" s="123"/>
      <c r="CA127" s="123">
        <f t="shared" si="9"/>
        <v>40.4</v>
      </c>
      <c r="CB127" s="143"/>
      <c r="CC127" s="140"/>
      <c r="CD127" s="120">
        <v>46211</v>
      </c>
      <c r="CE127" s="120">
        <v>46217</v>
      </c>
      <c r="CF127" s="120">
        <v>46223</v>
      </c>
      <c r="CG127" s="123"/>
      <c r="CH127" s="120"/>
      <c r="CI127" s="120"/>
      <c r="CJ127" s="123"/>
      <c r="CK127" s="132"/>
    </row>
    <row r="128" spans="1:89" ht="409.6">
      <c r="A128" s="268" t="s">
        <v>183</v>
      </c>
      <c r="B128" s="49">
        <f>1+2+1+0.5+2+2+3+1+0.5+1+0.5+0.5+1+1+4+5+1+7+1</f>
        <v>35</v>
      </c>
      <c r="C128" s="49">
        <v>50</v>
      </c>
      <c r="D128" s="49">
        <f>Tracker[[#This Row],[Estimated Hrs]]-Tracker[[#This Row],[Actual Efforts (Hrs)]]</f>
        <v>15</v>
      </c>
      <c r="E128" s="134"/>
      <c r="F128" s="134"/>
      <c r="G128" s="150"/>
      <c r="H128" s="271">
        <v>19381827</v>
      </c>
      <c r="I128" s="149">
        <f>Tracker[[#This Row],[DCR ID - PTC]]</f>
        <v>19381827</v>
      </c>
      <c r="J128" s="134" t="s">
        <v>968</v>
      </c>
      <c r="K128" s="134" t="s">
        <v>104</v>
      </c>
      <c r="L128" s="134"/>
      <c r="M128" s="134"/>
      <c r="N128" s="580" t="s">
        <v>969</v>
      </c>
      <c r="O128" s="111" t="s">
        <v>201</v>
      </c>
      <c r="P128" s="123"/>
      <c r="Q128" s="140"/>
      <c r="R128" s="140"/>
      <c r="S128" s="140"/>
      <c r="T128" s="123"/>
      <c r="U128" s="134"/>
      <c r="V128" s="134"/>
      <c r="W128" s="49"/>
      <c r="X128" s="49">
        <f t="shared" si="5"/>
        <v>40.4</v>
      </c>
      <c r="Y128" s="134"/>
      <c r="Z128" s="134"/>
      <c r="AA128" s="134"/>
      <c r="AC128" s="134"/>
      <c r="AD128" s="134" t="s">
        <v>146</v>
      </c>
      <c r="AE128" s="49"/>
      <c r="AF128" s="136"/>
      <c r="AG128" s="137"/>
      <c r="AH128" s="49" t="s">
        <v>109</v>
      </c>
      <c r="AI128" s="134" t="s">
        <v>95</v>
      </c>
      <c r="AJ128" s="138"/>
      <c r="AK128" s="134" t="s">
        <v>96</v>
      </c>
      <c r="AL128" s="137">
        <v>46118.902743055558</v>
      </c>
      <c r="AM128" s="139"/>
      <c r="AN128" s="139"/>
      <c r="AO128" s="139"/>
      <c r="AP128" s="134"/>
      <c r="AQ128" s="49"/>
      <c r="AR128" s="49"/>
      <c r="AS128" s="139"/>
      <c r="AT128" s="138">
        <f t="shared" si="6"/>
        <v>40.4</v>
      </c>
      <c r="AU128" s="138"/>
      <c r="AV128" s="49"/>
      <c r="AW128" s="49"/>
      <c r="AX128" s="108"/>
      <c r="AY128" s="108" t="s">
        <v>866</v>
      </c>
      <c r="AZ128" s="134"/>
      <c r="BA128" s="49"/>
      <c r="BB128" s="49"/>
      <c r="BC128" s="134"/>
      <c r="BD128" s="123"/>
      <c r="BE128" s="123">
        <f t="shared" si="7"/>
        <v>40.4</v>
      </c>
      <c r="BF128" s="123"/>
      <c r="BG128" s="123"/>
      <c r="BH128" s="123"/>
      <c r="BI128" s="123"/>
      <c r="BJ128" s="140"/>
      <c r="BK128" s="140"/>
      <c r="BL128" s="140"/>
      <c r="BM128" s="117"/>
      <c r="BN128" s="123"/>
      <c r="BO128" s="123"/>
      <c r="BP128" s="140">
        <f t="shared" si="8"/>
        <v>40.4</v>
      </c>
      <c r="BQ128" s="140"/>
      <c r="BR128" s="123"/>
      <c r="BS128" s="123"/>
      <c r="BT128" s="123"/>
      <c r="BU128" s="123"/>
      <c r="BV128" s="123"/>
      <c r="BW128" s="123"/>
      <c r="BX128" s="123"/>
      <c r="BY128" s="140"/>
      <c r="BZ128" s="140"/>
      <c r="CA128" s="140">
        <f t="shared" si="9"/>
        <v>40.4</v>
      </c>
      <c r="CB128" s="143"/>
      <c r="CC128" s="140"/>
      <c r="CD128" s="120" t="s">
        <v>125</v>
      </c>
      <c r="CE128" s="120">
        <v>0</v>
      </c>
      <c r="CF128" s="120">
        <v>0</v>
      </c>
      <c r="CG128" s="123"/>
      <c r="CH128" s="120"/>
      <c r="CI128" s="120"/>
      <c r="CJ128" s="123"/>
      <c r="CK128" s="132"/>
    </row>
    <row r="129" spans="1:89" ht="72.599999999999994">
      <c r="A129" s="146" t="s">
        <v>183</v>
      </c>
      <c r="B129" s="49">
        <f>0</f>
        <v>0</v>
      </c>
      <c r="C129" s="49">
        <v>80</v>
      </c>
      <c r="D129" s="49">
        <v>0</v>
      </c>
      <c r="E129" s="134"/>
      <c r="F129" s="134"/>
      <c r="G129" s="150"/>
      <c r="H129" s="271">
        <v>19516003</v>
      </c>
      <c r="I129" s="149">
        <f>Tracker[[#This Row],[DCR ID - PTC]]</f>
        <v>19516003</v>
      </c>
      <c r="J129" s="134" t="s">
        <v>970</v>
      </c>
      <c r="K129" s="134" t="s">
        <v>104</v>
      </c>
      <c r="L129" s="134" t="s">
        <v>971</v>
      </c>
      <c r="M129" s="134"/>
      <c r="N129" s="580" t="s">
        <v>972</v>
      </c>
      <c r="O129" s="111" t="s">
        <v>115</v>
      </c>
      <c r="P129" s="123"/>
      <c r="Q129" s="123"/>
      <c r="R129" s="123"/>
      <c r="S129" s="123"/>
      <c r="T129" s="123"/>
      <c r="U129" s="134"/>
      <c r="V129" s="134"/>
      <c r="W129" s="134"/>
      <c r="X129" s="134">
        <f t="shared" si="5"/>
        <v>40.4</v>
      </c>
      <c r="Y129" s="134"/>
      <c r="Z129" s="134"/>
      <c r="AA129" s="134"/>
      <c r="AB129" s="29">
        <v>46234</v>
      </c>
      <c r="AC129" s="134" t="s">
        <v>971</v>
      </c>
      <c r="AD129" s="134" t="s">
        <v>93</v>
      </c>
      <c r="AE129" s="49"/>
      <c r="AF129" s="136"/>
      <c r="AG129" s="137"/>
      <c r="AH129" s="134" t="s">
        <v>109</v>
      </c>
      <c r="AI129" s="134" t="s">
        <v>95</v>
      </c>
      <c r="AJ129" s="138">
        <v>46234.395833333336</v>
      </c>
      <c r="AK129" s="134" t="s">
        <v>96</v>
      </c>
      <c r="AL129" s="137">
        <v>46134.665266203701</v>
      </c>
      <c r="AM129" s="139"/>
      <c r="AN129" s="139"/>
      <c r="AO129" s="139"/>
      <c r="AP129" s="134"/>
      <c r="AQ129" s="49"/>
      <c r="AR129" s="49"/>
      <c r="AS129" s="139"/>
      <c r="AT129" s="138">
        <f t="shared" si="6"/>
        <v>40.4</v>
      </c>
      <c r="AU129" s="138"/>
      <c r="AV129" s="134"/>
      <c r="AW129" s="134"/>
      <c r="AX129" s="108"/>
      <c r="AY129" s="108" t="s">
        <v>866</v>
      </c>
      <c r="AZ129" s="134"/>
      <c r="BA129" s="134"/>
      <c r="BB129" s="134"/>
      <c r="BC129" s="134"/>
      <c r="BD129" s="123"/>
      <c r="BE129" s="123">
        <f t="shared" si="7"/>
        <v>40.4</v>
      </c>
      <c r="BF129" s="123"/>
      <c r="BG129" s="123"/>
      <c r="BH129" s="123"/>
      <c r="BI129" s="123"/>
      <c r="BJ129" s="123"/>
      <c r="BK129" s="123"/>
      <c r="BL129" s="123"/>
      <c r="BM129" s="117"/>
      <c r="BN129" s="123"/>
      <c r="BO129" s="140"/>
      <c r="BP129" s="140">
        <f t="shared" si="8"/>
        <v>40.4</v>
      </c>
      <c r="BQ129" s="140"/>
      <c r="BR129" s="123"/>
      <c r="BS129" s="141"/>
      <c r="BT129" s="123"/>
      <c r="BU129" s="141"/>
      <c r="BV129" s="123"/>
      <c r="BW129" s="123"/>
      <c r="BX129" s="123"/>
      <c r="BY129" s="123"/>
      <c r="BZ129" s="123"/>
      <c r="CA129" s="123">
        <f t="shared" si="9"/>
        <v>40.4</v>
      </c>
      <c r="CB129" s="143"/>
      <c r="CC129" s="140"/>
      <c r="CD129" s="120">
        <v>46182</v>
      </c>
      <c r="CE129" s="120">
        <v>46212</v>
      </c>
      <c r="CF129" s="120">
        <v>46216</v>
      </c>
      <c r="CG129" s="123"/>
      <c r="CH129" s="120"/>
      <c r="CI129" s="120"/>
      <c r="CJ129" s="340"/>
      <c r="CK129" s="132"/>
    </row>
    <row r="130" spans="1:89" ht="409.5">
      <c r="A130" s="416" t="s">
        <v>183</v>
      </c>
      <c r="B130" s="49">
        <f>1+1+4+6.5+7+5+1</f>
        <v>25.5</v>
      </c>
      <c r="C130" s="49">
        <v>25.5</v>
      </c>
      <c r="D130" s="107">
        <f>Tracker[[#This Row],[Estimated Hrs]]-Tracker[[#This Row],[Actual Efforts (Hrs)]]</f>
        <v>0</v>
      </c>
      <c r="E130" s="134"/>
      <c r="F130" s="134" t="s">
        <v>148</v>
      </c>
      <c r="G130" s="150" t="s">
        <v>148</v>
      </c>
      <c r="H130" s="271">
        <v>18860603</v>
      </c>
      <c r="I130" s="149">
        <f>Tracker[[#This Row],[DCR ID - PTC]]</f>
        <v>18860603</v>
      </c>
      <c r="J130" s="49" t="s">
        <v>209</v>
      </c>
      <c r="K130" s="134" t="s">
        <v>118</v>
      </c>
      <c r="L130" s="134" t="s">
        <v>973</v>
      </c>
      <c r="M130" s="134"/>
      <c r="N130" s="581" t="s">
        <v>974</v>
      </c>
      <c r="O130" s="111" t="s">
        <v>106</v>
      </c>
      <c r="P130" s="123"/>
      <c r="Q130" s="123" t="s">
        <v>106</v>
      </c>
      <c r="R130" s="123"/>
      <c r="S130" s="123"/>
      <c r="T130" s="123"/>
      <c r="U130" s="134"/>
      <c r="V130" s="134"/>
      <c r="W130" s="134"/>
      <c r="X130" s="134">
        <f t="shared" ref="X130:X193" si="10">4+8+8+8+10+0.25+0.15+2</f>
        <v>40.4</v>
      </c>
      <c r="Y130" s="134"/>
      <c r="Z130" s="134"/>
      <c r="AA130" s="134" t="s">
        <v>107</v>
      </c>
      <c r="AB130" s="29">
        <v>46171</v>
      </c>
      <c r="AC130" s="134" t="s">
        <v>973</v>
      </c>
      <c r="AD130" s="134" t="s">
        <v>93</v>
      </c>
      <c r="AE130" s="49"/>
      <c r="AF130" s="136"/>
      <c r="AG130" s="137">
        <v>46142</v>
      </c>
      <c r="AH130" s="134" t="s">
        <v>100</v>
      </c>
      <c r="AI130" s="134" t="s">
        <v>110</v>
      </c>
      <c r="AJ130" s="138">
        <v>46080.4375</v>
      </c>
      <c r="AK130" s="134" t="s">
        <v>96</v>
      </c>
      <c r="AL130" s="137">
        <v>46071.85696759259</v>
      </c>
      <c r="AM130" s="139"/>
      <c r="AN130" s="139"/>
      <c r="AO130" s="139">
        <v>46153</v>
      </c>
      <c r="AP130" s="134"/>
      <c r="AQ130" s="49"/>
      <c r="AR130" s="49"/>
      <c r="AS130" s="139">
        <v>46153</v>
      </c>
      <c r="AT130" s="138">
        <v>46148</v>
      </c>
      <c r="AU130" s="138">
        <v>46148</v>
      </c>
      <c r="AV130" s="134"/>
      <c r="AW130" s="134"/>
      <c r="AX130" s="108" t="s">
        <v>97</v>
      </c>
      <c r="AY130" s="108" t="s">
        <v>98</v>
      </c>
      <c r="AZ130" s="134"/>
      <c r="BA130" s="134"/>
      <c r="BB130" s="134"/>
      <c r="BC130" s="134"/>
      <c r="BD130" s="123"/>
      <c r="BE130" s="123">
        <f t="shared" ref="BE130:BE193" si="11">4+8+8+8+10+0.25+0.15+2</f>
        <v>40.4</v>
      </c>
      <c r="BF130" s="123"/>
      <c r="BG130" s="123"/>
      <c r="BH130" s="123"/>
      <c r="BI130" s="123"/>
      <c r="BJ130" s="123"/>
      <c r="BK130" s="123"/>
      <c r="BL130" s="123"/>
      <c r="BM130" s="117"/>
      <c r="BN130" s="123"/>
      <c r="BO130" s="140"/>
      <c r="BP130" s="140">
        <f t="shared" ref="BP130:BP193" si="12">4+8+8+8+10+0.25+0.15+2</f>
        <v>40.4</v>
      </c>
      <c r="BQ130" s="140"/>
      <c r="BR130" s="123"/>
      <c r="BS130" s="141"/>
      <c r="BT130" s="123"/>
      <c r="BU130" s="141"/>
      <c r="BV130" s="123"/>
      <c r="BW130" s="123"/>
      <c r="BX130" s="123"/>
      <c r="BY130" s="123"/>
      <c r="BZ130" s="123"/>
      <c r="CA130" s="123">
        <f t="shared" ref="CA130:CA193" si="13">4+8+8+8+10+0.25+0.15+2</f>
        <v>40.4</v>
      </c>
      <c r="CB130" s="119">
        <v>1</v>
      </c>
      <c r="CC130" s="140"/>
      <c r="CD130" s="120" t="s">
        <v>125</v>
      </c>
      <c r="CE130" s="120" t="s">
        <v>125</v>
      </c>
      <c r="CF130" s="120">
        <v>0</v>
      </c>
      <c r="CG130" s="123"/>
      <c r="CH130" s="120"/>
      <c r="CI130" s="120"/>
      <c r="CJ130" s="123"/>
      <c r="CK130" s="132" t="s">
        <v>882</v>
      </c>
    </row>
    <row r="131" spans="1:89" ht="409.6">
      <c r="A131" s="415" t="s">
        <v>183</v>
      </c>
      <c r="B131" s="49">
        <f>2+1+7+3.25+3+3+5+1+0.5+6+5.5+6+2.75+4+3+2+1.25+1+6.5+6+7+6</f>
        <v>82.75</v>
      </c>
      <c r="C131" s="49">
        <v>80</v>
      </c>
      <c r="D131" s="107">
        <f>C131-B131</f>
        <v>-2.75</v>
      </c>
      <c r="E131" s="134"/>
      <c r="F131" s="134"/>
      <c r="G131" s="150"/>
      <c r="H131" s="271">
        <v>19515995</v>
      </c>
      <c r="I131" s="149">
        <f>Tracker[[#This Row],[DCR ID - PTC]]</f>
        <v>19515995</v>
      </c>
      <c r="J131" s="49" t="s">
        <v>975</v>
      </c>
      <c r="K131" s="134" t="s">
        <v>104</v>
      </c>
      <c r="L131" s="134" t="s">
        <v>976</v>
      </c>
      <c r="M131" s="134"/>
      <c r="N131" s="581" t="s">
        <v>977</v>
      </c>
      <c r="O131" s="111" t="s">
        <v>115</v>
      </c>
      <c r="P131" s="123"/>
      <c r="Q131" s="123"/>
      <c r="R131" s="123"/>
      <c r="S131" s="123"/>
      <c r="T131" s="123"/>
      <c r="U131" s="134"/>
      <c r="V131" s="134"/>
      <c r="W131" s="134"/>
      <c r="X131" s="134">
        <f t="shared" si="10"/>
        <v>40.4</v>
      </c>
      <c r="Y131" s="134"/>
      <c r="Z131" s="134"/>
      <c r="AA131" s="134"/>
      <c r="AB131" s="29">
        <v>46234</v>
      </c>
      <c r="AC131" s="134" t="s">
        <v>976</v>
      </c>
      <c r="AD131" s="134" t="s">
        <v>116</v>
      </c>
      <c r="AE131" s="49"/>
      <c r="AF131" s="136"/>
      <c r="AG131" s="137"/>
      <c r="AH131" s="134" t="s">
        <v>109</v>
      </c>
      <c r="AI131" s="134" t="s">
        <v>95</v>
      </c>
      <c r="AJ131" s="138">
        <v>46234.395833333336</v>
      </c>
      <c r="AK131" s="134" t="s">
        <v>96</v>
      </c>
      <c r="AL131" s="137">
        <v>46134.663437499999</v>
      </c>
      <c r="AM131" s="139"/>
      <c r="AN131" s="139"/>
      <c r="AO131" s="139"/>
      <c r="AP131" s="134"/>
      <c r="AQ131" s="49"/>
      <c r="AR131" s="49"/>
      <c r="AS131" s="139"/>
      <c r="AT131" s="138">
        <f t="shared" ref="AT131:AT193" si="14">4+8+8+8+10+0.25+0.15+2</f>
        <v>40.4</v>
      </c>
      <c r="AU131" s="138"/>
      <c r="AV131" s="134"/>
      <c r="AW131" s="134"/>
      <c r="AX131" s="108"/>
      <c r="AY131" s="108" t="s">
        <v>866</v>
      </c>
      <c r="AZ131" s="134"/>
      <c r="BA131" s="134"/>
      <c r="BB131" s="134"/>
      <c r="BC131" s="134"/>
      <c r="BD131" s="123"/>
      <c r="BE131" s="123">
        <f t="shared" si="11"/>
        <v>40.4</v>
      </c>
      <c r="BF131" s="123"/>
      <c r="BG131" s="123"/>
      <c r="BH131" s="123"/>
      <c r="BI131" s="123"/>
      <c r="BJ131" s="123"/>
      <c r="BK131" s="123"/>
      <c r="BL131" s="123"/>
      <c r="BM131" s="117"/>
      <c r="BN131" s="123"/>
      <c r="BO131" s="140"/>
      <c r="BP131" s="140">
        <f t="shared" si="12"/>
        <v>40.4</v>
      </c>
      <c r="BQ131" s="140"/>
      <c r="BR131" s="123"/>
      <c r="BS131" s="141"/>
      <c r="BT131" s="123"/>
      <c r="BU131" s="141"/>
      <c r="BV131" s="123"/>
      <c r="BW131" s="123"/>
      <c r="BX131" s="123"/>
      <c r="BY131" s="123"/>
      <c r="BZ131" s="123"/>
      <c r="CA131" s="123">
        <f t="shared" si="13"/>
        <v>40.4</v>
      </c>
      <c r="CB131" s="119"/>
      <c r="CC131" s="140"/>
      <c r="CD131" s="120">
        <v>46182</v>
      </c>
      <c r="CE131" s="120">
        <v>46204</v>
      </c>
      <c r="CF131" s="120">
        <v>46206</v>
      </c>
      <c r="CG131" s="123"/>
      <c r="CH131" s="120"/>
      <c r="CI131" s="120"/>
      <c r="CJ131" s="123"/>
      <c r="CK131" s="132"/>
    </row>
    <row r="132" spans="1:89" ht="72.599999999999994">
      <c r="A132" s="108" t="s">
        <v>183</v>
      </c>
      <c r="B132" s="49">
        <f>3</f>
        <v>3</v>
      </c>
      <c r="C132" s="49">
        <v>0</v>
      </c>
      <c r="D132" s="107">
        <f>Tracker[[#This Row],[Estimated Hrs]]-Tracker[[#This Row],[Actual Efforts (Hrs)]]</f>
        <v>-3</v>
      </c>
      <c r="E132" s="134"/>
      <c r="F132" s="134" t="s">
        <v>136</v>
      </c>
      <c r="G132" s="150"/>
      <c r="H132" s="271">
        <v>19224910</v>
      </c>
      <c r="I132" s="149">
        <f>Tracker[[#This Row],[DCR ID - PTC]]</f>
        <v>19224910</v>
      </c>
      <c r="J132" s="134" t="s">
        <v>978</v>
      </c>
      <c r="K132" s="134" t="s">
        <v>176</v>
      </c>
      <c r="L132" s="134" t="s">
        <v>165</v>
      </c>
      <c r="M132" s="134"/>
      <c r="N132" s="580" t="s">
        <v>979</v>
      </c>
      <c r="O132" s="111" t="s">
        <v>106</v>
      </c>
      <c r="P132" s="123"/>
      <c r="Q132" s="123"/>
      <c r="R132" s="123"/>
      <c r="S132" s="123"/>
      <c r="T132" s="123"/>
      <c r="U132" s="134"/>
      <c r="V132" s="134"/>
      <c r="W132" s="134"/>
      <c r="X132" s="134">
        <f t="shared" si="10"/>
        <v>40.4</v>
      </c>
      <c r="Y132" s="134"/>
      <c r="Z132" s="134"/>
      <c r="AA132" s="134" t="s">
        <v>873</v>
      </c>
      <c r="AB132" s="29">
        <v>46171</v>
      </c>
      <c r="AC132" s="134" t="s">
        <v>165</v>
      </c>
      <c r="AD132" s="134" t="s">
        <v>116</v>
      </c>
      <c r="AE132" s="49"/>
      <c r="AF132" s="136"/>
      <c r="AG132" s="137">
        <v>46134.05060185185</v>
      </c>
      <c r="AH132" s="134" t="s">
        <v>94</v>
      </c>
      <c r="AI132" s="134" t="s">
        <v>95</v>
      </c>
      <c r="AJ132" s="138">
        <v>46132.395833333336</v>
      </c>
      <c r="AK132" s="134" t="s">
        <v>96</v>
      </c>
      <c r="AL132" s="137">
        <v>46098.856898148151</v>
      </c>
      <c r="AM132" s="139"/>
      <c r="AN132" s="139"/>
      <c r="AO132" s="139"/>
      <c r="AP132" s="134"/>
      <c r="AQ132" s="49"/>
      <c r="AR132" s="49"/>
      <c r="AS132" s="139"/>
      <c r="AT132" s="138">
        <f t="shared" si="14"/>
        <v>40.4</v>
      </c>
      <c r="AU132" s="138"/>
      <c r="AV132" s="134"/>
      <c r="AW132" s="134"/>
      <c r="AX132" s="108"/>
      <c r="AY132" s="108" t="s">
        <v>866</v>
      </c>
      <c r="AZ132" s="134"/>
      <c r="BA132" s="134"/>
      <c r="BB132" s="134"/>
      <c r="BC132" s="134"/>
      <c r="BD132" s="123"/>
      <c r="BE132" s="123">
        <f t="shared" si="11"/>
        <v>40.4</v>
      </c>
      <c r="BF132" s="123"/>
      <c r="BG132" s="123"/>
      <c r="BH132" s="123"/>
      <c r="BI132" s="123"/>
      <c r="BJ132" s="123"/>
      <c r="BK132" s="123"/>
      <c r="BL132" s="123"/>
      <c r="BM132" s="117"/>
      <c r="BN132" s="123"/>
      <c r="BO132" s="140"/>
      <c r="BP132" s="140">
        <f t="shared" si="12"/>
        <v>40.4</v>
      </c>
      <c r="BQ132" s="140"/>
      <c r="BR132" s="123"/>
      <c r="BS132" s="141"/>
      <c r="BT132" s="123"/>
      <c r="BU132" s="141"/>
      <c r="BV132" s="123"/>
      <c r="BW132" s="123"/>
      <c r="BX132" s="123"/>
      <c r="BY132" s="123"/>
      <c r="BZ132" s="123"/>
      <c r="CA132" s="123">
        <f t="shared" si="13"/>
        <v>40.4</v>
      </c>
      <c r="CB132" s="119"/>
      <c r="CC132" s="140"/>
      <c r="CD132" s="120" t="e">
        <v>#N/A</v>
      </c>
      <c r="CE132" s="120" t="e">
        <v>#N/A</v>
      </c>
      <c r="CF132" s="120" t="e">
        <v>#N/A</v>
      </c>
      <c r="CG132" s="123"/>
      <c r="CH132" s="120"/>
      <c r="CI132" s="120"/>
      <c r="CJ132" s="123"/>
      <c r="CK132" s="132"/>
    </row>
    <row r="133" spans="1:89" ht="43.5">
      <c r="A133" s="146" t="s">
        <v>183</v>
      </c>
      <c r="B133" s="49">
        <v>0</v>
      </c>
      <c r="C133" s="49">
        <v>0</v>
      </c>
      <c r="D133" s="107">
        <f>Tracker[[#This Row],[Estimated Hrs]]-Tracker[[#This Row],[Actual Efforts (Hrs)]]</f>
        <v>0</v>
      </c>
      <c r="E133" s="134"/>
      <c r="F133" s="134" t="s">
        <v>89</v>
      </c>
      <c r="G133" s="150"/>
      <c r="H133" s="271">
        <v>17303646</v>
      </c>
      <c r="I133" s="149">
        <f>Tracker[[#This Row],[DCR ID - PTC]]</f>
        <v>17303646</v>
      </c>
      <c r="J133" s="134" t="s">
        <v>184</v>
      </c>
      <c r="K133" s="134" t="s">
        <v>101</v>
      </c>
      <c r="L133" s="134" t="s">
        <v>131</v>
      </c>
      <c r="M133" s="134"/>
      <c r="N133" s="580"/>
      <c r="O133" s="111"/>
      <c r="P133" s="123"/>
      <c r="Q133" s="123"/>
      <c r="R133" s="123"/>
      <c r="S133" s="123"/>
      <c r="T133" s="123"/>
      <c r="U133" s="134"/>
      <c r="V133" s="134"/>
      <c r="W133" s="134"/>
      <c r="X133" s="134">
        <f t="shared" si="10"/>
        <v>40.4</v>
      </c>
      <c r="Y133" s="134"/>
      <c r="Z133" s="134"/>
      <c r="AA133" s="134" t="s">
        <v>174</v>
      </c>
      <c r="AB133" s="29">
        <v>45961</v>
      </c>
      <c r="AC133" s="134" t="s">
        <v>131</v>
      </c>
      <c r="AD133" s="134" t="s">
        <v>116</v>
      </c>
      <c r="AE133" s="49"/>
      <c r="AF133" s="136"/>
      <c r="AG133" s="137">
        <v>45905.790682870371</v>
      </c>
      <c r="AH133" s="134" t="s">
        <v>94</v>
      </c>
      <c r="AI133" s="134" t="s">
        <v>95</v>
      </c>
      <c r="AJ133" s="138">
        <v>45947.395833333336</v>
      </c>
      <c r="AK133" s="134" t="s">
        <v>96</v>
      </c>
      <c r="AL133" s="137">
        <v>45888.511342592596</v>
      </c>
      <c r="AM133" s="139"/>
      <c r="AN133" s="139"/>
      <c r="AO133" s="139"/>
      <c r="AP133" s="134"/>
      <c r="AQ133" s="49"/>
      <c r="AR133" s="49"/>
      <c r="AS133" s="139"/>
      <c r="AT133" s="138">
        <f t="shared" si="14"/>
        <v>40.4</v>
      </c>
      <c r="AU133" s="138"/>
      <c r="AV133" s="134"/>
      <c r="AW133" s="134"/>
      <c r="AX133" s="108"/>
      <c r="AY133" s="108" t="s">
        <v>866</v>
      </c>
      <c r="AZ133" s="134"/>
      <c r="BA133" s="134"/>
      <c r="BB133" s="134"/>
      <c r="BC133" s="134"/>
      <c r="BD133" s="123"/>
      <c r="BE133" s="123">
        <f t="shared" si="11"/>
        <v>40.4</v>
      </c>
      <c r="BF133" s="123"/>
      <c r="BG133" s="123"/>
      <c r="BH133" s="123"/>
      <c r="BI133" s="123"/>
      <c r="BJ133" s="123"/>
      <c r="BK133" s="123"/>
      <c r="BL133" s="123"/>
      <c r="BM133" s="117"/>
      <c r="BN133" s="123"/>
      <c r="BO133" s="140"/>
      <c r="BP133" s="140">
        <f t="shared" si="12"/>
        <v>40.4</v>
      </c>
      <c r="BQ133" s="140"/>
      <c r="BR133" s="123"/>
      <c r="BS133" s="141"/>
      <c r="BT133" s="123"/>
      <c r="BU133" s="141"/>
      <c r="BV133" s="123"/>
      <c r="BW133" s="123"/>
      <c r="BX133" s="123"/>
      <c r="BY133" s="123"/>
      <c r="BZ133" s="123"/>
      <c r="CA133" s="123">
        <f t="shared" si="13"/>
        <v>40.4</v>
      </c>
      <c r="CB133" s="143"/>
      <c r="CC133" s="140"/>
      <c r="CD133" s="120" t="e">
        <v>#N/A</v>
      </c>
      <c r="CE133" s="120" t="e">
        <v>#N/A</v>
      </c>
      <c r="CF133" s="120" t="e">
        <v>#N/A</v>
      </c>
      <c r="CG133" s="123"/>
      <c r="CH133" s="120"/>
      <c r="CI133" s="120"/>
      <c r="CJ133" s="123"/>
      <c r="CK133" s="132"/>
    </row>
    <row r="134" spans="1:89" ht="409.5">
      <c r="A134" s="310" t="s">
        <v>183</v>
      </c>
      <c r="B134" s="49">
        <f>2+4+1+2</f>
        <v>9</v>
      </c>
      <c r="C134" s="49">
        <v>8</v>
      </c>
      <c r="D134" s="107">
        <f>Tracker[[#This Row],[Estimated Hrs]]-Tracker[[#This Row],[Actual Efforts (Hrs)]]</f>
        <v>-1</v>
      </c>
      <c r="E134" s="134"/>
      <c r="F134" s="134" t="s">
        <v>136</v>
      </c>
      <c r="G134" s="150"/>
      <c r="H134" s="271">
        <v>18496892</v>
      </c>
      <c r="I134" s="149">
        <f>Tracker[[#This Row],[DCR ID - PTC]]</f>
        <v>18496892</v>
      </c>
      <c r="J134" s="49" t="s">
        <v>164</v>
      </c>
      <c r="K134" s="134" t="s">
        <v>101</v>
      </c>
      <c r="L134" s="134" t="s">
        <v>165</v>
      </c>
      <c r="M134" s="134"/>
      <c r="N134" s="582" t="s">
        <v>980</v>
      </c>
      <c r="O134" s="123" t="s">
        <v>106</v>
      </c>
      <c r="P134" s="123"/>
      <c r="Q134" s="123"/>
      <c r="R134" s="123"/>
      <c r="S134" s="123"/>
      <c r="T134" s="123"/>
      <c r="U134" s="134"/>
      <c r="V134" s="134"/>
      <c r="W134" s="134"/>
      <c r="X134" s="134">
        <f t="shared" si="10"/>
        <v>40.4</v>
      </c>
      <c r="Y134" s="134"/>
      <c r="Z134" s="134"/>
      <c r="AA134" s="134" t="s">
        <v>139</v>
      </c>
      <c r="AB134" s="29">
        <v>46059</v>
      </c>
      <c r="AC134" s="134" t="s">
        <v>165</v>
      </c>
      <c r="AD134" s="134" t="s">
        <v>166</v>
      </c>
      <c r="AE134" s="49"/>
      <c r="AF134" s="136"/>
      <c r="AG134" s="137">
        <v>46126</v>
      </c>
      <c r="AH134" s="134" t="s">
        <v>94</v>
      </c>
      <c r="AI134" s="134" t="s">
        <v>95</v>
      </c>
      <c r="AJ134" s="138">
        <v>46081.4375</v>
      </c>
      <c r="AK134" s="134" t="s">
        <v>96</v>
      </c>
      <c r="AL134" s="137">
        <v>46043.588101851848</v>
      </c>
      <c r="AM134" s="139"/>
      <c r="AN134" s="139"/>
      <c r="AO134" s="139">
        <v>46167</v>
      </c>
      <c r="AP134" s="134"/>
      <c r="AQ134" s="49"/>
      <c r="AR134" s="49"/>
      <c r="AS134" s="139">
        <v>46167</v>
      </c>
      <c r="AT134" s="138">
        <v>46163</v>
      </c>
      <c r="AU134" s="138">
        <v>46167</v>
      </c>
      <c r="AV134" s="134"/>
      <c r="AW134" s="134"/>
      <c r="AX134" s="108"/>
      <c r="AY134" s="108" t="s">
        <v>98</v>
      </c>
      <c r="AZ134" s="134"/>
      <c r="BA134" s="134"/>
      <c r="BB134" s="134"/>
      <c r="BC134" s="134"/>
      <c r="BD134" s="123"/>
      <c r="BE134" s="123">
        <f t="shared" si="11"/>
        <v>40.4</v>
      </c>
      <c r="BF134" s="123"/>
      <c r="BG134" s="123"/>
      <c r="BH134" s="123"/>
      <c r="BI134" s="123"/>
      <c r="BJ134" s="123"/>
      <c r="BK134" s="123"/>
      <c r="BL134" s="123"/>
      <c r="BM134" s="140"/>
      <c r="BN134" s="123"/>
      <c r="BO134" s="140"/>
      <c r="BP134" s="140">
        <f t="shared" si="12"/>
        <v>40.4</v>
      </c>
      <c r="BQ134" s="140"/>
      <c r="BR134" s="123"/>
      <c r="BS134" s="141"/>
      <c r="BT134" s="123"/>
      <c r="BU134" s="141"/>
      <c r="BV134" s="123"/>
      <c r="BW134" s="123"/>
      <c r="BX134" s="123"/>
      <c r="BY134" s="123"/>
      <c r="BZ134" s="123"/>
      <c r="CA134" s="123">
        <f t="shared" si="13"/>
        <v>40.4</v>
      </c>
      <c r="CB134" s="143">
        <v>1</v>
      </c>
      <c r="CC134" s="140"/>
      <c r="CD134" s="132" t="s">
        <v>125</v>
      </c>
      <c r="CE134" s="132" t="s">
        <v>125</v>
      </c>
      <c r="CF134" s="132">
        <v>0</v>
      </c>
      <c r="CG134" s="123"/>
      <c r="CH134" s="258"/>
      <c r="CI134" s="132"/>
      <c r="CJ134" s="123"/>
      <c r="CK134" s="132" t="s">
        <v>882</v>
      </c>
    </row>
    <row r="135" spans="1:89" ht="43.5">
      <c r="A135" s="106" t="s">
        <v>183</v>
      </c>
      <c r="B135" s="107">
        <v>0</v>
      </c>
      <c r="C135" s="49">
        <v>50</v>
      </c>
      <c r="D135" s="107">
        <f>Tracker[[#This Row],[Estimated Hrs]]-Tracker[[#This Row],[Actual Efforts (Hrs)]]</f>
        <v>50</v>
      </c>
      <c r="E135" s="108"/>
      <c r="F135" s="108"/>
      <c r="G135" s="121"/>
      <c r="H135" s="127">
        <v>19381827</v>
      </c>
      <c r="I135" s="149">
        <f>Tracker[[#This Row],[DCR ID - PTC]]</f>
        <v>19381827</v>
      </c>
      <c r="J135" s="108" t="s">
        <v>968</v>
      </c>
      <c r="K135" s="108" t="s">
        <v>118</v>
      </c>
      <c r="L135" s="108"/>
      <c r="M135" s="108"/>
      <c r="N135" s="580"/>
      <c r="O135" s="111" t="s">
        <v>122</v>
      </c>
      <c r="P135" s="111"/>
      <c r="Q135" s="111"/>
      <c r="R135" s="111"/>
      <c r="S135" s="111"/>
      <c r="T135" s="111"/>
      <c r="U135" s="108"/>
      <c r="V135" s="108"/>
      <c r="W135" s="108"/>
      <c r="X135" s="108">
        <f t="shared" si="10"/>
        <v>40.4</v>
      </c>
      <c r="Y135" s="108"/>
      <c r="Z135" s="108"/>
      <c r="AA135" s="108"/>
      <c r="AB135" s="112"/>
      <c r="AC135" s="108"/>
      <c r="AD135" s="108"/>
      <c r="AE135" s="107"/>
      <c r="AF135" s="113"/>
      <c r="AG135" s="115"/>
      <c r="AH135" s="108"/>
      <c r="AI135" s="108"/>
      <c r="AJ135" s="114"/>
      <c r="AK135" s="108"/>
      <c r="AL135" s="115"/>
      <c r="AM135" s="116"/>
      <c r="AN135" s="116"/>
      <c r="AO135" s="139"/>
      <c r="AP135" s="108"/>
      <c r="AQ135" s="107"/>
      <c r="AR135" s="107"/>
      <c r="AS135" s="116"/>
      <c r="AT135" s="114">
        <f t="shared" si="14"/>
        <v>40.4</v>
      </c>
      <c r="AU135" s="114"/>
      <c r="AV135" s="108"/>
      <c r="AW135" s="108"/>
      <c r="AX135" s="108"/>
      <c r="AY135" s="108"/>
      <c r="AZ135" s="108"/>
      <c r="BA135" s="108"/>
      <c r="BB135" s="108"/>
      <c r="BC135" s="108"/>
      <c r="BD135" s="111"/>
      <c r="BE135" s="111">
        <f t="shared" si="11"/>
        <v>40.4</v>
      </c>
      <c r="BF135" s="111"/>
      <c r="BG135" s="111"/>
      <c r="BH135" s="111"/>
      <c r="BI135" s="111"/>
      <c r="BJ135" s="111"/>
      <c r="BK135" s="111"/>
      <c r="BL135" s="111"/>
      <c r="BM135" s="117"/>
      <c r="BN135" s="111"/>
      <c r="BO135" s="117"/>
      <c r="BP135" s="117">
        <f t="shared" si="12"/>
        <v>40.4</v>
      </c>
      <c r="BQ135" s="117"/>
      <c r="BR135" s="111"/>
      <c r="BS135" s="118"/>
      <c r="BT135" s="111"/>
      <c r="BU135" s="118"/>
      <c r="BV135" s="111"/>
      <c r="BW135" s="111"/>
      <c r="BX135" s="111"/>
      <c r="BY135" s="111"/>
      <c r="BZ135" s="111"/>
      <c r="CA135" s="111">
        <f t="shared" si="13"/>
        <v>40.4</v>
      </c>
      <c r="CB135" s="119"/>
      <c r="CC135" s="117"/>
      <c r="CD135" s="120">
        <v>0</v>
      </c>
      <c r="CE135" s="120">
        <v>0</v>
      </c>
      <c r="CF135" s="120">
        <v>0</v>
      </c>
      <c r="CG135" s="111"/>
      <c r="CH135" s="259"/>
      <c r="CI135" s="132"/>
      <c r="CJ135" s="111"/>
      <c r="CK135" s="132"/>
    </row>
    <row r="136" spans="1:89" ht="217.5">
      <c r="A136" s="106" t="s">
        <v>183</v>
      </c>
      <c r="B136" s="49">
        <f>0.5+5+8+8+8</f>
        <v>29.5</v>
      </c>
      <c r="C136" s="49">
        <v>40</v>
      </c>
      <c r="D136" s="107">
        <f>Tracker[[#This Row],[Estimated Hrs]]-Tracker[[#This Row],[Actual Efforts (Hrs)]]</f>
        <v>10.5</v>
      </c>
      <c r="E136" s="134"/>
      <c r="F136" s="134" t="s">
        <v>867</v>
      </c>
      <c r="G136" s="150" t="s">
        <v>867</v>
      </c>
      <c r="H136" s="135">
        <v>19448493</v>
      </c>
      <c r="I136" s="149">
        <f>Tracker[[#This Row],[DCR ID - PTC]]</f>
        <v>19448493</v>
      </c>
      <c r="J136" s="49" t="s">
        <v>981</v>
      </c>
      <c r="K136" s="134" t="s">
        <v>118</v>
      </c>
      <c r="L136" s="134"/>
      <c r="M136" s="134"/>
      <c r="N136" s="580" t="s">
        <v>982</v>
      </c>
      <c r="O136" s="123" t="s">
        <v>106</v>
      </c>
      <c r="P136" s="123"/>
      <c r="Q136" s="123"/>
      <c r="R136" s="123"/>
      <c r="S136" s="123"/>
      <c r="T136" s="123"/>
      <c r="U136" s="134"/>
      <c r="V136" s="134"/>
      <c r="W136" s="134"/>
      <c r="X136" s="134">
        <f t="shared" si="10"/>
        <v>40.4</v>
      </c>
      <c r="Y136" s="134"/>
      <c r="Z136" s="134"/>
      <c r="AA136" s="134"/>
      <c r="AC136" s="134"/>
      <c r="AD136" s="134"/>
      <c r="AE136" s="49"/>
      <c r="AF136" s="136"/>
      <c r="AG136" s="137">
        <v>46146</v>
      </c>
      <c r="AH136" s="134"/>
      <c r="AI136" s="134"/>
      <c r="AJ136" s="138"/>
      <c r="AK136" s="134"/>
      <c r="AL136" s="137"/>
      <c r="AM136" s="139"/>
      <c r="AN136" s="139"/>
      <c r="AO136" s="139">
        <v>46157</v>
      </c>
      <c r="AP136" s="134"/>
      <c r="AQ136" s="49"/>
      <c r="AR136" s="49"/>
      <c r="AS136" s="139">
        <v>46158</v>
      </c>
      <c r="AT136" s="138">
        <v>46157</v>
      </c>
      <c r="AU136" s="138">
        <v>46157</v>
      </c>
      <c r="AV136" s="134"/>
      <c r="AW136" s="134"/>
      <c r="AX136" s="108" t="s">
        <v>97</v>
      </c>
      <c r="AY136" s="108" t="s">
        <v>98</v>
      </c>
      <c r="AZ136" s="134"/>
      <c r="BA136" s="134"/>
      <c r="BB136" s="134"/>
      <c r="BC136" s="134"/>
      <c r="BD136" s="123"/>
      <c r="BE136" s="123">
        <f t="shared" si="11"/>
        <v>40.4</v>
      </c>
      <c r="BF136" s="123"/>
      <c r="BG136" s="123"/>
      <c r="BH136" s="123"/>
      <c r="BI136" s="123"/>
      <c r="BJ136" s="123"/>
      <c r="BK136" s="123"/>
      <c r="BL136" s="123"/>
      <c r="BM136" s="117"/>
      <c r="BN136" s="123"/>
      <c r="BO136" s="140"/>
      <c r="BP136" s="140">
        <f t="shared" si="12"/>
        <v>40.4</v>
      </c>
      <c r="BQ136" s="140"/>
      <c r="BR136" s="123"/>
      <c r="BS136" s="141"/>
      <c r="BT136" s="123"/>
      <c r="BU136" s="141"/>
      <c r="BV136" s="123"/>
      <c r="BW136" s="123"/>
      <c r="BX136" s="123"/>
      <c r="BY136" s="123"/>
      <c r="BZ136" s="123"/>
      <c r="CA136" s="123">
        <f t="shared" si="13"/>
        <v>40.4</v>
      </c>
      <c r="CB136" s="119">
        <v>1</v>
      </c>
      <c r="CC136" s="140"/>
      <c r="CD136" s="120">
        <v>46156</v>
      </c>
      <c r="CE136" s="120">
        <v>46156</v>
      </c>
      <c r="CF136" s="120">
        <v>46156</v>
      </c>
      <c r="CG136" s="123"/>
      <c r="CH136" s="120"/>
      <c r="CI136" s="120"/>
      <c r="CJ136" s="123"/>
      <c r="CK136" s="132" t="s">
        <v>882</v>
      </c>
    </row>
    <row r="137" spans="1:89" ht="43.5">
      <c r="A137" s="106" t="s">
        <v>183</v>
      </c>
      <c r="B137" s="107">
        <v>0</v>
      </c>
      <c r="C137" s="49">
        <v>40</v>
      </c>
      <c r="D137" s="107">
        <v>0</v>
      </c>
      <c r="E137" s="108"/>
      <c r="F137" s="108"/>
      <c r="G137" s="121"/>
      <c r="H137" s="109">
        <v>19516003</v>
      </c>
      <c r="I137" s="149">
        <f>Tracker[[#This Row],[DCR ID - PTC]]</f>
        <v>19516003</v>
      </c>
      <c r="J137" s="108" t="s">
        <v>970</v>
      </c>
      <c r="K137" s="108" t="s">
        <v>118</v>
      </c>
      <c r="L137" s="108"/>
      <c r="M137" s="108"/>
      <c r="N137" s="580"/>
      <c r="O137" s="111" t="s">
        <v>122</v>
      </c>
      <c r="P137" s="111"/>
      <c r="Q137" s="111"/>
      <c r="R137" s="111"/>
      <c r="S137" s="111"/>
      <c r="T137" s="111"/>
      <c r="U137" s="108"/>
      <c r="V137" s="108"/>
      <c r="W137" s="108"/>
      <c r="X137" s="108">
        <f t="shared" si="10"/>
        <v>40.4</v>
      </c>
      <c r="Y137" s="108"/>
      <c r="Z137" s="108"/>
      <c r="AA137" s="108"/>
      <c r="AB137" s="112"/>
      <c r="AC137" s="108"/>
      <c r="AD137" s="108"/>
      <c r="AE137" s="107"/>
      <c r="AF137" s="113"/>
      <c r="AG137" s="115"/>
      <c r="AH137" s="108"/>
      <c r="AI137" s="108"/>
      <c r="AJ137" s="114"/>
      <c r="AK137" s="108"/>
      <c r="AL137" s="115"/>
      <c r="AM137" s="116"/>
      <c r="AN137" s="116"/>
      <c r="AO137" s="139"/>
      <c r="AP137" s="108"/>
      <c r="AQ137" s="107"/>
      <c r="AR137" s="107"/>
      <c r="AS137" s="116"/>
      <c r="AT137" s="114">
        <f t="shared" si="14"/>
        <v>40.4</v>
      </c>
      <c r="AU137" s="114"/>
      <c r="AV137" s="108"/>
      <c r="AW137" s="108"/>
      <c r="AX137" s="108"/>
      <c r="AY137" s="108"/>
      <c r="AZ137" s="108"/>
      <c r="BA137" s="108"/>
      <c r="BB137" s="108"/>
      <c r="BC137" s="108"/>
      <c r="BD137" s="111"/>
      <c r="BE137" s="111">
        <f t="shared" si="11"/>
        <v>40.4</v>
      </c>
      <c r="BF137" s="111"/>
      <c r="BG137" s="111"/>
      <c r="BH137" s="111"/>
      <c r="BI137" s="111"/>
      <c r="BJ137" s="111"/>
      <c r="BK137" s="111"/>
      <c r="BL137" s="111"/>
      <c r="BM137" s="117"/>
      <c r="BN137" s="111"/>
      <c r="BO137" s="117"/>
      <c r="BP137" s="117">
        <f t="shared" si="12"/>
        <v>40.4</v>
      </c>
      <c r="BQ137" s="117"/>
      <c r="BR137" s="111"/>
      <c r="BS137" s="118"/>
      <c r="BT137" s="111"/>
      <c r="BU137" s="118"/>
      <c r="BV137" s="111"/>
      <c r="BW137" s="111"/>
      <c r="BX137" s="111"/>
      <c r="BY137" s="111"/>
      <c r="BZ137" s="111"/>
      <c r="CA137" s="111">
        <f t="shared" si="13"/>
        <v>40.4</v>
      </c>
      <c r="CB137" s="119"/>
      <c r="CC137" s="117"/>
      <c r="CD137" s="120">
        <v>46210</v>
      </c>
      <c r="CE137" s="120">
        <v>46212</v>
      </c>
      <c r="CF137" s="120">
        <v>46216</v>
      </c>
      <c r="CG137" s="111"/>
      <c r="CH137" s="132"/>
      <c r="CI137" s="132"/>
      <c r="CJ137" s="111"/>
      <c r="CK137" s="132"/>
    </row>
    <row r="138" spans="1:89" ht="43.5">
      <c r="A138" s="106" t="s">
        <v>183</v>
      </c>
      <c r="B138" s="107">
        <v>0</v>
      </c>
      <c r="C138" s="49">
        <v>40</v>
      </c>
      <c r="D138" s="107">
        <f>Tracker[[#This Row],[Estimated Hrs]]-Tracker[[#This Row],[Actual Efforts (Hrs)]]</f>
        <v>40</v>
      </c>
      <c r="E138" s="108"/>
      <c r="F138" s="134"/>
      <c r="G138" s="134"/>
      <c r="H138" s="109">
        <v>19515995</v>
      </c>
      <c r="I138" s="149">
        <f>Tracker[[#This Row],[DCR ID - PTC]]</f>
        <v>19515995</v>
      </c>
      <c r="J138" s="49" t="s">
        <v>975</v>
      </c>
      <c r="K138" s="108" t="s">
        <v>118</v>
      </c>
      <c r="L138" s="134"/>
      <c r="M138" s="108"/>
      <c r="N138" s="580"/>
      <c r="O138" s="111" t="s">
        <v>122</v>
      </c>
      <c r="P138" s="111"/>
      <c r="Q138" s="111"/>
      <c r="R138" s="111"/>
      <c r="S138" s="111"/>
      <c r="T138" s="111"/>
      <c r="U138" s="108"/>
      <c r="V138" s="108"/>
      <c r="W138" s="108"/>
      <c r="X138" s="108">
        <f t="shared" si="10"/>
        <v>40.4</v>
      </c>
      <c r="Y138" s="108"/>
      <c r="Z138" s="108"/>
      <c r="AA138" s="108"/>
      <c r="AB138" s="112"/>
      <c r="AC138" s="108"/>
      <c r="AD138" s="108"/>
      <c r="AE138" s="107"/>
      <c r="AF138" s="113"/>
      <c r="AG138" s="115"/>
      <c r="AH138" s="108"/>
      <c r="AI138" s="108"/>
      <c r="AJ138" s="114"/>
      <c r="AK138" s="108"/>
      <c r="AL138" s="115"/>
      <c r="AM138" s="116"/>
      <c r="AN138" s="116"/>
      <c r="AO138" s="139"/>
      <c r="AP138" s="108"/>
      <c r="AQ138" s="107"/>
      <c r="AR138" s="107"/>
      <c r="AS138" s="116"/>
      <c r="AT138" s="114">
        <f t="shared" si="14"/>
        <v>40.4</v>
      </c>
      <c r="AU138" s="114"/>
      <c r="AV138" s="108"/>
      <c r="AW138" s="108"/>
      <c r="AX138" s="108"/>
      <c r="AY138" s="108"/>
      <c r="AZ138" s="108"/>
      <c r="BA138" s="108"/>
      <c r="BB138" s="108"/>
      <c r="BC138" s="108"/>
      <c r="BD138" s="111"/>
      <c r="BE138" s="111">
        <f t="shared" si="11"/>
        <v>40.4</v>
      </c>
      <c r="BF138" s="111"/>
      <c r="BG138" s="111"/>
      <c r="BH138" s="111"/>
      <c r="BI138" s="111"/>
      <c r="BJ138" s="111"/>
      <c r="BK138" s="111"/>
      <c r="BL138" s="111"/>
      <c r="BM138" s="117"/>
      <c r="BN138" s="111"/>
      <c r="BO138" s="117"/>
      <c r="BP138" s="117">
        <f t="shared" si="12"/>
        <v>40.4</v>
      </c>
      <c r="BQ138" s="117"/>
      <c r="BR138" s="111"/>
      <c r="BS138" s="118"/>
      <c r="BT138" s="111"/>
      <c r="BU138" s="118"/>
      <c r="BV138" s="111"/>
      <c r="BW138" s="111"/>
      <c r="BX138" s="111"/>
      <c r="BY138" s="111"/>
      <c r="BZ138" s="111"/>
      <c r="CA138" s="111">
        <f t="shared" si="13"/>
        <v>40.4</v>
      </c>
      <c r="CB138" s="119"/>
      <c r="CC138" s="117"/>
      <c r="CD138" s="120">
        <v>46202</v>
      </c>
      <c r="CE138" s="120">
        <v>46204</v>
      </c>
      <c r="CF138" s="120">
        <v>46206</v>
      </c>
      <c r="CG138" s="111"/>
      <c r="CH138" s="132"/>
      <c r="CI138" s="132"/>
      <c r="CJ138" s="111"/>
      <c r="CK138" s="132"/>
    </row>
    <row r="139" spans="1:89" ht="409.5">
      <c r="A139" s="147" t="s">
        <v>171</v>
      </c>
      <c r="B139" s="49">
        <f>6+2.5+5+7.75+6+6.5+3.5+0.25+3+5+5.25+4.75+4.5</f>
        <v>60</v>
      </c>
      <c r="C139" s="49">
        <v>110</v>
      </c>
      <c r="D139" s="107">
        <f>Tracker[[#This Row],[Estimated Hrs]]-Tracker[[#This Row],[Actual Efforts (Hrs)]]</f>
        <v>50</v>
      </c>
      <c r="E139" s="134"/>
      <c r="F139" s="134" t="s">
        <v>89</v>
      </c>
      <c r="G139" s="150"/>
      <c r="H139" s="135">
        <v>17581155</v>
      </c>
      <c r="I139" s="149">
        <f>Tracker[[#This Row],[DCR ID - PTC]]</f>
        <v>17581155</v>
      </c>
      <c r="J139" s="134" t="s">
        <v>522</v>
      </c>
      <c r="K139" s="134" t="s">
        <v>101</v>
      </c>
      <c r="L139" s="134" t="s">
        <v>131</v>
      </c>
      <c r="M139" s="134"/>
      <c r="N139" s="580" t="s">
        <v>983</v>
      </c>
      <c r="O139" s="123" t="s">
        <v>115</v>
      </c>
      <c r="P139" s="123"/>
      <c r="Q139" s="123"/>
      <c r="R139" s="123"/>
      <c r="S139" s="123"/>
      <c r="T139" s="123"/>
      <c r="U139" s="134"/>
      <c r="V139" s="134"/>
      <c r="W139" s="134"/>
      <c r="X139" s="134">
        <f t="shared" si="10"/>
        <v>40.4</v>
      </c>
      <c r="Y139" s="134"/>
      <c r="Z139" s="134"/>
      <c r="AA139" s="134" t="s">
        <v>92</v>
      </c>
      <c r="AC139" s="134" t="s">
        <v>131</v>
      </c>
      <c r="AD139" s="134" t="s">
        <v>146</v>
      </c>
      <c r="AE139" s="49"/>
      <c r="AF139" s="136"/>
      <c r="AG139" s="137">
        <v>45947.010740740741</v>
      </c>
      <c r="AH139" s="134" t="s">
        <v>94</v>
      </c>
      <c r="AI139" s="134" t="s">
        <v>95</v>
      </c>
      <c r="AJ139" s="138">
        <v>45930.395833333336</v>
      </c>
      <c r="AK139" s="134" t="s">
        <v>96</v>
      </c>
      <c r="AL139" s="137">
        <v>45929.545069444444</v>
      </c>
      <c r="AM139" s="139"/>
      <c r="AN139" s="139"/>
      <c r="AO139" s="139"/>
      <c r="AP139" s="134"/>
      <c r="AQ139" s="49"/>
      <c r="AR139" s="49"/>
      <c r="AS139" s="139"/>
      <c r="AT139" s="138">
        <f t="shared" si="14"/>
        <v>40.4</v>
      </c>
      <c r="AU139" s="138"/>
      <c r="AV139" s="134"/>
      <c r="AW139" s="134"/>
      <c r="AX139" s="134"/>
      <c r="AY139" s="134" t="s">
        <v>866</v>
      </c>
      <c r="AZ139" s="134"/>
      <c r="BA139" s="134"/>
      <c r="BB139" s="134"/>
      <c r="BC139" s="134"/>
      <c r="BD139" s="123"/>
      <c r="BE139" s="123">
        <f t="shared" si="11"/>
        <v>40.4</v>
      </c>
      <c r="BF139" s="123"/>
      <c r="BG139" s="123"/>
      <c r="BH139" s="123"/>
      <c r="BI139" s="123"/>
      <c r="BJ139" s="123"/>
      <c r="BK139" s="123"/>
      <c r="BL139" s="123"/>
      <c r="BM139" s="117"/>
      <c r="BN139" s="123"/>
      <c r="BO139" s="140"/>
      <c r="BP139" s="140">
        <f t="shared" si="12"/>
        <v>40.4</v>
      </c>
      <c r="BQ139" s="140"/>
      <c r="BR139" s="123"/>
      <c r="BS139" s="141"/>
      <c r="BT139" s="123"/>
      <c r="BU139" s="141"/>
      <c r="BV139" s="123"/>
      <c r="BW139" s="123"/>
      <c r="BX139" s="123"/>
      <c r="BY139" s="123"/>
      <c r="BZ139" s="123"/>
      <c r="CA139" s="123">
        <f t="shared" si="13"/>
        <v>40.4</v>
      </c>
      <c r="CB139" s="143"/>
      <c r="CC139" s="140"/>
      <c r="CD139" s="132">
        <v>0</v>
      </c>
      <c r="CE139" s="132">
        <v>0</v>
      </c>
      <c r="CF139" s="132">
        <v>0</v>
      </c>
      <c r="CG139" s="123"/>
      <c r="CH139" s="120"/>
      <c r="CI139" s="120"/>
      <c r="CJ139" s="278"/>
      <c r="CK139" s="132"/>
    </row>
    <row r="140" spans="1:89" ht="174">
      <c r="A140" s="106" t="s">
        <v>171</v>
      </c>
      <c r="B140" s="107">
        <v>0</v>
      </c>
      <c r="C140" s="49">
        <v>0</v>
      </c>
      <c r="D140" s="107">
        <v>0</v>
      </c>
      <c r="E140" s="108"/>
      <c r="F140" s="108" t="s">
        <v>127</v>
      </c>
      <c r="G140" s="121"/>
      <c r="H140" s="151">
        <v>17728109</v>
      </c>
      <c r="I140" s="149">
        <f>Tracker[[#This Row],[DCR ID - PTC]]</f>
        <v>17728109</v>
      </c>
      <c r="J140" s="108" t="s">
        <v>524</v>
      </c>
      <c r="K140" s="108" t="s">
        <v>101</v>
      </c>
      <c r="L140" s="108" t="s">
        <v>984</v>
      </c>
      <c r="M140" s="108"/>
      <c r="N140" s="580"/>
      <c r="O140" s="111"/>
      <c r="P140" s="111"/>
      <c r="Q140" s="111"/>
      <c r="R140" s="111"/>
      <c r="S140" s="111"/>
      <c r="T140" s="111"/>
      <c r="U140" s="108"/>
      <c r="V140" s="108"/>
      <c r="W140" s="108"/>
      <c r="X140" s="108">
        <f t="shared" si="10"/>
        <v>40.4</v>
      </c>
      <c r="Y140" s="108"/>
      <c r="Z140" s="108"/>
      <c r="AA140" s="108" t="s">
        <v>879</v>
      </c>
      <c r="AB140" s="112"/>
      <c r="AC140" s="108" t="s">
        <v>984</v>
      </c>
      <c r="AD140" s="108" t="s">
        <v>93</v>
      </c>
      <c r="AE140" s="107"/>
      <c r="AF140" s="113"/>
      <c r="AG140" s="115">
        <v>46003.051574074074</v>
      </c>
      <c r="AH140" s="108" t="s">
        <v>94</v>
      </c>
      <c r="AI140" s="108" t="s">
        <v>95</v>
      </c>
      <c r="AJ140" s="114">
        <v>46112.354166666664</v>
      </c>
      <c r="AK140" s="108" t="s">
        <v>96</v>
      </c>
      <c r="AL140" s="115">
        <v>45947.696168981478</v>
      </c>
      <c r="AM140" s="116"/>
      <c r="AN140" s="116"/>
      <c r="AO140" s="139"/>
      <c r="AP140" s="108"/>
      <c r="AQ140" s="107"/>
      <c r="AR140" s="107"/>
      <c r="AS140" s="116"/>
      <c r="AT140" s="114">
        <f t="shared" si="14"/>
        <v>40.4</v>
      </c>
      <c r="AU140" s="114"/>
      <c r="AV140" s="108"/>
      <c r="AW140" s="108"/>
      <c r="AX140" s="108"/>
      <c r="AY140" s="108" t="s">
        <v>866</v>
      </c>
      <c r="AZ140" s="108"/>
      <c r="BA140" s="108"/>
      <c r="BB140" s="108"/>
      <c r="BC140" s="108"/>
      <c r="BD140" s="111"/>
      <c r="BE140" s="111">
        <f t="shared" si="11"/>
        <v>40.4</v>
      </c>
      <c r="BF140" s="111"/>
      <c r="BG140" s="111"/>
      <c r="BH140" s="111"/>
      <c r="BI140" s="111"/>
      <c r="BJ140" s="111"/>
      <c r="BK140" s="111"/>
      <c r="BL140" s="111"/>
      <c r="BM140" s="117"/>
      <c r="BN140" s="111"/>
      <c r="BO140" s="117"/>
      <c r="BP140" s="117">
        <f t="shared" si="12"/>
        <v>40.4</v>
      </c>
      <c r="BQ140" s="117"/>
      <c r="BR140" s="111"/>
      <c r="BS140" s="118"/>
      <c r="BT140" s="111"/>
      <c r="BU140" s="118"/>
      <c r="BV140" s="111"/>
      <c r="BW140" s="111"/>
      <c r="BX140" s="111"/>
      <c r="BY140" s="111"/>
      <c r="BZ140" s="111"/>
      <c r="CA140" s="111">
        <f t="shared" si="13"/>
        <v>40.4</v>
      </c>
      <c r="CB140" s="119"/>
      <c r="CC140" s="117"/>
      <c r="CD140" s="132" t="e">
        <v>#N/A</v>
      </c>
      <c r="CE140" s="132" t="e">
        <v>#N/A</v>
      </c>
      <c r="CF140" s="132" t="e">
        <v>#N/A</v>
      </c>
      <c r="CG140" s="111"/>
      <c r="CH140" s="132"/>
      <c r="CI140" s="132"/>
      <c r="CJ140" s="111"/>
      <c r="CK140" s="132"/>
    </row>
    <row r="141" spans="1:89" ht="43.5">
      <c r="A141" s="252" t="s">
        <v>171</v>
      </c>
      <c r="B141" s="107">
        <v>0</v>
      </c>
      <c r="C141" s="49">
        <v>0</v>
      </c>
      <c r="D141" s="107">
        <f>Tracker[[#This Row],[Estimated Hrs]]-Tracker[[#This Row],[Actual Efforts (Hrs)]]</f>
        <v>0</v>
      </c>
      <c r="E141" s="108"/>
      <c r="F141" s="108" t="s">
        <v>127</v>
      </c>
      <c r="G141" s="121"/>
      <c r="H141" s="151">
        <v>18453031</v>
      </c>
      <c r="I141" s="149">
        <f>Tracker[[#This Row],[DCR ID - PTC]]</f>
        <v>18453031</v>
      </c>
      <c r="J141" s="107" t="s">
        <v>177</v>
      </c>
      <c r="K141" s="108" t="s">
        <v>101</v>
      </c>
      <c r="L141" s="108" t="s">
        <v>165</v>
      </c>
      <c r="M141" s="108"/>
      <c r="N141" s="580"/>
      <c r="O141" s="111"/>
      <c r="P141" s="111"/>
      <c r="Q141" s="111"/>
      <c r="R141" s="111"/>
      <c r="S141" s="111"/>
      <c r="T141" s="111"/>
      <c r="U141" s="108"/>
      <c r="V141" s="108"/>
      <c r="W141" s="108"/>
      <c r="X141" s="108">
        <f t="shared" si="10"/>
        <v>40.4</v>
      </c>
      <c r="Y141" s="108"/>
      <c r="Z141" s="108"/>
      <c r="AA141" s="108" t="s">
        <v>139</v>
      </c>
      <c r="AB141" s="112">
        <v>46080</v>
      </c>
      <c r="AC141" s="108" t="s">
        <v>165</v>
      </c>
      <c r="AD141" s="108" t="s">
        <v>93</v>
      </c>
      <c r="AE141" s="107"/>
      <c r="AF141" s="113"/>
      <c r="AG141" s="115">
        <v>46039.836215277777</v>
      </c>
      <c r="AH141" s="108" t="s">
        <v>94</v>
      </c>
      <c r="AI141" s="108" t="s">
        <v>95</v>
      </c>
      <c r="AJ141" s="114">
        <v>46043.4375</v>
      </c>
      <c r="AK141" s="108" t="s">
        <v>96</v>
      </c>
      <c r="AL141" s="115">
        <v>46039.463599537034</v>
      </c>
      <c r="AM141" s="116"/>
      <c r="AN141" s="116"/>
      <c r="AO141" s="139"/>
      <c r="AP141" s="108"/>
      <c r="AQ141" s="107"/>
      <c r="AR141" s="107"/>
      <c r="AS141" s="116"/>
      <c r="AT141" s="114">
        <f t="shared" si="14"/>
        <v>40.4</v>
      </c>
      <c r="AU141" s="114"/>
      <c r="AV141" s="108"/>
      <c r="AW141" s="108"/>
      <c r="AX141" s="108"/>
      <c r="AY141" s="108" t="s">
        <v>866</v>
      </c>
      <c r="AZ141" s="108"/>
      <c r="BA141" s="108"/>
      <c r="BB141" s="108"/>
      <c r="BC141" s="108"/>
      <c r="BD141" s="111"/>
      <c r="BE141" s="111">
        <f t="shared" si="11"/>
        <v>40.4</v>
      </c>
      <c r="BF141" s="111"/>
      <c r="BG141" s="111"/>
      <c r="BH141" s="111"/>
      <c r="BI141" s="111"/>
      <c r="BJ141" s="111"/>
      <c r="BK141" s="111"/>
      <c r="BL141" s="111"/>
      <c r="BM141" s="117"/>
      <c r="BN141" s="111"/>
      <c r="BO141" s="117"/>
      <c r="BP141" s="117">
        <f t="shared" si="12"/>
        <v>40.4</v>
      </c>
      <c r="BQ141" s="117"/>
      <c r="BR141" s="111"/>
      <c r="BS141" s="118"/>
      <c r="BT141" s="111"/>
      <c r="BU141" s="118"/>
      <c r="BV141" s="111"/>
      <c r="BW141" s="111"/>
      <c r="BX141" s="111"/>
      <c r="BY141" s="111"/>
      <c r="BZ141" s="111"/>
      <c r="CA141" s="111">
        <f t="shared" si="13"/>
        <v>40.4</v>
      </c>
      <c r="CB141" s="119"/>
      <c r="CC141" s="117"/>
      <c r="CD141" s="132" t="e">
        <v>#N/A</v>
      </c>
      <c r="CE141" s="132" t="e">
        <v>#N/A</v>
      </c>
      <c r="CF141" s="132" t="e">
        <v>#N/A</v>
      </c>
      <c r="CG141" s="111"/>
      <c r="CH141" s="132"/>
      <c r="CI141" s="132"/>
      <c r="CJ141" s="111"/>
      <c r="CK141" s="132"/>
    </row>
    <row r="142" spans="1:89" ht="275.45">
      <c r="A142" s="106" t="s">
        <v>171</v>
      </c>
      <c r="B142" s="107">
        <f>6+9+8</f>
        <v>23</v>
      </c>
      <c r="C142" s="49">
        <v>0</v>
      </c>
      <c r="D142" s="107">
        <f>Tracker[[#This Row],[Estimated Hrs]]-Tracker[[#This Row],[Actual Efforts (Hrs)]]</f>
        <v>-23</v>
      </c>
      <c r="E142" s="108"/>
      <c r="F142" s="108"/>
      <c r="G142" s="121"/>
      <c r="H142" s="109">
        <v>0</v>
      </c>
      <c r="I142" s="149">
        <f>Tracker[[#This Row],[DCR ID - PTC]]</f>
        <v>0</v>
      </c>
      <c r="J142" s="415" t="s">
        <v>985</v>
      </c>
      <c r="K142" s="108" t="s">
        <v>101</v>
      </c>
      <c r="L142" s="108"/>
      <c r="M142" s="108"/>
      <c r="N142" s="580" t="s">
        <v>986</v>
      </c>
      <c r="O142" s="111" t="s">
        <v>115</v>
      </c>
      <c r="P142" s="111"/>
      <c r="Q142" s="111"/>
      <c r="R142" s="111"/>
      <c r="S142" s="111"/>
      <c r="T142" s="111"/>
      <c r="U142" s="108"/>
      <c r="V142" s="108"/>
      <c r="W142" s="108"/>
      <c r="X142" s="108">
        <f t="shared" si="10"/>
        <v>40.4</v>
      </c>
      <c r="Y142" s="108"/>
      <c r="Z142" s="108"/>
      <c r="AA142" s="108"/>
      <c r="AB142" s="112"/>
      <c r="AC142" s="108"/>
      <c r="AD142" s="108"/>
      <c r="AE142" s="107"/>
      <c r="AF142" s="113"/>
      <c r="AG142" s="115"/>
      <c r="AH142" s="108"/>
      <c r="AI142" s="108"/>
      <c r="AJ142" s="114"/>
      <c r="AK142" s="108"/>
      <c r="AL142" s="115"/>
      <c r="AM142" s="116"/>
      <c r="AN142" s="116"/>
      <c r="AO142" s="139"/>
      <c r="AP142" s="108"/>
      <c r="AQ142" s="107"/>
      <c r="AR142" s="107"/>
      <c r="AS142" s="116"/>
      <c r="AT142" s="114">
        <f t="shared" si="14"/>
        <v>40.4</v>
      </c>
      <c r="AU142" s="114"/>
      <c r="AV142" s="108"/>
      <c r="AW142" s="108"/>
      <c r="AX142" s="108"/>
      <c r="AY142" s="108"/>
      <c r="AZ142" s="108"/>
      <c r="BA142" s="108"/>
      <c r="BB142" s="108"/>
      <c r="BC142" s="108"/>
      <c r="BD142" s="111"/>
      <c r="BE142" s="111">
        <f t="shared" si="11"/>
        <v>40.4</v>
      </c>
      <c r="BF142" s="111"/>
      <c r="BG142" s="111"/>
      <c r="BH142" s="111"/>
      <c r="BI142" s="111"/>
      <c r="BJ142" s="111"/>
      <c r="BK142" s="111"/>
      <c r="BL142" s="111"/>
      <c r="BM142" s="117"/>
      <c r="BN142" s="111"/>
      <c r="BO142" s="117"/>
      <c r="BP142" s="117">
        <f t="shared" si="12"/>
        <v>40.4</v>
      </c>
      <c r="BQ142" s="117"/>
      <c r="BR142" s="111"/>
      <c r="BS142" s="118"/>
      <c r="BT142" s="111"/>
      <c r="BU142" s="118"/>
      <c r="BV142" s="111"/>
      <c r="BW142" s="111"/>
      <c r="BX142" s="111"/>
      <c r="BY142" s="111"/>
      <c r="BZ142" s="111"/>
      <c r="CA142" s="111">
        <f t="shared" si="13"/>
        <v>40.4</v>
      </c>
      <c r="CB142" s="119"/>
      <c r="CC142" s="117"/>
      <c r="CD142" s="132" t="e">
        <v>#N/A</v>
      </c>
      <c r="CE142" s="132" t="e">
        <v>#N/A</v>
      </c>
      <c r="CF142" s="132" t="e">
        <v>#N/A</v>
      </c>
      <c r="CG142" s="111"/>
      <c r="CH142" s="132"/>
      <c r="CI142" s="132"/>
      <c r="CJ142" s="111"/>
      <c r="CK142" s="132"/>
    </row>
    <row r="143" spans="1:89" ht="43.5">
      <c r="A143" s="106" t="s">
        <v>158</v>
      </c>
      <c r="B143" s="49">
        <v>0</v>
      </c>
      <c r="C143" s="49">
        <v>0</v>
      </c>
      <c r="D143" s="49">
        <v>0</v>
      </c>
      <c r="E143" s="134"/>
      <c r="F143" s="134"/>
      <c r="G143" s="150"/>
      <c r="H143" s="154">
        <v>19599644</v>
      </c>
      <c r="I143" s="149">
        <f>Tracker[[#This Row],[DCR ID - PTC]]</f>
        <v>19599644</v>
      </c>
      <c r="J143" s="281" t="s">
        <v>987</v>
      </c>
      <c r="K143" s="134" t="s">
        <v>176</v>
      </c>
      <c r="L143" s="134"/>
      <c r="M143" s="134"/>
      <c r="N143" s="580"/>
      <c r="O143" s="123"/>
      <c r="P143" s="123"/>
      <c r="Q143" s="123"/>
      <c r="R143" s="123"/>
      <c r="S143" s="123"/>
      <c r="T143" s="123"/>
      <c r="U143" s="134"/>
      <c r="V143" s="134"/>
      <c r="W143" s="134"/>
      <c r="X143" s="134">
        <f t="shared" si="10"/>
        <v>40.4</v>
      </c>
      <c r="Y143" s="134"/>
      <c r="Z143" s="134"/>
      <c r="AA143" s="134"/>
      <c r="AC143" s="134"/>
      <c r="AD143" s="134" t="s">
        <v>93</v>
      </c>
      <c r="AE143" s="49"/>
      <c r="AF143" s="136"/>
      <c r="AG143" s="137"/>
      <c r="AH143" s="134" t="s">
        <v>100</v>
      </c>
      <c r="AI143" s="134" t="s">
        <v>101</v>
      </c>
      <c r="AJ143" s="138">
        <v>46234.463912037034</v>
      </c>
      <c r="AK143" s="134" t="s">
        <v>96</v>
      </c>
      <c r="AL143" s="137">
        <v>46147.464155092595</v>
      </c>
      <c r="AM143" s="139"/>
      <c r="AN143" s="139"/>
      <c r="AO143" s="139"/>
      <c r="AP143" s="134"/>
      <c r="AQ143" s="49"/>
      <c r="AR143" s="49"/>
      <c r="AS143" s="139"/>
      <c r="AT143" s="138">
        <f t="shared" si="14"/>
        <v>40.4</v>
      </c>
      <c r="AU143" s="138"/>
      <c r="AV143" s="134"/>
      <c r="AW143" s="134"/>
      <c r="AX143" s="134"/>
      <c r="AY143" s="134" t="s">
        <v>866</v>
      </c>
      <c r="AZ143" s="134"/>
      <c r="BA143" s="134"/>
      <c r="BB143" s="134"/>
      <c r="BC143" s="134"/>
      <c r="BD143" s="123"/>
      <c r="BE143" s="123">
        <f t="shared" si="11"/>
        <v>40.4</v>
      </c>
      <c r="BF143" s="123"/>
      <c r="BG143" s="123"/>
      <c r="BH143" s="123"/>
      <c r="BI143" s="123"/>
      <c r="BJ143" s="123"/>
      <c r="BK143" s="123"/>
      <c r="BL143" s="123"/>
      <c r="BM143" s="117"/>
      <c r="BN143" s="123"/>
      <c r="BO143" s="140"/>
      <c r="BP143" s="140">
        <f t="shared" si="12"/>
        <v>40.4</v>
      </c>
      <c r="BQ143" s="140"/>
      <c r="BR143" s="123"/>
      <c r="BS143" s="141"/>
      <c r="BT143" s="123"/>
      <c r="BU143" s="141"/>
      <c r="BV143" s="123"/>
      <c r="BW143" s="123"/>
      <c r="BX143" s="123"/>
      <c r="BY143" s="123"/>
      <c r="BZ143" s="123"/>
      <c r="CA143" s="123">
        <f t="shared" si="13"/>
        <v>40.4</v>
      </c>
      <c r="CB143" s="143"/>
      <c r="CC143" s="140"/>
      <c r="CD143" s="120" t="e">
        <v>#N/A</v>
      </c>
      <c r="CE143" s="120" t="e">
        <v>#N/A</v>
      </c>
      <c r="CF143" s="120" t="e">
        <v>#N/A</v>
      </c>
      <c r="CG143" s="123"/>
      <c r="CH143" s="120"/>
      <c r="CI143" s="120"/>
      <c r="CJ143" s="123"/>
      <c r="CK143" s="132"/>
    </row>
    <row r="144" spans="1:89" ht="144.94999999999999">
      <c r="A144" s="106" t="s">
        <v>778</v>
      </c>
      <c r="B144" s="49">
        <v>0</v>
      </c>
      <c r="C144" s="49">
        <v>0</v>
      </c>
      <c r="D144" s="107">
        <f>Tracker[[#This Row],[Estimated Hrs]]-Tracker[[#This Row],[Actual Efforts (Hrs)]]</f>
        <v>0</v>
      </c>
      <c r="E144" s="134"/>
      <c r="F144" s="134"/>
      <c r="G144" s="150"/>
      <c r="H144" s="154">
        <v>18802857</v>
      </c>
      <c r="I144" s="149">
        <f>Tracker[[#This Row],[DCR ID - PTC]]</f>
        <v>18802857</v>
      </c>
      <c r="J144" s="134" t="s">
        <v>224</v>
      </c>
      <c r="K144" s="134" t="s">
        <v>104</v>
      </c>
      <c r="L144" s="134" t="s">
        <v>988</v>
      </c>
      <c r="M144" s="134"/>
      <c r="N144" s="580" t="s">
        <v>989</v>
      </c>
      <c r="O144" s="123" t="s">
        <v>106</v>
      </c>
      <c r="P144" s="123"/>
      <c r="Q144" s="123"/>
      <c r="R144" s="123"/>
      <c r="S144" s="123"/>
      <c r="T144" s="123"/>
      <c r="U144" s="134"/>
      <c r="V144" s="134"/>
      <c r="W144" s="134"/>
      <c r="X144" s="134">
        <f t="shared" si="10"/>
        <v>40.4</v>
      </c>
      <c r="Y144" s="134"/>
      <c r="Z144" s="134"/>
      <c r="AA144" s="134" t="s">
        <v>107</v>
      </c>
      <c r="AB144" s="29">
        <v>46171</v>
      </c>
      <c r="AC144" s="134" t="s">
        <v>988</v>
      </c>
      <c r="AD144" s="134" t="s">
        <v>93</v>
      </c>
      <c r="AE144" s="49"/>
      <c r="AF144" s="136"/>
      <c r="AG144" s="137"/>
      <c r="AH144" s="134" t="s">
        <v>109</v>
      </c>
      <c r="AI144" s="134" t="s">
        <v>95</v>
      </c>
      <c r="AJ144" s="138">
        <v>46037.4375</v>
      </c>
      <c r="AK144" s="134" t="s">
        <v>96</v>
      </c>
      <c r="AL144" s="137">
        <v>46066.972314814811</v>
      </c>
      <c r="AM144" s="139"/>
      <c r="AN144" s="139"/>
      <c r="AO144" s="139"/>
      <c r="AP144" s="134"/>
      <c r="AQ144" s="49"/>
      <c r="AR144" s="49"/>
      <c r="AS144" s="139"/>
      <c r="AT144" s="138">
        <f t="shared" si="14"/>
        <v>40.4</v>
      </c>
      <c r="AU144" s="138"/>
      <c r="AV144" s="134"/>
      <c r="AW144" s="134"/>
      <c r="AX144" s="134"/>
      <c r="AY144" s="134" t="s">
        <v>866</v>
      </c>
      <c r="AZ144" s="134"/>
      <c r="BA144" s="134"/>
      <c r="BB144" s="134"/>
      <c r="BC144" s="134"/>
      <c r="BD144" s="123"/>
      <c r="BE144" s="123">
        <f t="shared" si="11"/>
        <v>40.4</v>
      </c>
      <c r="BF144" s="123"/>
      <c r="BG144" s="123"/>
      <c r="BH144" s="123"/>
      <c r="BI144" s="123"/>
      <c r="BJ144" s="123"/>
      <c r="BK144" s="123"/>
      <c r="BL144" s="123"/>
      <c r="BM144" s="117"/>
      <c r="BN144" s="123"/>
      <c r="BO144" s="140"/>
      <c r="BP144" s="140">
        <f t="shared" si="12"/>
        <v>40.4</v>
      </c>
      <c r="BQ144" s="140"/>
      <c r="BR144" s="123"/>
      <c r="BS144" s="141"/>
      <c r="BT144" s="123"/>
      <c r="BU144" s="141"/>
      <c r="BV144" s="123"/>
      <c r="BW144" s="123"/>
      <c r="BX144" s="123"/>
      <c r="BY144" s="123"/>
      <c r="BZ144" s="123"/>
      <c r="CA144" s="123">
        <f t="shared" si="13"/>
        <v>40.4</v>
      </c>
      <c r="CB144" s="143"/>
      <c r="CC144" s="140"/>
      <c r="CD144" s="120">
        <v>0</v>
      </c>
      <c r="CE144" s="120">
        <v>0</v>
      </c>
      <c r="CF144" s="120">
        <v>0</v>
      </c>
      <c r="CG144" s="123"/>
      <c r="CH144" s="120"/>
      <c r="CI144" s="120"/>
      <c r="CJ144" s="278"/>
      <c r="CK144" s="132"/>
    </row>
    <row r="145" spans="1:89" ht="56.1" customHeight="1">
      <c r="A145" s="106" t="s">
        <v>778</v>
      </c>
      <c r="B145" s="107">
        <v>0</v>
      </c>
      <c r="C145" s="49">
        <v>0</v>
      </c>
      <c r="D145" s="107">
        <f>Tracker[[#This Row],[Estimated Hrs]]-Tracker[[#This Row],[Actual Efforts (Hrs)]]</f>
        <v>0</v>
      </c>
      <c r="E145" s="108"/>
      <c r="F145" s="108"/>
      <c r="G145" s="121"/>
      <c r="H145" s="151">
        <v>18815112</v>
      </c>
      <c r="I145" s="149">
        <f>Tracker[[#This Row],[DCR ID - PTC]]</f>
        <v>18815112</v>
      </c>
      <c r="J145" s="107" t="s">
        <v>990</v>
      </c>
      <c r="K145" s="108" t="s">
        <v>104</v>
      </c>
      <c r="L145" s="108" t="s">
        <v>991</v>
      </c>
      <c r="M145" s="108"/>
      <c r="N145" s="580" t="s">
        <v>989</v>
      </c>
      <c r="O145" s="111" t="s">
        <v>106</v>
      </c>
      <c r="P145" s="111"/>
      <c r="Q145" s="111"/>
      <c r="R145" s="111"/>
      <c r="S145" s="111"/>
      <c r="T145" s="111"/>
      <c r="U145" s="108"/>
      <c r="V145" s="108"/>
      <c r="W145" s="108"/>
      <c r="X145" s="108">
        <f t="shared" si="10"/>
        <v>40.4</v>
      </c>
      <c r="Y145" s="108"/>
      <c r="Z145" s="108"/>
      <c r="AA145" s="108" t="s">
        <v>107</v>
      </c>
      <c r="AB145" s="112">
        <v>46090</v>
      </c>
      <c r="AC145" s="108" t="s">
        <v>991</v>
      </c>
      <c r="AD145" s="108" t="s">
        <v>93</v>
      </c>
      <c r="AE145" s="107"/>
      <c r="AF145" s="113"/>
      <c r="AG145" s="115"/>
      <c r="AH145" s="108" t="s">
        <v>109</v>
      </c>
      <c r="AI145" s="108" t="s">
        <v>95</v>
      </c>
      <c r="AJ145" s="114">
        <v>46035.4375</v>
      </c>
      <c r="AK145" s="108" t="s">
        <v>96</v>
      </c>
      <c r="AL145" s="115">
        <v>46069.009988425925</v>
      </c>
      <c r="AM145" s="116"/>
      <c r="AN145" s="116"/>
      <c r="AO145" s="139"/>
      <c r="AP145" s="108"/>
      <c r="AQ145" s="107"/>
      <c r="AR145" s="107"/>
      <c r="AS145" s="116"/>
      <c r="AT145" s="114">
        <f t="shared" si="14"/>
        <v>40.4</v>
      </c>
      <c r="AU145" s="114"/>
      <c r="AV145" s="108"/>
      <c r="AW145" s="108"/>
      <c r="AX145" s="108"/>
      <c r="AY145" s="108" t="s">
        <v>866</v>
      </c>
      <c r="AZ145" s="108"/>
      <c r="BA145" s="108"/>
      <c r="BB145" s="108"/>
      <c r="BC145" s="108"/>
      <c r="BD145" s="111"/>
      <c r="BE145" s="111">
        <f t="shared" si="11"/>
        <v>40.4</v>
      </c>
      <c r="BF145" s="111"/>
      <c r="BG145" s="111"/>
      <c r="BH145" s="111"/>
      <c r="BI145" s="111"/>
      <c r="BJ145" s="111"/>
      <c r="BK145" s="111"/>
      <c r="BL145" s="111"/>
      <c r="BM145" s="117"/>
      <c r="BN145" s="111"/>
      <c r="BO145" s="117"/>
      <c r="BP145" s="117">
        <f t="shared" si="12"/>
        <v>40.4</v>
      </c>
      <c r="BQ145" s="117"/>
      <c r="BR145" s="111"/>
      <c r="BS145" s="118"/>
      <c r="BT145" s="111"/>
      <c r="BU145" s="118"/>
      <c r="BV145" s="111"/>
      <c r="BW145" s="111"/>
      <c r="BX145" s="111"/>
      <c r="BY145" s="111"/>
      <c r="BZ145" s="111"/>
      <c r="CA145" s="111">
        <f t="shared" si="13"/>
        <v>40.4</v>
      </c>
      <c r="CB145" s="119"/>
      <c r="CC145" s="117"/>
      <c r="CD145" s="132">
        <v>0</v>
      </c>
      <c r="CE145" s="132">
        <v>46206</v>
      </c>
      <c r="CF145" s="132">
        <v>46209</v>
      </c>
      <c r="CG145" s="111"/>
      <c r="CH145" s="132"/>
      <c r="CI145" s="132"/>
      <c r="CJ145" s="111"/>
      <c r="CK145" s="132"/>
    </row>
    <row r="146" spans="1:89" ht="159.6">
      <c r="A146" s="106" t="s">
        <v>992</v>
      </c>
      <c r="B146" s="107">
        <f>5</f>
        <v>5</v>
      </c>
      <c r="C146" s="49">
        <v>80</v>
      </c>
      <c r="D146" s="107">
        <f>Tracker[[#This Row],[Estimated Hrs]]-Tracker[[#This Row],[Actual Efforts (Hrs)]]</f>
        <v>75</v>
      </c>
      <c r="E146" s="108"/>
      <c r="F146" s="108"/>
      <c r="G146" s="121"/>
      <c r="H146" s="109">
        <v>18815112</v>
      </c>
      <c r="I146" s="149">
        <f>Tracker[[#This Row],[DCR ID - PTC]]</f>
        <v>18815112</v>
      </c>
      <c r="J146" s="107" t="s">
        <v>990</v>
      </c>
      <c r="K146" s="108" t="s">
        <v>118</v>
      </c>
      <c r="L146" s="108" t="s">
        <v>991</v>
      </c>
      <c r="M146" s="108"/>
      <c r="N146" s="580" t="s">
        <v>993</v>
      </c>
      <c r="O146" s="111" t="s">
        <v>115</v>
      </c>
      <c r="P146" s="111"/>
      <c r="Q146" s="111"/>
      <c r="R146" s="111"/>
      <c r="S146" s="111"/>
      <c r="T146" s="111"/>
      <c r="U146" s="108"/>
      <c r="V146" s="108"/>
      <c r="W146" s="108"/>
      <c r="X146" s="108">
        <f t="shared" si="10"/>
        <v>40.4</v>
      </c>
      <c r="Y146" s="108"/>
      <c r="Z146" s="108"/>
      <c r="AA146" s="108"/>
      <c r="AB146" s="112"/>
      <c r="AC146" s="108"/>
      <c r="AD146" s="108"/>
      <c r="AE146" s="107"/>
      <c r="AF146" s="113"/>
      <c r="AG146" s="115"/>
      <c r="AH146" s="108"/>
      <c r="AI146" s="108"/>
      <c r="AJ146" s="114"/>
      <c r="AK146" s="108"/>
      <c r="AL146" s="115"/>
      <c r="AM146" s="116"/>
      <c r="AN146" s="116"/>
      <c r="AO146" s="139"/>
      <c r="AP146" s="108"/>
      <c r="AQ146" s="107"/>
      <c r="AR146" s="107"/>
      <c r="AS146" s="116"/>
      <c r="AT146" s="114">
        <f t="shared" si="14"/>
        <v>40.4</v>
      </c>
      <c r="AU146" s="114"/>
      <c r="AV146" s="108"/>
      <c r="AW146" s="108"/>
      <c r="AX146" s="108"/>
      <c r="AY146" s="108"/>
      <c r="AZ146" s="108"/>
      <c r="BA146" s="108"/>
      <c r="BB146" s="108"/>
      <c r="BC146" s="108"/>
      <c r="BD146" s="111"/>
      <c r="BE146" s="111">
        <f t="shared" si="11"/>
        <v>40.4</v>
      </c>
      <c r="BF146" s="111"/>
      <c r="BG146" s="111"/>
      <c r="BH146" s="111"/>
      <c r="BI146" s="111"/>
      <c r="BJ146" s="111"/>
      <c r="BK146" s="111"/>
      <c r="BL146" s="111"/>
      <c r="BM146" s="117"/>
      <c r="BN146" s="111"/>
      <c r="BO146" s="117"/>
      <c r="BP146" s="117">
        <f t="shared" si="12"/>
        <v>40.4</v>
      </c>
      <c r="BQ146" s="117"/>
      <c r="BR146" s="111"/>
      <c r="BS146" s="118"/>
      <c r="BT146" s="111"/>
      <c r="BU146" s="118"/>
      <c r="BV146" s="111"/>
      <c r="BW146" s="111"/>
      <c r="BX146" s="111"/>
      <c r="BY146" s="111"/>
      <c r="BZ146" s="111"/>
      <c r="CA146" s="111">
        <f t="shared" si="13"/>
        <v>40.4</v>
      </c>
      <c r="CB146" s="119"/>
      <c r="CC146" s="117"/>
      <c r="CD146" s="120">
        <v>46205</v>
      </c>
      <c r="CE146" s="120">
        <v>46206</v>
      </c>
      <c r="CF146" s="120">
        <v>46209</v>
      </c>
      <c r="CG146" s="111"/>
      <c r="CH146" s="132"/>
      <c r="CI146" s="132"/>
      <c r="CJ146" s="111"/>
      <c r="CK146" s="132"/>
    </row>
    <row r="147" spans="1:89" ht="87" customHeight="1">
      <c r="A147" s="106" t="s">
        <v>778</v>
      </c>
      <c r="B147" s="107">
        <f>4+4+2+3+3.5+1.5+3.5+6.5+4.5+5.5+2+4.5+1.5+6+3+3+6+3</f>
        <v>67</v>
      </c>
      <c r="C147" s="49">
        <v>40</v>
      </c>
      <c r="D147" s="107">
        <f>Tracker[[#This Row],[Estimated Hrs]]-Tracker[[#This Row],[Actual Efforts (Hrs)]]</f>
        <v>-27</v>
      </c>
      <c r="E147" s="108"/>
      <c r="F147" s="108"/>
      <c r="G147" s="121"/>
      <c r="H147" s="151">
        <v>17803153</v>
      </c>
      <c r="I147" s="149">
        <f>Tracker[[#This Row],[DCR ID - PTC]]</f>
        <v>17803153</v>
      </c>
      <c r="J147" s="108" t="s">
        <v>205</v>
      </c>
      <c r="K147" s="108" t="s">
        <v>104</v>
      </c>
      <c r="L147" s="108" t="s">
        <v>988</v>
      </c>
      <c r="M147" s="108"/>
      <c r="N147" s="580" t="s">
        <v>994</v>
      </c>
      <c r="O147" s="111" t="s">
        <v>106</v>
      </c>
      <c r="P147" s="111"/>
      <c r="Q147" s="111"/>
      <c r="R147" s="111"/>
      <c r="S147" s="111"/>
      <c r="T147" s="111"/>
      <c r="U147" s="108"/>
      <c r="V147" s="108"/>
      <c r="W147" s="108"/>
      <c r="X147" s="108">
        <f t="shared" si="10"/>
        <v>40.4</v>
      </c>
      <c r="Y147" s="108"/>
      <c r="Z147" s="108"/>
      <c r="AA147" s="108" t="s">
        <v>107</v>
      </c>
      <c r="AB147" s="112">
        <v>46171</v>
      </c>
      <c r="AC147" s="108" t="s">
        <v>988</v>
      </c>
      <c r="AD147" s="108" t="s">
        <v>93</v>
      </c>
      <c r="AE147" s="107"/>
      <c r="AF147" s="113"/>
      <c r="AG147" s="115"/>
      <c r="AH147" s="108" t="s">
        <v>109</v>
      </c>
      <c r="AI147" s="108" t="s">
        <v>95</v>
      </c>
      <c r="AJ147" s="114">
        <v>46090.395833333336</v>
      </c>
      <c r="AK147" s="108" t="s">
        <v>96</v>
      </c>
      <c r="AL147" s="115">
        <v>45964.990347222221</v>
      </c>
      <c r="AM147" s="116"/>
      <c r="AN147" s="116"/>
      <c r="AO147" s="139"/>
      <c r="AP147" s="108"/>
      <c r="AQ147" s="107"/>
      <c r="AR147" s="107"/>
      <c r="AS147" s="116"/>
      <c r="AT147" s="114">
        <f t="shared" si="14"/>
        <v>40.4</v>
      </c>
      <c r="AU147" s="114"/>
      <c r="AV147" s="108"/>
      <c r="AW147" s="108"/>
      <c r="AX147" s="108"/>
      <c r="AY147" s="108" t="s">
        <v>866</v>
      </c>
      <c r="AZ147" s="108"/>
      <c r="BA147" s="108"/>
      <c r="BB147" s="108"/>
      <c r="BC147" s="108"/>
      <c r="BD147" s="111"/>
      <c r="BE147" s="111">
        <f t="shared" si="11"/>
        <v>40.4</v>
      </c>
      <c r="BF147" s="111"/>
      <c r="BG147" s="111"/>
      <c r="BH147" s="111"/>
      <c r="BI147" s="111"/>
      <c r="BJ147" s="111"/>
      <c r="BK147" s="111"/>
      <c r="BL147" s="111"/>
      <c r="BM147" s="117"/>
      <c r="BN147" s="111"/>
      <c r="BO147" s="117"/>
      <c r="BP147" s="117">
        <f t="shared" si="12"/>
        <v>40.4</v>
      </c>
      <c r="BQ147" s="117"/>
      <c r="BR147" s="111"/>
      <c r="BS147" s="118"/>
      <c r="BT147" s="111"/>
      <c r="BU147" s="118"/>
      <c r="BV147" s="111"/>
      <c r="BW147" s="111"/>
      <c r="BX147" s="111"/>
      <c r="BY147" s="111"/>
      <c r="BZ147" s="111"/>
      <c r="CA147" s="111">
        <f t="shared" si="13"/>
        <v>40.4</v>
      </c>
      <c r="CB147" s="119"/>
      <c r="CC147" s="117"/>
      <c r="CD147" s="132">
        <v>0</v>
      </c>
      <c r="CE147" s="132">
        <v>0</v>
      </c>
      <c r="CF147" s="132">
        <v>0</v>
      </c>
      <c r="CG147" s="111"/>
      <c r="CH147" s="132"/>
      <c r="CI147" s="132"/>
      <c r="CJ147" s="111"/>
      <c r="CK147" s="132"/>
    </row>
    <row r="148" spans="1:89" ht="144.94999999999999">
      <c r="A148" s="106" t="s">
        <v>778</v>
      </c>
      <c r="B148" s="107">
        <f>4+4+2+5+3.5+3.5+6.5+5.5+5.5+5+3</f>
        <v>47.5</v>
      </c>
      <c r="C148" s="49">
        <v>115</v>
      </c>
      <c r="D148" s="107">
        <f>Tracker[[#This Row],[Estimated Hrs]]-Tracker[[#This Row],[Actual Efforts (Hrs)]]</f>
        <v>67.5</v>
      </c>
      <c r="E148" s="108"/>
      <c r="F148" s="108"/>
      <c r="G148" s="121"/>
      <c r="H148" s="109">
        <v>17803153</v>
      </c>
      <c r="I148" s="149">
        <f>Tracker[[#This Row],[DCR ID - PTC]]</f>
        <v>17803153</v>
      </c>
      <c r="J148" s="108" t="s">
        <v>205</v>
      </c>
      <c r="K148" s="108" t="s">
        <v>118</v>
      </c>
      <c r="L148" s="108" t="s">
        <v>988</v>
      </c>
      <c r="M148" s="108"/>
      <c r="N148" s="580" t="s">
        <v>995</v>
      </c>
      <c r="O148" s="111" t="s">
        <v>115</v>
      </c>
      <c r="P148" s="111"/>
      <c r="Q148" s="111"/>
      <c r="R148" s="111"/>
      <c r="S148" s="111"/>
      <c r="T148" s="111"/>
      <c r="U148" s="108"/>
      <c r="V148" s="108"/>
      <c r="W148" s="108"/>
      <c r="X148" s="108">
        <f t="shared" si="10"/>
        <v>40.4</v>
      </c>
      <c r="Y148" s="108"/>
      <c r="Z148" s="108"/>
      <c r="AA148" s="108" t="s">
        <v>107</v>
      </c>
      <c r="AB148" s="112">
        <v>46171</v>
      </c>
      <c r="AC148" s="108" t="s">
        <v>988</v>
      </c>
      <c r="AD148" s="108" t="s">
        <v>93</v>
      </c>
      <c r="AE148" s="107"/>
      <c r="AF148" s="113"/>
      <c r="AG148" s="115"/>
      <c r="AH148" s="108" t="s">
        <v>109</v>
      </c>
      <c r="AI148" s="108" t="s">
        <v>95</v>
      </c>
      <c r="AJ148" s="114">
        <v>46090.395833333336</v>
      </c>
      <c r="AK148" s="108" t="s">
        <v>96</v>
      </c>
      <c r="AL148" s="115">
        <v>45964.990347222221</v>
      </c>
      <c r="AM148" s="116"/>
      <c r="AN148" s="116"/>
      <c r="AO148" s="139"/>
      <c r="AP148" s="108"/>
      <c r="AQ148" s="107"/>
      <c r="AR148" s="107"/>
      <c r="AS148" s="116"/>
      <c r="AT148" s="114">
        <f t="shared" si="14"/>
        <v>40.4</v>
      </c>
      <c r="AU148" s="114"/>
      <c r="AV148" s="108"/>
      <c r="AW148" s="108"/>
      <c r="AX148" s="108"/>
      <c r="AY148" s="108" t="s">
        <v>866</v>
      </c>
      <c r="AZ148" s="108"/>
      <c r="BA148" s="108"/>
      <c r="BB148" s="108"/>
      <c r="BC148" s="108"/>
      <c r="BD148" s="111"/>
      <c r="BE148" s="111">
        <f t="shared" si="11"/>
        <v>40.4</v>
      </c>
      <c r="BF148" s="111"/>
      <c r="BG148" s="111"/>
      <c r="BH148" s="111"/>
      <c r="BI148" s="111"/>
      <c r="BJ148" s="111"/>
      <c r="BK148" s="111"/>
      <c r="BL148" s="111"/>
      <c r="BM148" s="117"/>
      <c r="BN148" s="111"/>
      <c r="BO148" s="117"/>
      <c r="BP148" s="117">
        <f t="shared" si="12"/>
        <v>40.4</v>
      </c>
      <c r="BQ148" s="117"/>
      <c r="BR148" s="111"/>
      <c r="BS148" s="118"/>
      <c r="BT148" s="111"/>
      <c r="BU148" s="118"/>
      <c r="BV148" s="111"/>
      <c r="BW148" s="111"/>
      <c r="BX148" s="111"/>
      <c r="BY148" s="111"/>
      <c r="BZ148" s="111"/>
      <c r="CA148" s="111">
        <f t="shared" si="13"/>
        <v>40.4</v>
      </c>
      <c r="CB148" s="119"/>
      <c r="CC148" s="117"/>
      <c r="CD148" s="120">
        <v>0</v>
      </c>
      <c r="CE148" s="120">
        <v>0</v>
      </c>
      <c r="CF148" s="120">
        <v>0</v>
      </c>
      <c r="CG148" s="111"/>
      <c r="CH148" s="132"/>
      <c r="CI148" s="132"/>
      <c r="CJ148" s="111"/>
      <c r="CK148" s="132"/>
    </row>
    <row r="149" spans="1:89" ht="57.95">
      <c r="A149" s="106" t="s">
        <v>144</v>
      </c>
      <c r="B149" s="107">
        <f>0</f>
        <v>0</v>
      </c>
      <c r="C149" s="49">
        <v>0</v>
      </c>
      <c r="D149" s="107">
        <f>Tracker[[#This Row],[Estimated Hrs]]-Tracker[[#This Row],[Actual Efforts (Hrs)]]</f>
        <v>0</v>
      </c>
      <c r="E149" s="108"/>
      <c r="F149" s="108" t="s">
        <v>148</v>
      </c>
      <c r="G149" s="121" t="s">
        <v>148</v>
      </c>
      <c r="H149" s="151">
        <v>16816828</v>
      </c>
      <c r="I149" s="149">
        <f>Tracker[[#This Row],[DCR ID - PTC]]</f>
        <v>16816828</v>
      </c>
      <c r="J149" s="108" t="s">
        <v>137</v>
      </c>
      <c r="K149" s="108" t="s">
        <v>118</v>
      </c>
      <c r="L149" s="108"/>
      <c r="M149" s="108"/>
      <c r="N149" s="580" t="s">
        <v>996</v>
      </c>
      <c r="O149" s="108" t="s">
        <v>106</v>
      </c>
      <c r="P149" s="111"/>
      <c r="Q149" s="111"/>
      <c r="R149" s="111"/>
      <c r="S149" s="111"/>
      <c r="T149" s="111"/>
      <c r="U149" s="108"/>
      <c r="V149" s="108"/>
      <c r="W149" s="108"/>
      <c r="X149" s="108">
        <f t="shared" si="10"/>
        <v>40.4</v>
      </c>
      <c r="Y149" s="108"/>
      <c r="Z149" s="108"/>
      <c r="AA149" s="108" t="s">
        <v>139</v>
      </c>
      <c r="AB149" s="112">
        <v>46171</v>
      </c>
      <c r="AC149" s="108"/>
      <c r="AD149" s="108" t="s">
        <v>93</v>
      </c>
      <c r="AE149" s="107"/>
      <c r="AF149" s="113"/>
      <c r="AG149" s="115">
        <v>46146</v>
      </c>
      <c r="AH149" s="108" t="s">
        <v>100</v>
      </c>
      <c r="AI149" s="108" t="s">
        <v>95</v>
      </c>
      <c r="AJ149" s="114">
        <v>46092.395833333336</v>
      </c>
      <c r="AK149" s="108" t="s">
        <v>96</v>
      </c>
      <c r="AL149" s="115">
        <v>45831.99796296296</v>
      </c>
      <c r="AM149" s="116"/>
      <c r="AN149" s="116"/>
      <c r="AO149" s="139">
        <v>46171</v>
      </c>
      <c r="AP149" s="108"/>
      <c r="AQ149" s="107"/>
      <c r="AR149" s="107"/>
      <c r="AS149" s="116">
        <v>46171</v>
      </c>
      <c r="AT149" s="114">
        <v>46162</v>
      </c>
      <c r="AU149" s="114">
        <v>46163</v>
      </c>
      <c r="AV149" s="108"/>
      <c r="AW149" s="108"/>
      <c r="AX149" s="108" t="s">
        <v>97</v>
      </c>
      <c r="AY149" s="108" t="s">
        <v>98</v>
      </c>
      <c r="AZ149" s="108"/>
      <c r="BA149" s="108"/>
      <c r="BB149" s="108"/>
      <c r="BC149" s="108"/>
      <c r="BD149" s="111"/>
      <c r="BE149" s="111">
        <f t="shared" si="11"/>
        <v>40.4</v>
      </c>
      <c r="BF149" s="111"/>
      <c r="BG149" s="111"/>
      <c r="BH149" s="111"/>
      <c r="BI149" s="111"/>
      <c r="BJ149" s="111"/>
      <c r="BK149" s="111"/>
      <c r="BL149" s="111"/>
      <c r="BM149" s="117"/>
      <c r="BN149" s="111"/>
      <c r="BO149" s="117"/>
      <c r="BP149" s="117">
        <f t="shared" si="12"/>
        <v>40.4</v>
      </c>
      <c r="BQ149" s="117"/>
      <c r="BR149" s="111"/>
      <c r="BS149" s="118"/>
      <c r="BT149" s="111"/>
      <c r="BU149" s="118"/>
      <c r="BV149" s="111"/>
      <c r="BW149" s="111"/>
      <c r="BX149" s="111"/>
      <c r="BY149" s="111"/>
      <c r="BZ149" s="111"/>
      <c r="CA149" s="111">
        <f t="shared" si="13"/>
        <v>40.4</v>
      </c>
      <c r="CB149" s="119">
        <v>1</v>
      </c>
      <c r="CC149" s="117"/>
      <c r="CD149" s="120" t="s">
        <v>997</v>
      </c>
      <c r="CE149" s="120" t="s">
        <v>998</v>
      </c>
      <c r="CF149" s="120" t="s">
        <v>917</v>
      </c>
      <c r="CG149" s="111"/>
      <c r="CH149" s="132"/>
      <c r="CI149" s="132"/>
      <c r="CJ149" s="111"/>
      <c r="CK149" s="132" t="s">
        <v>870</v>
      </c>
    </row>
    <row r="150" spans="1:89" ht="57.95">
      <c r="A150" s="106" t="s">
        <v>144</v>
      </c>
      <c r="B150" s="49">
        <v>0</v>
      </c>
      <c r="C150" s="49">
        <v>0</v>
      </c>
      <c r="D150" s="107">
        <f>Tracker[[#This Row],[Estimated Hrs]]-Tracker[[#This Row],[Actual Efforts (Hrs)]]</f>
        <v>0</v>
      </c>
      <c r="E150" s="134"/>
      <c r="F150" s="134" t="s">
        <v>148</v>
      </c>
      <c r="G150" s="150" t="s">
        <v>148</v>
      </c>
      <c r="H150" s="154">
        <v>17112723</v>
      </c>
      <c r="I150" s="149">
        <f>Tracker[[#This Row],[DCR ID - PTC]]</f>
        <v>17112723</v>
      </c>
      <c r="J150" s="49" t="s">
        <v>142</v>
      </c>
      <c r="K150" s="49" t="s">
        <v>118</v>
      </c>
      <c r="L150" s="134"/>
      <c r="M150" s="134"/>
      <c r="N150" s="594" t="s">
        <v>996</v>
      </c>
      <c r="O150" s="108" t="s">
        <v>106</v>
      </c>
      <c r="P150" s="123"/>
      <c r="Q150" s="123"/>
      <c r="R150" s="123"/>
      <c r="S150" s="123"/>
      <c r="T150" s="123"/>
      <c r="U150" s="134"/>
      <c r="V150" s="134"/>
      <c r="W150" s="134"/>
      <c r="X150" s="134">
        <f t="shared" si="10"/>
        <v>40.4</v>
      </c>
      <c r="Y150" s="134"/>
      <c r="Z150" s="134"/>
      <c r="AA150" s="134" t="s">
        <v>139</v>
      </c>
      <c r="AB150" s="29">
        <v>46052</v>
      </c>
      <c r="AC150" s="134"/>
      <c r="AD150" s="134" t="s">
        <v>93</v>
      </c>
      <c r="AE150" s="49"/>
      <c r="AF150" s="136"/>
      <c r="AG150" s="115">
        <v>46146</v>
      </c>
      <c r="AH150" s="134" t="s">
        <v>100</v>
      </c>
      <c r="AI150" s="134" t="s">
        <v>95</v>
      </c>
      <c r="AJ150" s="138">
        <v>45961.770833333336</v>
      </c>
      <c r="AK150" s="134" t="s">
        <v>96</v>
      </c>
      <c r="AL150" s="137">
        <v>45862.762175925927</v>
      </c>
      <c r="AM150" s="139"/>
      <c r="AN150" s="139"/>
      <c r="AO150" s="139">
        <v>46171</v>
      </c>
      <c r="AP150" s="134"/>
      <c r="AQ150" s="49"/>
      <c r="AR150" s="49"/>
      <c r="AS150" s="116">
        <v>46171</v>
      </c>
      <c r="AT150" s="114">
        <v>46162</v>
      </c>
      <c r="AU150" s="114">
        <v>46162</v>
      </c>
      <c r="AV150" s="134"/>
      <c r="AW150" s="134"/>
      <c r="AX150" s="108" t="s">
        <v>97</v>
      </c>
      <c r="AY150" s="108" t="s">
        <v>98</v>
      </c>
      <c r="AZ150" s="134"/>
      <c r="BA150" s="134"/>
      <c r="BB150" s="134"/>
      <c r="BC150" s="134"/>
      <c r="BD150" s="123"/>
      <c r="BE150" s="123">
        <f t="shared" si="11"/>
        <v>40.4</v>
      </c>
      <c r="BF150" s="123"/>
      <c r="BG150" s="123"/>
      <c r="BH150" s="123"/>
      <c r="BI150" s="123"/>
      <c r="BJ150" s="123"/>
      <c r="BK150" s="123"/>
      <c r="BL150" s="123"/>
      <c r="BM150" s="117"/>
      <c r="BN150" s="123"/>
      <c r="BO150" s="140"/>
      <c r="BP150" s="140">
        <f t="shared" si="12"/>
        <v>40.4</v>
      </c>
      <c r="BQ150" s="140"/>
      <c r="BR150" s="123"/>
      <c r="BS150" s="141"/>
      <c r="BT150" s="123"/>
      <c r="BU150" s="141"/>
      <c r="BV150" s="123"/>
      <c r="BW150" s="123"/>
      <c r="BX150" s="123"/>
      <c r="BY150" s="123"/>
      <c r="BZ150" s="123"/>
      <c r="CA150" s="123">
        <f t="shared" si="13"/>
        <v>40.4</v>
      </c>
      <c r="CB150" s="119">
        <v>1</v>
      </c>
      <c r="CC150" s="140"/>
      <c r="CD150" s="120" t="s">
        <v>997</v>
      </c>
      <c r="CE150" s="120" t="s">
        <v>998</v>
      </c>
      <c r="CF150" s="120" t="s">
        <v>917</v>
      </c>
      <c r="CG150" s="123"/>
      <c r="CH150" s="120"/>
      <c r="CI150" s="120"/>
      <c r="CJ150" s="123"/>
      <c r="CK150" s="132" t="s">
        <v>870</v>
      </c>
    </row>
    <row r="151" spans="1:89" ht="57.95">
      <c r="A151" s="106" t="s">
        <v>144</v>
      </c>
      <c r="B151" s="107">
        <v>0</v>
      </c>
      <c r="C151" s="49">
        <v>0</v>
      </c>
      <c r="D151" s="107">
        <f>Tracker[[#This Row],[Estimated Hrs]]-Tracker[[#This Row],[Actual Efforts (Hrs)]]</f>
        <v>0</v>
      </c>
      <c r="E151" s="108"/>
      <c r="F151" s="108" t="s">
        <v>148</v>
      </c>
      <c r="G151" s="121" t="s">
        <v>148</v>
      </c>
      <c r="H151" s="151">
        <v>18622558</v>
      </c>
      <c r="I151" s="149">
        <f>Tracker[[#This Row],[DCR ID - PTC]]</f>
        <v>18622558</v>
      </c>
      <c r="J151" s="108" t="s">
        <v>256</v>
      </c>
      <c r="K151" s="108" t="s">
        <v>118</v>
      </c>
      <c r="L151" s="108"/>
      <c r="M151" s="108"/>
      <c r="N151" s="594" t="s">
        <v>996</v>
      </c>
      <c r="O151" s="108" t="s">
        <v>106</v>
      </c>
      <c r="P151" s="111"/>
      <c r="Q151" s="111"/>
      <c r="R151" s="111"/>
      <c r="S151" s="111"/>
      <c r="T151" s="111"/>
      <c r="U151" s="108"/>
      <c r="V151" s="108"/>
      <c r="W151" s="108"/>
      <c r="X151" s="108">
        <f t="shared" si="10"/>
        <v>40.4</v>
      </c>
      <c r="Y151" s="108"/>
      <c r="Z151" s="108"/>
      <c r="AA151" s="108" t="s">
        <v>107</v>
      </c>
      <c r="AB151" s="112">
        <v>46171</v>
      </c>
      <c r="AC151" s="108"/>
      <c r="AD151" s="108" t="s">
        <v>116</v>
      </c>
      <c r="AE151" s="107"/>
      <c r="AF151" s="113"/>
      <c r="AG151" s="115">
        <v>46146</v>
      </c>
      <c r="AH151" s="108" t="s">
        <v>100</v>
      </c>
      <c r="AI151" s="108" t="s">
        <v>110</v>
      </c>
      <c r="AJ151" s="114">
        <v>46120.395833333336</v>
      </c>
      <c r="AK151" s="108" t="s">
        <v>96</v>
      </c>
      <c r="AL151" s="115">
        <v>46053.04246527778</v>
      </c>
      <c r="AM151" s="116"/>
      <c r="AN151" s="116"/>
      <c r="AO151" s="139">
        <v>46171</v>
      </c>
      <c r="AP151" s="108"/>
      <c r="AQ151" s="107"/>
      <c r="AR151" s="107"/>
      <c r="AS151" s="116">
        <v>46171</v>
      </c>
      <c r="AT151" s="114">
        <v>46162</v>
      </c>
      <c r="AU151" s="114">
        <v>46162</v>
      </c>
      <c r="AV151" s="108"/>
      <c r="AW151" s="108"/>
      <c r="AX151" s="108" t="s">
        <v>97</v>
      </c>
      <c r="AY151" s="108" t="s">
        <v>98</v>
      </c>
      <c r="AZ151" s="108"/>
      <c r="BA151" s="108"/>
      <c r="BB151" s="108"/>
      <c r="BC151" s="108"/>
      <c r="BD151" s="111"/>
      <c r="BE151" s="111">
        <f t="shared" si="11"/>
        <v>40.4</v>
      </c>
      <c r="BF151" s="111"/>
      <c r="BG151" s="111"/>
      <c r="BH151" s="111"/>
      <c r="BI151" s="111"/>
      <c r="BJ151" s="111"/>
      <c r="BK151" s="111"/>
      <c r="BL151" s="111"/>
      <c r="BM151" s="117"/>
      <c r="BN151" s="111"/>
      <c r="BO151" s="117"/>
      <c r="BP151" s="117">
        <f t="shared" si="12"/>
        <v>40.4</v>
      </c>
      <c r="BQ151" s="117"/>
      <c r="BR151" s="111"/>
      <c r="BS151" s="118"/>
      <c r="BT151" s="111"/>
      <c r="BU151" s="118"/>
      <c r="BV151" s="111"/>
      <c r="BW151" s="111"/>
      <c r="BX151" s="111"/>
      <c r="BY151" s="111"/>
      <c r="BZ151" s="111"/>
      <c r="CA151" s="111">
        <f t="shared" si="13"/>
        <v>40.4</v>
      </c>
      <c r="CB151" s="119">
        <v>1</v>
      </c>
      <c r="CC151" s="117"/>
      <c r="CD151" s="120" t="s">
        <v>997</v>
      </c>
      <c r="CE151" s="120" t="s">
        <v>998</v>
      </c>
      <c r="CF151" s="120" t="s">
        <v>917</v>
      </c>
      <c r="CG151" s="111"/>
      <c r="CH151" s="132"/>
      <c r="CI151" s="132"/>
      <c r="CJ151" s="111"/>
      <c r="CK151" s="132" t="s">
        <v>870</v>
      </c>
    </row>
    <row r="152" spans="1:89" ht="57.95">
      <c r="A152" s="106" t="s">
        <v>144</v>
      </c>
      <c r="B152" s="107">
        <v>0</v>
      </c>
      <c r="C152" s="49">
        <v>0</v>
      </c>
      <c r="D152" s="107">
        <f>Tracker[[#This Row],[Estimated Hrs]]-Tracker[[#This Row],[Actual Efforts (Hrs)]]</f>
        <v>0</v>
      </c>
      <c r="E152" s="108"/>
      <c r="F152" s="108" t="s">
        <v>148</v>
      </c>
      <c r="G152" s="121" t="s">
        <v>148</v>
      </c>
      <c r="H152" s="151">
        <v>18850820</v>
      </c>
      <c r="I152" s="149">
        <f>Tracker[[#This Row],[DCR ID - PTC]]</f>
        <v>18850820</v>
      </c>
      <c r="J152" s="108" t="s">
        <v>135</v>
      </c>
      <c r="K152" s="108" t="s">
        <v>118</v>
      </c>
      <c r="L152" s="108"/>
      <c r="M152" s="108"/>
      <c r="N152" s="594" t="s">
        <v>996</v>
      </c>
      <c r="O152" s="108" t="s">
        <v>106</v>
      </c>
      <c r="P152" s="111"/>
      <c r="Q152" s="111"/>
      <c r="R152" s="111"/>
      <c r="S152" s="111"/>
      <c r="T152" s="111"/>
      <c r="U152" s="108"/>
      <c r="V152" s="108"/>
      <c r="W152" s="108"/>
      <c r="X152" s="108">
        <f t="shared" si="10"/>
        <v>40.4</v>
      </c>
      <c r="Y152" s="108"/>
      <c r="Z152" s="108"/>
      <c r="AA152" s="108" t="s">
        <v>879</v>
      </c>
      <c r="AB152" s="112"/>
      <c r="AC152" s="108"/>
      <c r="AD152" s="108" t="s">
        <v>166</v>
      </c>
      <c r="AE152" s="107"/>
      <c r="AF152" s="113"/>
      <c r="AG152" s="115">
        <v>46146</v>
      </c>
      <c r="AH152" s="108" t="s">
        <v>100</v>
      </c>
      <c r="AI152" s="108" t="s">
        <v>95</v>
      </c>
      <c r="AJ152" s="114">
        <v>46142.4375</v>
      </c>
      <c r="AK152" s="108" t="s">
        <v>96</v>
      </c>
      <c r="AL152" s="115">
        <v>46071.615706018521</v>
      </c>
      <c r="AM152" s="116"/>
      <c r="AN152" s="116"/>
      <c r="AO152" s="139">
        <v>46171</v>
      </c>
      <c r="AP152" s="108"/>
      <c r="AQ152" s="107"/>
      <c r="AR152" s="107"/>
      <c r="AS152" s="116">
        <v>46171</v>
      </c>
      <c r="AT152" s="114">
        <v>46162</v>
      </c>
      <c r="AU152" s="114">
        <v>46162</v>
      </c>
      <c r="AV152" s="108"/>
      <c r="AW152" s="108"/>
      <c r="AX152" s="108" t="s">
        <v>97</v>
      </c>
      <c r="AY152" s="108" t="s">
        <v>98</v>
      </c>
      <c r="AZ152" s="108"/>
      <c r="BA152" s="108"/>
      <c r="BB152" s="108"/>
      <c r="BC152" s="108"/>
      <c r="BD152" s="111"/>
      <c r="BE152" s="111">
        <f t="shared" si="11"/>
        <v>40.4</v>
      </c>
      <c r="BF152" s="111"/>
      <c r="BG152" s="111"/>
      <c r="BH152" s="111"/>
      <c r="BI152" s="111"/>
      <c r="BJ152" s="111"/>
      <c r="BK152" s="111"/>
      <c r="BL152" s="111"/>
      <c r="BM152" s="117"/>
      <c r="BN152" s="111"/>
      <c r="BO152" s="117"/>
      <c r="BP152" s="117">
        <f t="shared" si="12"/>
        <v>40.4</v>
      </c>
      <c r="BQ152" s="117"/>
      <c r="BR152" s="111"/>
      <c r="BS152" s="118"/>
      <c r="BT152" s="111"/>
      <c r="BU152" s="118"/>
      <c r="BV152" s="111"/>
      <c r="BW152" s="111"/>
      <c r="BX152" s="111"/>
      <c r="BY152" s="111"/>
      <c r="BZ152" s="111"/>
      <c r="CA152" s="111">
        <f t="shared" si="13"/>
        <v>40.4</v>
      </c>
      <c r="CB152" s="119">
        <v>1</v>
      </c>
      <c r="CC152" s="117"/>
      <c r="CD152" s="120" t="s">
        <v>997</v>
      </c>
      <c r="CE152" s="120" t="s">
        <v>998</v>
      </c>
      <c r="CF152" s="120" t="s">
        <v>917</v>
      </c>
      <c r="CG152" s="111"/>
      <c r="CH152" s="132"/>
      <c r="CI152" s="132"/>
      <c r="CJ152" s="111"/>
      <c r="CK152" s="132" t="s">
        <v>870</v>
      </c>
    </row>
    <row r="153" spans="1:89" ht="261">
      <c r="A153" s="106" t="s">
        <v>144</v>
      </c>
      <c r="B153" s="107">
        <f>17.5+26+25.5+8+8.5+8+3+3+8.5+(8+6+8+8.5+8.5+6.5+8.5+4)</f>
        <v>166</v>
      </c>
      <c r="C153" s="49">
        <v>155</v>
      </c>
      <c r="D153" s="107">
        <f>Tracker[[#This Row],[Estimated Hrs]]-Tracker[[#This Row],[Actual Efforts (Hrs)]]</f>
        <v>-11</v>
      </c>
      <c r="E153" s="108"/>
      <c r="F153" s="108" t="s">
        <v>148</v>
      </c>
      <c r="G153" s="121" t="s">
        <v>148</v>
      </c>
      <c r="H153" s="151">
        <v>18986418</v>
      </c>
      <c r="I153" s="149">
        <f>Tracker[[#This Row],[DCR ID - PTC]]</f>
        <v>18986418</v>
      </c>
      <c r="J153" s="108" t="s">
        <v>643</v>
      </c>
      <c r="K153" s="108" t="s">
        <v>118</v>
      </c>
      <c r="L153" s="108"/>
      <c r="M153" s="121"/>
      <c r="N153" s="583" t="s">
        <v>999</v>
      </c>
      <c r="O153" s="108" t="s">
        <v>106</v>
      </c>
      <c r="P153" s="111"/>
      <c r="Q153" s="111"/>
      <c r="R153" s="111"/>
      <c r="S153" s="111"/>
      <c r="T153" s="111"/>
      <c r="U153" s="108"/>
      <c r="V153" s="108"/>
      <c r="W153" s="108"/>
      <c r="X153" s="108">
        <f t="shared" si="10"/>
        <v>40.4</v>
      </c>
      <c r="Y153" s="108"/>
      <c r="Z153" s="108"/>
      <c r="AA153" s="108" t="s">
        <v>873</v>
      </c>
      <c r="AB153" s="112">
        <v>46171</v>
      </c>
      <c r="AC153" s="108"/>
      <c r="AD153" s="108" t="s">
        <v>166</v>
      </c>
      <c r="AE153" s="107"/>
      <c r="AF153" s="113"/>
      <c r="AG153" s="115">
        <v>46146</v>
      </c>
      <c r="AH153" s="108" t="s">
        <v>94</v>
      </c>
      <c r="AI153" s="108" t="s">
        <v>95</v>
      </c>
      <c r="AJ153" s="114">
        <v>46142</v>
      </c>
      <c r="AK153" s="108" t="s">
        <v>96</v>
      </c>
      <c r="AL153" s="115">
        <v>46084.452534722222</v>
      </c>
      <c r="AM153" s="116"/>
      <c r="AN153" s="116"/>
      <c r="AO153" s="139">
        <v>46171</v>
      </c>
      <c r="AP153" s="108"/>
      <c r="AQ153" s="107"/>
      <c r="AR153" s="107"/>
      <c r="AS153" s="116">
        <v>46171</v>
      </c>
      <c r="AT153" s="114">
        <v>46162</v>
      </c>
      <c r="AU153" s="114">
        <v>46162</v>
      </c>
      <c r="AV153" s="108"/>
      <c r="AW153" s="108"/>
      <c r="AX153" s="108" t="s">
        <v>97</v>
      </c>
      <c r="AY153" s="108" t="s">
        <v>98</v>
      </c>
      <c r="AZ153" s="108"/>
      <c r="BA153" s="108"/>
      <c r="BB153" s="108"/>
      <c r="BC153" s="108"/>
      <c r="BD153" s="111"/>
      <c r="BE153" s="111">
        <f t="shared" si="11"/>
        <v>40.4</v>
      </c>
      <c r="BF153" s="111"/>
      <c r="BG153" s="111"/>
      <c r="BH153" s="111"/>
      <c r="BI153" s="111"/>
      <c r="BJ153" s="111"/>
      <c r="BK153" s="111"/>
      <c r="BL153" s="111"/>
      <c r="BM153" s="117"/>
      <c r="BN153" s="111"/>
      <c r="BO153" s="117"/>
      <c r="BP153" s="117">
        <f t="shared" si="12"/>
        <v>40.4</v>
      </c>
      <c r="BQ153" s="117"/>
      <c r="BR153" s="111"/>
      <c r="BS153" s="118"/>
      <c r="BT153" s="111"/>
      <c r="BU153" s="118"/>
      <c r="BV153" s="111"/>
      <c r="BW153" s="111"/>
      <c r="BX153" s="111"/>
      <c r="BY153" s="111"/>
      <c r="BZ153" s="111"/>
      <c r="CA153" s="111">
        <f t="shared" si="13"/>
        <v>40.4</v>
      </c>
      <c r="CB153" s="119">
        <v>1</v>
      </c>
      <c r="CC153" s="117"/>
      <c r="CD153" s="120" t="s">
        <v>997</v>
      </c>
      <c r="CE153" s="120" t="s">
        <v>998</v>
      </c>
      <c r="CF153" s="120" t="s">
        <v>917</v>
      </c>
      <c r="CG153" s="111"/>
      <c r="CH153" s="132"/>
      <c r="CI153" s="132"/>
      <c r="CJ153" s="111"/>
      <c r="CK153" s="132" t="s">
        <v>870</v>
      </c>
    </row>
    <row r="154" spans="1:89" ht="57.95">
      <c r="A154" s="106" t="s">
        <v>144</v>
      </c>
      <c r="B154" s="107">
        <v>0</v>
      </c>
      <c r="C154" s="49">
        <v>0</v>
      </c>
      <c r="D154" s="107">
        <f>Tracker[[#This Row],[Estimated Hrs]]-Tracker[[#This Row],[Actual Efforts (Hrs)]]</f>
        <v>0</v>
      </c>
      <c r="E154" s="108"/>
      <c r="F154" s="108" t="s">
        <v>148</v>
      </c>
      <c r="G154" s="121" t="s">
        <v>148</v>
      </c>
      <c r="H154" s="151">
        <v>19445226</v>
      </c>
      <c r="I154" s="149">
        <f>Tracker[[#This Row],[DCR ID - PTC]]</f>
        <v>19445226</v>
      </c>
      <c r="J154" s="107" t="s">
        <v>1000</v>
      </c>
      <c r="K154" s="108" t="s">
        <v>118</v>
      </c>
      <c r="L154" s="108"/>
      <c r="M154" s="121"/>
      <c r="N154" s="595" t="s">
        <v>996</v>
      </c>
      <c r="O154" s="108" t="s">
        <v>106</v>
      </c>
      <c r="P154" s="111"/>
      <c r="Q154" s="111"/>
      <c r="R154" s="111"/>
      <c r="S154" s="111"/>
      <c r="T154" s="111"/>
      <c r="U154" s="108"/>
      <c r="V154" s="108"/>
      <c r="W154" s="108"/>
      <c r="X154" s="108">
        <f t="shared" si="10"/>
        <v>40.4</v>
      </c>
      <c r="Y154" s="108"/>
      <c r="Z154" s="108"/>
      <c r="AA154" s="108" t="s">
        <v>873</v>
      </c>
      <c r="AB154" s="112">
        <v>46148</v>
      </c>
      <c r="AC154" s="108"/>
      <c r="AD154" s="108" t="s">
        <v>116</v>
      </c>
      <c r="AE154" s="107"/>
      <c r="AF154" s="113"/>
      <c r="AG154" s="115">
        <v>46146</v>
      </c>
      <c r="AH154" s="108" t="s">
        <v>94</v>
      </c>
      <c r="AI154" s="108" t="s">
        <v>95</v>
      </c>
      <c r="AJ154" s="114">
        <v>46142.395833333336</v>
      </c>
      <c r="AK154" s="108" t="s">
        <v>96</v>
      </c>
      <c r="AL154" s="115">
        <v>46126.864131944443</v>
      </c>
      <c r="AM154" s="116"/>
      <c r="AN154" s="116"/>
      <c r="AO154" s="139">
        <v>46171</v>
      </c>
      <c r="AP154" s="108"/>
      <c r="AQ154" s="107"/>
      <c r="AR154" s="107"/>
      <c r="AS154" s="116">
        <v>46171</v>
      </c>
      <c r="AT154" s="114">
        <v>46162</v>
      </c>
      <c r="AU154" s="114">
        <v>46162</v>
      </c>
      <c r="AV154" s="108"/>
      <c r="AW154" s="108"/>
      <c r="AX154" s="108" t="s">
        <v>97</v>
      </c>
      <c r="AY154" s="108" t="s">
        <v>98</v>
      </c>
      <c r="AZ154" s="108"/>
      <c r="BA154" s="108"/>
      <c r="BB154" s="108"/>
      <c r="BC154" s="108"/>
      <c r="BD154" s="111"/>
      <c r="BE154" s="111">
        <f t="shared" si="11"/>
        <v>40.4</v>
      </c>
      <c r="BF154" s="111"/>
      <c r="BG154" s="111"/>
      <c r="BH154" s="111"/>
      <c r="BI154" s="111"/>
      <c r="BJ154" s="111"/>
      <c r="BK154" s="111"/>
      <c r="BL154" s="111"/>
      <c r="BM154" s="117"/>
      <c r="BN154" s="111"/>
      <c r="BO154" s="117"/>
      <c r="BP154" s="117">
        <f t="shared" si="12"/>
        <v>40.4</v>
      </c>
      <c r="BQ154" s="117"/>
      <c r="BR154" s="111"/>
      <c r="BS154" s="118"/>
      <c r="BT154" s="111"/>
      <c r="BU154" s="118"/>
      <c r="BV154" s="111"/>
      <c r="BW154" s="111"/>
      <c r="BX154" s="111"/>
      <c r="BY154" s="111"/>
      <c r="BZ154" s="111"/>
      <c r="CA154" s="111">
        <f t="shared" si="13"/>
        <v>40.4</v>
      </c>
      <c r="CB154" s="119">
        <v>1</v>
      </c>
      <c r="CC154" s="117"/>
      <c r="CD154" s="120" t="s">
        <v>997</v>
      </c>
      <c r="CE154" s="120" t="s">
        <v>998</v>
      </c>
      <c r="CF154" s="120" t="s">
        <v>917</v>
      </c>
      <c r="CG154" s="111"/>
      <c r="CH154" s="132"/>
      <c r="CI154" s="132"/>
      <c r="CJ154" s="111"/>
      <c r="CK154" s="132" t="s">
        <v>870</v>
      </c>
    </row>
    <row r="155" spans="1:89" ht="101.45">
      <c r="A155" s="267" t="s">
        <v>144</v>
      </c>
      <c r="B155" s="107">
        <v>0</v>
      </c>
      <c r="C155" s="49">
        <v>0</v>
      </c>
      <c r="D155" s="107">
        <f>Tracker[[#This Row],[Estimated Hrs]]-Tracker[[#This Row],[Actual Efforts (Hrs)]]</f>
        <v>0</v>
      </c>
      <c r="E155" s="108"/>
      <c r="F155" s="108" t="s">
        <v>148</v>
      </c>
      <c r="G155" s="121" t="s">
        <v>148</v>
      </c>
      <c r="H155" s="151">
        <v>18330291</v>
      </c>
      <c r="I155" s="149">
        <f>Tracker[[#This Row],[DCR ID - PTC]]</f>
        <v>18330291</v>
      </c>
      <c r="J155" s="107" t="s">
        <v>134</v>
      </c>
      <c r="K155" s="108" t="s">
        <v>118</v>
      </c>
      <c r="L155" s="108" t="s">
        <v>1001</v>
      </c>
      <c r="M155" s="121"/>
      <c r="N155" s="595" t="s">
        <v>996</v>
      </c>
      <c r="O155" s="108" t="s">
        <v>106</v>
      </c>
      <c r="P155" s="111"/>
      <c r="Q155" s="111"/>
      <c r="R155" s="111"/>
      <c r="S155" s="111"/>
      <c r="T155" s="111"/>
      <c r="U155" s="108"/>
      <c r="V155" s="108"/>
      <c r="W155" s="108"/>
      <c r="X155" s="108">
        <f t="shared" si="10"/>
        <v>40.4</v>
      </c>
      <c r="Y155" s="108"/>
      <c r="Z155" s="108"/>
      <c r="AA155" s="108" t="s">
        <v>879</v>
      </c>
      <c r="AB155" s="112">
        <v>46171</v>
      </c>
      <c r="AC155" s="108" t="s">
        <v>1001</v>
      </c>
      <c r="AD155" s="108" t="s">
        <v>93</v>
      </c>
      <c r="AE155" s="107"/>
      <c r="AF155" s="113"/>
      <c r="AG155" s="115">
        <v>46146</v>
      </c>
      <c r="AH155" s="108" t="s">
        <v>100</v>
      </c>
      <c r="AI155" s="108" t="s">
        <v>95</v>
      </c>
      <c r="AJ155" s="114">
        <v>46142.770833333336</v>
      </c>
      <c r="AK155" s="108" t="s">
        <v>96</v>
      </c>
      <c r="AL155" s="115">
        <v>46030.591527777775</v>
      </c>
      <c r="AM155" s="116"/>
      <c r="AN155" s="116"/>
      <c r="AO155" s="139">
        <v>46171</v>
      </c>
      <c r="AP155" s="108"/>
      <c r="AQ155" s="107"/>
      <c r="AR155" s="107"/>
      <c r="AS155" s="116">
        <v>46171</v>
      </c>
      <c r="AT155" s="114">
        <v>46162</v>
      </c>
      <c r="AU155" s="114">
        <v>46162</v>
      </c>
      <c r="AV155" s="108"/>
      <c r="AW155" s="108"/>
      <c r="AX155" s="108" t="s">
        <v>97</v>
      </c>
      <c r="AY155" s="108" t="s">
        <v>98</v>
      </c>
      <c r="AZ155" s="108"/>
      <c r="BA155" s="108"/>
      <c r="BB155" s="108"/>
      <c r="BC155" s="108"/>
      <c r="BD155" s="111"/>
      <c r="BE155" s="111">
        <f t="shared" si="11"/>
        <v>40.4</v>
      </c>
      <c r="BF155" s="111"/>
      <c r="BG155" s="111"/>
      <c r="BH155" s="111"/>
      <c r="BI155" s="111"/>
      <c r="BJ155" s="111"/>
      <c r="BK155" s="111"/>
      <c r="BL155" s="111"/>
      <c r="BM155" s="117"/>
      <c r="BN155" s="111"/>
      <c r="BO155" s="117"/>
      <c r="BP155" s="117">
        <f t="shared" si="12"/>
        <v>40.4</v>
      </c>
      <c r="BQ155" s="117"/>
      <c r="BR155" s="111"/>
      <c r="BS155" s="118"/>
      <c r="BT155" s="111"/>
      <c r="BU155" s="118"/>
      <c r="BV155" s="111"/>
      <c r="BW155" s="111"/>
      <c r="BX155" s="111"/>
      <c r="BY155" s="111"/>
      <c r="BZ155" s="111"/>
      <c r="CA155" s="111">
        <f t="shared" si="13"/>
        <v>40.4</v>
      </c>
      <c r="CB155" s="119">
        <v>1</v>
      </c>
      <c r="CC155" s="117"/>
      <c r="CD155" s="120" t="s">
        <v>997</v>
      </c>
      <c r="CE155" s="120" t="s">
        <v>998</v>
      </c>
      <c r="CF155" s="120" t="s">
        <v>917</v>
      </c>
      <c r="CG155" s="111"/>
      <c r="CH155" s="132"/>
      <c r="CI155" s="132"/>
      <c r="CJ155" s="111"/>
      <c r="CK155" s="132" t="s">
        <v>870</v>
      </c>
    </row>
    <row r="156" spans="1:89" ht="188.45">
      <c r="A156" s="267" t="s">
        <v>144</v>
      </c>
      <c r="B156" s="107">
        <f>20</f>
        <v>20</v>
      </c>
      <c r="C156" s="49">
        <v>0</v>
      </c>
      <c r="D156" s="107">
        <f>Tracker[[#This Row],[Estimated Hrs]]-Tracker[[#This Row],[Actual Efforts (Hrs)]]</f>
        <v>-20</v>
      </c>
      <c r="E156" s="108"/>
      <c r="F156" s="108" t="s">
        <v>148</v>
      </c>
      <c r="G156" s="121" t="s">
        <v>148</v>
      </c>
      <c r="H156" s="151">
        <v>18652585</v>
      </c>
      <c r="I156" s="149">
        <f>Tracker[[#This Row],[DCR ID - PTC]]</f>
        <v>18652585</v>
      </c>
      <c r="J156" s="107" t="s">
        <v>1002</v>
      </c>
      <c r="K156" s="108" t="s">
        <v>118</v>
      </c>
      <c r="L156" s="108" t="s">
        <v>1003</v>
      </c>
      <c r="M156" s="121"/>
      <c r="N156" s="595" t="s">
        <v>996</v>
      </c>
      <c r="O156" s="108" t="s">
        <v>106</v>
      </c>
      <c r="P156" s="111"/>
      <c r="Q156" s="111"/>
      <c r="R156" s="111"/>
      <c r="S156" s="111"/>
      <c r="T156" s="111"/>
      <c r="U156" s="108"/>
      <c r="V156" s="108"/>
      <c r="W156" s="108"/>
      <c r="X156" s="108">
        <f t="shared" si="10"/>
        <v>40.4</v>
      </c>
      <c r="Y156" s="108"/>
      <c r="Z156" s="108"/>
      <c r="AA156" s="108" t="s">
        <v>873</v>
      </c>
      <c r="AB156" s="112">
        <v>46066</v>
      </c>
      <c r="AC156" s="108" t="s">
        <v>1003</v>
      </c>
      <c r="AD156" s="108" t="s">
        <v>108</v>
      </c>
      <c r="AE156" s="107"/>
      <c r="AF156" s="113"/>
      <c r="AG156" s="115">
        <v>46146</v>
      </c>
      <c r="AH156" s="108" t="s">
        <v>100</v>
      </c>
      <c r="AI156" s="108" t="s">
        <v>110</v>
      </c>
      <c r="AJ156" s="114">
        <v>46067.395833333336</v>
      </c>
      <c r="AK156" s="108" t="s">
        <v>96</v>
      </c>
      <c r="AL156" s="115">
        <v>46056.121747685182</v>
      </c>
      <c r="AM156" s="116"/>
      <c r="AN156" s="116"/>
      <c r="AO156" s="139">
        <v>46171</v>
      </c>
      <c r="AP156" s="108"/>
      <c r="AQ156" s="107"/>
      <c r="AR156" s="107"/>
      <c r="AS156" s="116">
        <v>46171</v>
      </c>
      <c r="AT156" s="114">
        <v>46162</v>
      </c>
      <c r="AU156" s="114">
        <v>46163</v>
      </c>
      <c r="AV156" s="108"/>
      <c r="AW156" s="108"/>
      <c r="AX156" s="108" t="s">
        <v>97</v>
      </c>
      <c r="AY156" s="108" t="s">
        <v>98</v>
      </c>
      <c r="AZ156" s="108"/>
      <c r="BA156" s="108"/>
      <c r="BB156" s="108"/>
      <c r="BC156" s="108"/>
      <c r="BD156" s="111"/>
      <c r="BE156" s="111">
        <f t="shared" si="11"/>
        <v>40.4</v>
      </c>
      <c r="BF156" s="111"/>
      <c r="BG156" s="111"/>
      <c r="BH156" s="111"/>
      <c r="BI156" s="111"/>
      <c r="BJ156" s="111"/>
      <c r="BK156" s="111"/>
      <c r="BL156" s="111"/>
      <c r="BM156" s="117"/>
      <c r="BN156" s="111"/>
      <c r="BO156" s="117"/>
      <c r="BP156" s="117">
        <f t="shared" si="12"/>
        <v>40.4</v>
      </c>
      <c r="BQ156" s="117"/>
      <c r="BR156" s="111"/>
      <c r="BS156" s="118"/>
      <c r="BT156" s="111"/>
      <c r="BU156" s="118"/>
      <c r="BV156" s="111"/>
      <c r="BW156" s="111"/>
      <c r="BX156" s="111"/>
      <c r="BY156" s="111"/>
      <c r="BZ156" s="111"/>
      <c r="CA156" s="111">
        <f t="shared" si="13"/>
        <v>40.4</v>
      </c>
      <c r="CB156" s="119">
        <v>1</v>
      </c>
      <c r="CC156" s="117"/>
      <c r="CD156" s="120" t="s">
        <v>997</v>
      </c>
      <c r="CE156" s="120" t="s">
        <v>998</v>
      </c>
      <c r="CF156" s="120" t="s">
        <v>917</v>
      </c>
      <c r="CG156" s="111"/>
      <c r="CH156" s="132"/>
      <c r="CI156" s="132"/>
      <c r="CJ156" s="111"/>
      <c r="CK156" s="132" t="s">
        <v>870</v>
      </c>
    </row>
    <row r="157" spans="1:89" ht="43.5" customHeight="1">
      <c r="A157" s="106" t="s">
        <v>88</v>
      </c>
      <c r="B157" s="107">
        <v>0</v>
      </c>
      <c r="C157" s="49">
        <v>0</v>
      </c>
      <c r="D157" s="107">
        <f>Tracker[[#This Row],[Estimated Hrs]]-Tracker[[#This Row],[Actual Efforts (Hrs)]]</f>
        <v>0</v>
      </c>
      <c r="E157" s="108"/>
      <c r="F157" s="108"/>
      <c r="G157" s="121"/>
      <c r="H157" s="348">
        <v>16826530</v>
      </c>
      <c r="I157" s="149">
        <f>Tracker[[#This Row],[DCR ID - PTC]]</f>
        <v>16826530</v>
      </c>
      <c r="J157" s="330" t="s">
        <v>99</v>
      </c>
      <c r="K157" s="108"/>
      <c r="L157" s="108"/>
      <c r="M157" s="108"/>
      <c r="N157" s="584"/>
      <c r="O157" s="111" t="s">
        <v>201</v>
      </c>
      <c r="P157" s="111"/>
      <c r="Q157" s="111"/>
      <c r="R157" s="111"/>
      <c r="S157" s="111"/>
      <c r="T157" s="111"/>
      <c r="U157" s="108"/>
      <c r="V157" s="108"/>
      <c r="W157" s="108"/>
      <c r="X157" s="108">
        <f t="shared" si="10"/>
        <v>40.4</v>
      </c>
      <c r="Y157" s="108"/>
      <c r="Z157" s="108"/>
      <c r="AA157" s="108"/>
      <c r="AB157" s="112">
        <v>45869</v>
      </c>
      <c r="AC157" s="108"/>
      <c r="AD157" s="108" t="s">
        <v>93</v>
      </c>
      <c r="AE157" s="107"/>
      <c r="AF157" s="113"/>
      <c r="AG157" s="115"/>
      <c r="AH157" s="108" t="s">
        <v>100</v>
      </c>
      <c r="AI157" s="108" t="s">
        <v>101</v>
      </c>
      <c r="AJ157" s="114">
        <v>45869</v>
      </c>
      <c r="AK157" s="108" t="s">
        <v>96</v>
      </c>
      <c r="AL157" s="115">
        <v>45833.850902777776</v>
      </c>
      <c r="AM157" s="116"/>
      <c r="AN157" s="116"/>
      <c r="AO157" s="139"/>
      <c r="AP157" s="108"/>
      <c r="AQ157" s="107"/>
      <c r="AR157" s="107"/>
      <c r="AS157" s="116"/>
      <c r="AT157" s="114">
        <f t="shared" si="14"/>
        <v>40.4</v>
      </c>
      <c r="AU157" s="114"/>
      <c r="AV157" s="108"/>
      <c r="AW157" s="108"/>
      <c r="AX157" s="108"/>
      <c r="AY157" s="108" t="s">
        <v>866</v>
      </c>
      <c r="AZ157" s="108"/>
      <c r="BA157" s="108"/>
      <c r="BB157" s="108"/>
      <c r="BC157" s="108"/>
      <c r="BD157" s="111"/>
      <c r="BE157" s="111">
        <f t="shared" si="11"/>
        <v>40.4</v>
      </c>
      <c r="BF157" s="111"/>
      <c r="BG157" s="111"/>
      <c r="BH157" s="111"/>
      <c r="BI157" s="111"/>
      <c r="BJ157" s="111"/>
      <c r="BK157" s="111"/>
      <c r="BL157" s="111"/>
      <c r="BM157" s="117"/>
      <c r="BN157" s="111"/>
      <c r="BO157" s="117"/>
      <c r="BP157" s="117">
        <f t="shared" si="12"/>
        <v>40.4</v>
      </c>
      <c r="BQ157" s="117"/>
      <c r="BR157" s="111"/>
      <c r="BS157" s="118"/>
      <c r="BT157" s="111"/>
      <c r="BU157" s="118"/>
      <c r="BV157" s="111"/>
      <c r="BW157" s="111"/>
      <c r="BX157" s="111"/>
      <c r="BY157" s="111"/>
      <c r="BZ157" s="111"/>
      <c r="CA157" s="111">
        <f t="shared" si="13"/>
        <v>40.4</v>
      </c>
      <c r="CB157" s="119"/>
      <c r="CC157" s="117"/>
      <c r="CD157" s="132" t="e">
        <v>#N/A</v>
      </c>
      <c r="CE157" s="132" t="e">
        <v>#N/A</v>
      </c>
      <c r="CF157" s="132" t="e">
        <v>#N/A</v>
      </c>
      <c r="CG157" s="111"/>
      <c r="CH157" s="132"/>
      <c r="CI157" s="132"/>
      <c r="CJ157" s="111"/>
      <c r="CK157" s="132"/>
    </row>
    <row r="158" spans="1:89" ht="144.94999999999999" customHeight="1">
      <c r="A158" s="106" t="s">
        <v>88</v>
      </c>
      <c r="B158" s="107">
        <v>0</v>
      </c>
      <c r="C158" s="49">
        <v>0</v>
      </c>
      <c r="D158" s="107">
        <v>0</v>
      </c>
      <c r="E158" s="108"/>
      <c r="F158" s="108"/>
      <c r="G158" s="121"/>
      <c r="H158" s="348">
        <v>16826535</v>
      </c>
      <c r="I158" s="149">
        <f>Tracker[[#This Row],[DCR ID - PTC]]</f>
        <v>16826535</v>
      </c>
      <c r="J158" s="330" t="s">
        <v>102</v>
      </c>
      <c r="K158" s="108"/>
      <c r="L158" s="108"/>
      <c r="M158" s="108"/>
      <c r="N158" s="580"/>
      <c r="O158" s="111" t="s">
        <v>201</v>
      </c>
      <c r="P158" s="111"/>
      <c r="Q158" s="111"/>
      <c r="R158" s="111"/>
      <c r="S158" s="111"/>
      <c r="T158" s="111"/>
      <c r="U158" s="108"/>
      <c r="V158" s="108"/>
      <c r="W158" s="108"/>
      <c r="X158" s="108">
        <f t="shared" si="10"/>
        <v>40.4</v>
      </c>
      <c r="Y158" s="108"/>
      <c r="Z158" s="108"/>
      <c r="AA158" s="108"/>
      <c r="AB158" s="112">
        <v>45869</v>
      </c>
      <c r="AC158" s="108"/>
      <c r="AD158" s="108" t="s">
        <v>93</v>
      </c>
      <c r="AE158" s="107"/>
      <c r="AF158" s="113"/>
      <c r="AG158" s="115"/>
      <c r="AH158" s="108" t="s">
        <v>100</v>
      </c>
      <c r="AI158" s="108" t="s">
        <v>101</v>
      </c>
      <c r="AJ158" s="114">
        <v>45869</v>
      </c>
      <c r="AK158" s="108" t="s">
        <v>96</v>
      </c>
      <c r="AL158" s="115">
        <v>45833.857037037036</v>
      </c>
      <c r="AM158" s="116"/>
      <c r="AN158" s="116"/>
      <c r="AO158" s="139"/>
      <c r="AP158" s="108"/>
      <c r="AQ158" s="107"/>
      <c r="AR158" s="107"/>
      <c r="AS158" s="116"/>
      <c r="AT158" s="114">
        <f t="shared" si="14"/>
        <v>40.4</v>
      </c>
      <c r="AU158" s="114"/>
      <c r="AV158" s="108"/>
      <c r="AW158" s="108"/>
      <c r="AX158" s="108"/>
      <c r="AY158" s="108" t="s">
        <v>866</v>
      </c>
      <c r="AZ158" s="108"/>
      <c r="BA158" s="108"/>
      <c r="BB158" s="108"/>
      <c r="BC158" s="108"/>
      <c r="BD158" s="111"/>
      <c r="BE158" s="111">
        <f t="shared" si="11"/>
        <v>40.4</v>
      </c>
      <c r="BF158" s="111"/>
      <c r="BG158" s="111"/>
      <c r="BH158" s="111"/>
      <c r="BI158" s="111"/>
      <c r="BJ158" s="111"/>
      <c r="BK158" s="111"/>
      <c r="BL158" s="111"/>
      <c r="BM158" s="117"/>
      <c r="BN158" s="111"/>
      <c r="BO158" s="117"/>
      <c r="BP158" s="117">
        <f t="shared" si="12"/>
        <v>40.4</v>
      </c>
      <c r="BQ158" s="117"/>
      <c r="BR158" s="111"/>
      <c r="BS158" s="118"/>
      <c r="BT158" s="111"/>
      <c r="BU158" s="118"/>
      <c r="BV158" s="111"/>
      <c r="BW158" s="111"/>
      <c r="BX158" s="111"/>
      <c r="BY158" s="111"/>
      <c r="BZ158" s="111"/>
      <c r="CA158" s="111">
        <f t="shared" si="13"/>
        <v>40.4</v>
      </c>
      <c r="CB158" s="119"/>
      <c r="CC158" s="117"/>
      <c r="CD158" s="132" t="e">
        <v>#N/A</v>
      </c>
      <c r="CE158" s="132" t="e">
        <v>#N/A</v>
      </c>
      <c r="CF158" s="132" t="e">
        <v>#N/A</v>
      </c>
      <c r="CG158" s="111"/>
      <c r="CH158" s="132"/>
      <c r="CI158" s="132"/>
      <c r="CJ158" s="111"/>
      <c r="CK158" s="132"/>
    </row>
    <row r="159" spans="1:89" ht="57.95">
      <c r="A159" s="106" t="s">
        <v>88</v>
      </c>
      <c r="B159" s="107">
        <v>0</v>
      </c>
      <c r="C159" s="49">
        <v>0</v>
      </c>
      <c r="D159" s="107">
        <f>Tracker[[#This Row],[Estimated Hrs]]-Tracker[[#This Row],[Actual Efforts (Hrs)]]</f>
        <v>0</v>
      </c>
      <c r="E159" s="108"/>
      <c r="F159" s="108" t="s">
        <v>867</v>
      </c>
      <c r="G159" s="121" t="s">
        <v>867</v>
      </c>
      <c r="H159" s="151">
        <v>19569485</v>
      </c>
      <c r="I159" s="149">
        <f>Tracker[[#This Row],[DCR ID - PTC]]</f>
        <v>19569485</v>
      </c>
      <c r="J159" s="107" t="s">
        <v>1004</v>
      </c>
      <c r="K159" s="108" t="s">
        <v>104</v>
      </c>
      <c r="L159" s="108"/>
      <c r="M159" s="108"/>
      <c r="N159" s="580" t="s">
        <v>1005</v>
      </c>
      <c r="O159" s="111" t="s">
        <v>106</v>
      </c>
      <c r="P159" s="111"/>
      <c r="Q159" s="111"/>
      <c r="R159" s="111"/>
      <c r="S159" s="111"/>
      <c r="T159" s="111"/>
      <c r="U159" s="108"/>
      <c r="V159" s="108"/>
      <c r="W159" s="108"/>
      <c r="X159" s="108">
        <f t="shared" si="10"/>
        <v>40.4</v>
      </c>
      <c r="Y159" s="108"/>
      <c r="Z159" s="108"/>
      <c r="AA159" s="108"/>
      <c r="AB159" s="112"/>
      <c r="AC159" s="108"/>
      <c r="AD159" s="108" t="s">
        <v>146</v>
      </c>
      <c r="AE159" s="107"/>
      <c r="AF159" s="113"/>
      <c r="AG159" s="115">
        <v>46154</v>
      </c>
      <c r="AH159" s="108" t="s">
        <v>117</v>
      </c>
      <c r="AI159" s="108" t="s">
        <v>95</v>
      </c>
      <c r="AJ159" s="114">
        <v>46234</v>
      </c>
      <c r="AK159" s="108" t="s">
        <v>96</v>
      </c>
      <c r="AL159" s="115">
        <v>46129.739085648151</v>
      </c>
      <c r="AM159" s="116"/>
      <c r="AN159" s="116"/>
      <c r="AO159" s="139">
        <v>46157</v>
      </c>
      <c r="AP159" s="108"/>
      <c r="AQ159" s="107"/>
      <c r="AR159" s="107"/>
      <c r="AS159" s="116">
        <v>46157</v>
      </c>
      <c r="AT159" s="114">
        <v>46155</v>
      </c>
      <c r="AU159" s="114">
        <v>46156</v>
      </c>
      <c r="AV159" s="108"/>
      <c r="AW159" s="108"/>
      <c r="AX159" s="108" t="s">
        <v>97</v>
      </c>
      <c r="AY159" s="108" t="s">
        <v>98</v>
      </c>
      <c r="AZ159" s="108"/>
      <c r="BA159" s="108"/>
      <c r="BB159" s="108"/>
      <c r="BC159" s="108"/>
      <c r="BD159" s="111"/>
      <c r="BE159" s="111">
        <f t="shared" si="11"/>
        <v>40.4</v>
      </c>
      <c r="BF159" s="111"/>
      <c r="BG159" s="111"/>
      <c r="BH159" s="111"/>
      <c r="BI159" s="111"/>
      <c r="BJ159" s="111"/>
      <c r="BK159" s="111"/>
      <c r="BL159" s="111"/>
      <c r="BM159" s="117"/>
      <c r="BN159" s="111"/>
      <c r="BO159" s="117"/>
      <c r="BP159" s="117">
        <f t="shared" si="12"/>
        <v>40.4</v>
      </c>
      <c r="BQ159" s="117"/>
      <c r="BR159" s="111"/>
      <c r="BS159" s="118"/>
      <c r="BT159" s="111"/>
      <c r="BU159" s="118"/>
      <c r="BV159" s="111"/>
      <c r="BW159" s="111"/>
      <c r="BX159" s="111"/>
      <c r="BY159" s="111"/>
      <c r="BZ159" s="111"/>
      <c r="CA159" s="111">
        <f t="shared" si="13"/>
        <v>40.4</v>
      </c>
      <c r="CB159" s="119">
        <v>1</v>
      </c>
      <c r="CC159" s="117"/>
      <c r="CD159" s="132">
        <v>46153</v>
      </c>
      <c r="CE159" s="132" t="s">
        <v>917</v>
      </c>
      <c r="CF159" s="132" t="s">
        <v>918</v>
      </c>
      <c r="CG159" s="111"/>
      <c r="CH159" s="132"/>
      <c r="CI159" s="132"/>
      <c r="CJ159" s="111"/>
      <c r="CK159" s="586" t="s">
        <v>870</v>
      </c>
    </row>
    <row r="160" spans="1:89" ht="87">
      <c r="A160" s="106" t="s">
        <v>88</v>
      </c>
      <c r="B160" s="107">
        <f>5+3+7.5+7+7+7+15+3</f>
        <v>54.5</v>
      </c>
      <c r="C160" s="49">
        <v>51.5</v>
      </c>
      <c r="D160" s="107">
        <f>Tracker[[#This Row],[Estimated Hrs]]-Tracker[[#This Row],[Actual Efforts (Hrs)]]</f>
        <v>-3</v>
      </c>
      <c r="E160" s="108"/>
      <c r="F160" s="108" t="s">
        <v>867</v>
      </c>
      <c r="G160" s="121" t="s">
        <v>867</v>
      </c>
      <c r="H160" s="151">
        <v>19509024</v>
      </c>
      <c r="I160" s="149">
        <f>Tracker[[#This Row],[DCR ID - PTC]]</f>
        <v>19509024</v>
      </c>
      <c r="J160" s="108" t="s">
        <v>1006</v>
      </c>
      <c r="K160" s="108" t="s">
        <v>104</v>
      </c>
      <c r="L160" s="108"/>
      <c r="M160" s="108"/>
      <c r="N160" s="580" t="s">
        <v>1007</v>
      </c>
      <c r="O160" s="111" t="s">
        <v>106</v>
      </c>
      <c r="P160" s="111"/>
      <c r="Q160" s="111"/>
      <c r="R160" s="111"/>
      <c r="S160" s="111"/>
      <c r="T160" s="111"/>
      <c r="U160" s="108"/>
      <c r="V160" s="108"/>
      <c r="W160" s="108"/>
      <c r="X160" s="108">
        <f t="shared" si="10"/>
        <v>40.4</v>
      </c>
      <c r="Y160" s="108"/>
      <c r="Z160" s="108"/>
      <c r="AA160" s="108"/>
      <c r="AB160" s="112">
        <v>46233</v>
      </c>
      <c r="AC160" s="108"/>
      <c r="AD160" s="108" t="s">
        <v>93</v>
      </c>
      <c r="AE160" s="107"/>
      <c r="AF160" s="113"/>
      <c r="AG160" s="115">
        <v>46146</v>
      </c>
      <c r="AH160" s="108" t="s">
        <v>109</v>
      </c>
      <c r="AI160" s="108" t="s">
        <v>110</v>
      </c>
      <c r="AJ160" s="114">
        <v>46234.770833333336</v>
      </c>
      <c r="AK160" s="108" t="s">
        <v>96</v>
      </c>
      <c r="AL160" s="115">
        <v>46133.749016203707</v>
      </c>
      <c r="AM160" s="116"/>
      <c r="AN160" s="116"/>
      <c r="AO160" s="139">
        <v>46157</v>
      </c>
      <c r="AP160" s="108"/>
      <c r="AQ160" s="107"/>
      <c r="AR160" s="107"/>
      <c r="AS160" s="116">
        <v>46157</v>
      </c>
      <c r="AT160" s="114">
        <v>46155</v>
      </c>
      <c r="AU160" s="114">
        <v>46156</v>
      </c>
      <c r="AV160" s="108"/>
      <c r="AW160" s="108"/>
      <c r="AX160" s="108" t="s">
        <v>97</v>
      </c>
      <c r="AY160" s="108" t="s">
        <v>98</v>
      </c>
      <c r="AZ160" s="108"/>
      <c r="BA160" s="108"/>
      <c r="BB160" s="108"/>
      <c r="BC160" s="108"/>
      <c r="BD160" s="111"/>
      <c r="BE160" s="111">
        <f t="shared" si="11"/>
        <v>40.4</v>
      </c>
      <c r="BF160" s="111"/>
      <c r="BG160" s="111"/>
      <c r="BH160" s="111"/>
      <c r="BI160" s="111"/>
      <c r="BJ160" s="111"/>
      <c r="BK160" s="111"/>
      <c r="BL160" s="111"/>
      <c r="BM160" s="117"/>
      <c r="BN160" s="111"/>
      <c r="BO160" s="117"/>
      <c r="BP160" s="117">
        <f t="shared" si="12"/>
        <v>40.4</v>
      </c>
      <c r="BQ160" s="117"/>
      <c r="BR160" s="111"/>
      <c r="BS160" s="118"/>
      <c r="BT160" s="111"/>
      <c r="BU160" s="118"/>
      <c r="BV160" s="111"/>
      <c r="BW160" s="111"/>
      <c r="BX160" s="111"/>
      <c r="BY160" s="111"/>
      <c r="BZ160" s="111"/>
      <c r="CA160" s="111">
        <f t="shared" si="13"/>
        <v>40.4</v>
      </c>
      <c r="CB160" s="119">
        <v>1</v>
      </c>
      <c r="CC160" s="117"/>
      <c r="CD160" s="132">
        <v>46153</v>
      </c>
      <c r="CE160" s="132" t="s">
        <v>917</v>
      </c>
      <c r="CF160" s="132" t="s">
        <v>918</v>
      </c>
      <c r="CG160" s="111"/>
      <c r="CH160" s="132"/>
      <c r="CI160" s="132"/>
      <c r="CJ160" s="111"/>
      <c r="CK160" s="586" t="s">
        <v>870</v>
      </c>
    </row>
    <row r="161" spans="1:89" ht="43.5" customHeight="1">
      <c r="A161" s="106" t="s">
        <v>88</v>
      </c>
      <c r="B161" s="49">
        <v>0</v>
      </c>
      <c r="C161" s="49">
        <v>0</v>
      </c>
      <c r="D161" s="107">
        <f>Tracker[[#This Row],[Estimated Hrs]]-Tracker[[#This Row],[Actual Efforts (Hrs)]]</f>
        <v>0</v>
      </c>
      <c r="E161" s="134"/>
      <c r="F161" s="134" t="s">
        <v>136</v>
      </c>
      <c r="G161" s="150"/>
      <c r="H161" s="347">
        <v>19433442</v>
      </c>
      <c r="I161" s="149">
        <f>Tracker[[#This Row],[DCR ID - PTC]]</f>
        <v>19433442</v>
      </c>
      <c r="J161" s="291" t="s">
        <v>1008</v>
      </c>
      <c r="K161" s="134" t="s">
        <v>101</v>
      </c>
      <c r="L161" s="134" t="s">
        <v>165</v>
      </c>
      <c r="M161" s="134"/>
      <c r="N161" s="580"/>
      <c r="O161" s="123"/>
      <c r="P161" s="123"/>
      <c r="Q161" s="123"/>
      <c r="R161" s="123"/>
      <c r="S161" s="123"/>
      <c r="T161" s="123"/>
      <c r="U161" s="134"/>
      <c r="V161" s="134"/>
      <c r="W161" s="134"/>
      <c r="X161" s="134">
        <f t="shared" si="10"/>
        <v>40.4</v>
      </c>
      <c r="Y161" s="134"/>
      <c r="Z161" s="134"/>
      <c r="AA161" s="134" t="s">
        <v>873</v>
      </c>
      <c r="AC161" s="134" t="s">
        <v>165</v>
      </c>
      <c r="AD161" s="134" t="s">
        <v>93</v>
      </c>
      <c r="AE161" s="49"/>
      <c r="AF161" s="136"/>
      <c r="AG161" s="137">
        <v>46134.052858796298</v>
      </c>
      <c r="AH161" s="134" t="s">
        <v>94</v>
      </c>
      <c r="AI161" s="134" t="s">
        <v>95</v>
      </c>
      <c r="AJ161" s="138">
        <v>46142.770833333336</v>
      </c>
      <c r="AK161" s="134" t="s">
        <v>96</v>
      </c>
      <c r="AL161" s="137">
        <v>46125.797430555554</v>
      </c>
      <c r="AM161" s="139"/>
      <c r="AN161" s="139"/>
      <c r="AO161" s="139"/>
      <c r="AP161" s="134"/>
      <c r="AQ161" s="49"/>
      <c r="AR161" s="49"/>
      <c r="AS161" s="139"/>
      <c r="AT161" s="138">
        <f t="shared" si="14"/>
        <v>40.4</v>
      </c>
      <c r="AU161" s="138"/>
      <c r="AV161" s="134"/>
      <c r="AW161" s="134"/>
      <c r="AX161" s="134"/>
      <c r="AY161" s="134" t="s">
        <v>866</v>
      </c>
      <c r="AZ161" s="134"/>
      <c r="BA161" s="134"/>
      <c r="BB161" s="134"/>
      <c r="BC161" s="134"/>
      <c r="BD161" s="123"/>
      <c r="BE161" s="123">
        <f t="shared" si="11"/>
        <v>40.4</v>
      </c>
      <c r="BF161" s="123"/>
      <c r="BG161" s="123"/>
      <c r="BH161" s="123"/>
      <c r="BI161" s="123"/>
      <c r="BJ161" s="123"/>
      <c r="BK161" s="123"/>
      <c r="BL161" s="123"/>
      <c r="BM161" s="117"/>
      <c r="BN161" s="123"/>
      <c r="BO161" s="140"/>
      <c r="BP161" s="140">
        <f t="shared" si="12"/>
        <v>40.4</v>
      </c>
      <c r="BQ161" s="140"/>
      <c r="BR161" s="123"/>
      <c r="BS161" s="141"/>
      <c r="BT161" s="123"/>
      <c r="BU161" s="141"/>
      <c r="BV161" s="123"/>
      <c r="BW161" s="123"/>
      <c r="BX161" s="123"/>
      <c r="BY161" s="123"/>
      <c r="BZ161" s="123"/>
      <c r="CA161" s="123">
        <f t="shared" si="13"/>
        <v>40.4</v>
      </c>
      <c r="CB161" s="143"/>
      <c r="CC161" s="140"/>
      <c r="CD161" s="120" t="e">
        <v>#N/A</v>
      </c>
      <c r="CE161" s="120" t="e">
        <v>#N/A</v>
      </c>
      <c r="CF161" s="120" t="e">
        <v>#N/A</v>
      </c>
      <c r="CG161" s="123"/>
      <c r="CH161" s="120"/>
      <c r="CI161" s="120"/>
      <c r="CJ161" s="123"/>
      <c r="CK161" s="132"/>
    </row>
    <row r="162" spans="1:89" ht="87">
      <c r="A162" s="252" t="s">
        <v>88</v>
      </c>
      <c r="B162" s="107">
        <v>0</v>
      </c>
      <c r="C162" s="49">
        <v>0</v>
      </c>
      <c r="D162" s="107">
        <f>Tracker[[#This Row],[Estimated Hrs]]-Tracker[[#This Row],[Actual Efforts (Hrs)]]</f>
        <v>0</v>
      </c>
      <c r="E162" s="108"/>
      <c r="F162" s="108" t="s">
        <v>136</v>
      </c>
      <c r="G162" s="121"/>
      <c r="H162" s="151">
        <v>18306361</v>
      </c>
      <c r="I162" s="149">
        <f>Tracker[[#This Row],[DCR ID - PTC]]</f>
        <v>18306361</v>
      </c>
      <c r="J162" s="107" t="s">
        <v>103</v>
      </c>
      <c r="K162" s="108" t="s">
        <v>101</v>
      </c>
      <c r="L162" s="108" t="s">
        <v>165</v>
      </c>
      <c r="M162" s="108"/>
      <c r="N162" s="580"/>
      <c r="O162" s="111"/>
      <c r="P162" s="111"/>
      <c r="Q162" s="111"/>
      <c r="R162" s="111"/>
      <c r="S162" s="111"/>
      <c r="T162" s="111"/>
      <c r="U162" s="108"/>
      <c r="V162" s="108"/>
      <c r="W162" s="108"/>
      <c r="X162" s="108">
        <f t="shared" si="10"/>
        <v>40.4</v>
      </c>
      <c r="Y162" s="108"/>
      <c r="Z162" s="108"/>
      <c r="AA162" s="108" t="s">
        <v>879</v>
      </c>
      <c r="AB162" s="112">
        <v>46142</v>
      </c>
      <c r="AC162" s="108" t="s">
        <v>165</v>
      </c>
      <c r="AD162" s="108" t="s">
        <v>108</v>
      </c>
      <c r="AE162" s="107"/>
      <c r="AF162" s="113"/>
      <c r="AG162" s="115">
        <v>46097.871493055558</v>
      </c>
      <c r="AH162" s="108" t="s">
        <v>94</v>
      </c>
      <c r="AI162" s="108" t="s">
        <v>110</v>
      </c>
      <c r="AJ162" s="114">
        <v>46171.395833333336</v>
      </c>
      <c r="AK162" s="108" t="s">
        <v>96</v>
      </c>
      <c r="AL162" s="115">
        <v>46028.993819444448</v>
      </c>
      <c r="AM162" s="116"/>
      <c r="AN162" s="116"/>
      <c r="AO162" s="139"/>
      <c r="AP162" s="108"/>
      <c r="AQ162" s="107"/>
      <c r="AR162" s="107"/>
      <c r="AS162" s="116"/>
      <c r="AT162" s="114">
        <f t="shared" si="14"/>
        <v>40.4</v>
      </c>
      <c r="AU162" s="114"/>
      <c r="AV162" s="108"/>
      <c r="AW162" s="108"/>
      <c r="AX162" s="108"/>
      <c r="AY162" s="108" t="s">
        <v>866</v>
      </c>
      <c r="AZ162" s="108"/>
      <c r="BA162" s="108"/>
      <c r="BB162" s="108"/>
      <c r="BC162" s="108"/>
      <c r="BD162" s="111"/>
      <c r="BE162" s="111">
        <f t="shared" si="11"/>
        <v>40.4</v>
      </c>
      <c r="BF162" s="111"/>
      <c r="BG162" s="111"/>
      <c r="BH162" s="111"/>
      <c r="BI162" s="111"/>
      <c r="BJ162" s="111"/>
      <c r="BK162" s="111"/>
      <c r="BL162" s="111"/>
      <c r="BM162" s="117"/>
      <c r="BN162" s="111"/>
      <c r="BO162" s="117"/>
      <c r="BP162" s="117">
        <f t="shared" si="12"/>
        <v>40.4</v>
      </c>
      <c r="BQ162" s="117"/>
      <c r="BR162" s="111"/>
      <c r="BS162" s="118"/>
      <c r="BT162" s="111"/>
      <c r="BU162" s="118"/>
      <c r="BV162" s="111"/>
      <c r="BW162" s="111"/>
      <c r="BX162" s="111"/>
      <c r="BY162" s="111"/>
      <c r="BZ162" s="111"/>
      <c r="CA162" s="111">
        <f t="shared" si="13"/>
        <v>40.4</v>
      </c>
      <c r="CB162" s="119"/>
      <c r="CC162" s="117"/>
      <c r="CD162" s="132" t="e">
        <v>#N/A</v>
      </c>
      <c r="CE162" s="132" t="e">
        <v>#N/A</v>
      </c>
      <c r="CF162" s="132" t="e">
        <v>#N/A</v>
      </c>
      <c r="CG162" s="111"/>
      <c r="CH162" s="132"/>
      <c r="CI162" s="132"/>
      <c r="CJ162" s="111"/>
      <c r="CK162" s="132"/>
    </row>
    <row r="163" spans="1:89" ht="101.45">
      <c r="A163" s="106" t="s">
        <v>88</v>
      </c>
      <c r="B163" s="107">
        <v>0</v>
      </c>
      <c r="C163" s="49">
        <v>0</v>
      </c>
      <c r="D163" s="107">
        <v>0</v>
      </c>
      <c r="E163" s="108"/>
      <c r="F163" s="108" t="s">
        <v>89</v>
      </c>
      <c r="G163" s="121"/>
      <c r="H163" s="151">
        <v>16346866</v>
      </c>
      <c r="I163" s="149">
        <f>Tracker[[#This Row],[DCR ID - PTC]]</f>
        <v>16346866</v>
      </c>
      <c r="J163" s="107" t="s">
        <v>90</v>
      </c>
      <c r="K163" s="108" t="s">
        <v>101</v>
      </c>
      <c r="L163" s="108" t="s">
        <v>91</v>
      </c>
      <c r="M163" s="108"/>
      <c r="N163" s="580"/>
      <c r="O163" s="111"/>
      <c r="P163" s="111"/>
      <c r="Q163" s="111"/>
      <c r="R163" s="111"/>
      <c r="S163" s="111"/>
      <c r="T163" s="111"/>
      <c r="U163" s="108"/>
      <c r="V163" s="108"/>
      <c r="W163" s="108"/>
      <c r="X163" s="108">
        <f t="shared" si="10"/>
        <v>40.4</v>
      </c>
      <c r="Y163" s="108"/>
      <c r="Z163" s="108"/>
      <c r="AA163" s="108" t="s">
        <v>92</v>
      </c>
      <c r="AB163" s="112">
        <v>46003</v>
      </c>
      <c r="AC163" s="108" t="s">
        <v>91</v>
      </c>
      <c r="AD163" s="108" t="s">
        <v>93</v>
      </c>
      <c r="AE163" s="107"/>
      <c r="AF163" s="113"/>
      <c r="AG163" s="115">
        <v>45950.869710648149</v>
      </c>
      <c r="AH163" s="108" t="s">
        <v>94</v>
      </c>
      <c r="AI163" s="108" t="s">
        <v>95</v>
      </c>
      <c r="AJ163" s="114">
        <v>45994.4375</v>
      </c>
      <c r="AK163" s="108" t="s">
        <v>96</v>
      </c>
      <c r="AL163" s="115">
        <v>45783.609756944446</v>
      </c>
      <c r="AM163" s="116"/>
      <c r="AN163" s="116"/>
      <c r="AO163" s="139"/>
      <c r="AP163" s="108"/>
      <c r="AQ163" s="107"/>
      <c r="AR163" s="107"/>
      <c r="AS163" s="116"/>
      <c r="AT163" s="114">
        <f t="shared" si="14"/>
        <v>40.4</v>
      </c>
      <c r="AU163" s="114"/>
      <c r="AV163" s="108"/>
      <c r="AW163" s="108"/>
      <c r="AX163" s="108"/>
      <c r="AY163" s="108" t="s">
        <v>866</v>
      </c>
      <c r="AZ163" s="108"/>
      <c r="BA163" s="108"/>
      <c r="BB163" s="108"/>
      <c r="BC163" s="108"/>
      <c r="BD163" s="111"/>
      <c r="BE163" s="111">
        <f t="shared" si="11"/>
        <v>40.4</v>
      </c>
      <c r="BF163" s="111"/>
      <c r="BG163" s="111"/>
      <c r="BH163" s="111"/>
      <c r="BI163" s="111"/>
      <c r="BJ163" s="111"/>
      <c r="BK163" s="111"/>
      <c r="BL163" s="111"/>
      <c r="BM163" s="117"/>
      <c r="BN163" s="111"/>
      <c r="BO163" s="117"/>
      <c r="BP163" s="117">
        <f t="shared" si="12"/>
        <v>40.4</v>
      </c>
      <c r="BQ163" s="117"/>
      <c r="BR163" s="111"/>
      <c r="BS163" s="118"/>
      <c r="BT163" s="111"/>
      <c r="BU163" s="118"/>
      <c r="BV163" s="111"/>
      <c r="BW163" s="111"/>
      <c r="BX163" s="111"/>
      <c r="BY163" s="111"/>
      <c r="BZ163" s="111"/>
      <c r="CA163" s="111">
        <f t="shared" si="13"/>
        <v>40.4</v>
      </c>
      <c r="CB163" s="119"/>
      <c r="CC163" s="117"/>
      <c r="CD163" s="132" t="e">
        <v>#N/A</v>
      </c>
      <c r="CE163" s="132" t="e">
        <v>#N/A</v>
      </c>
      <c r="CF163" s="132" t="e">
        <v>#N/A</v>
      </c>
      <c r="CG163" s="111"/>
      <c r="CH163" s="132"/>
      <c r="CI163" s="132"/>
      <c r="CJ163" s="111"/>
      <c r="CK163" s="132"/>
    </row>
    <row r="164" spans="1:89" ht="57.95">
      <c r="A164" s="106" t="s">
        <v>88</v>
      </c>
      <c r="B164" s="107">
        <v>0</v>
      </c>
      <c r="C164" s="49">
        <v>0</v>
      </c>
      <c r="D164" s="107">
        <f>Tracker[[#This Row],[Estimated Hrs]]-Tracker[[#This Row],[Actual Efforts (Hrs)]]</f>
        <v>0</v>
      </c>
      <c r="E164" s="108"/>
      <c r="F164" s="108" t="s">
        <v>867</v>
      </c>
      <c r="G164" s="121" t="s">
        <v>867</v>
      </c>
      <c r="H164" s="151">
        <v>19569485</v>
      </c>
      <c r="I164" s="149">
        <f>Tracker[[#This Row],[DCR ID - PTC]]</f>
        <v>19569485</v>
      </c>
      <c r="J164" s="107" t="s">
        <v>1004</v>
      </c>
      <c r="K164" s="108" t="s">
        <v>118</v>
      </c>
      <c r="L164" s="108"/>
      <c r="M164" s="108"/>
      <c r="N164" s="580" t="s">
        <v>1009</v>
      </c>
      <c r="O164" s="111" t="s">
        <v>106</v>
      </c>
      <c r="P164" s="111"/>
      <c r="Q164" s="111"/>
      <c r="R164" s="111"/>
      <c r="S164" s="111"/>
      <c r="T164" s="111"/>
      <c r="U164" s="108"/>
      <c r="V164" s="108"/>
      <c r="W164" s="108"/>
      <c r="X164" s="108">
        <f t="shared" si="10"/>
        <v>40.4</v>
      </c>
      <c r="Y164" s="108"/>
      <c r="Z164" s="108"/>
      <c r="AA164" s="108"/>
      <c r="AB164" s="112"/>
      <c r="AC164" s="108"/>
      <c r="AD164" s="108"/>
      <c r="AE164" s="107"/>
      <c r="AF164" s="113"/>
      <c r="AG164" s="115">
        <v>46158</v>
      </c>
      <c r="AH164" s="108"/>
      <c r="AI164" s="108"/>
      <c r="AJ164" s="114"/>
      <c r="AK164" s="108"/>
      <c r="AL164" s="115"/>
      <c r="AM164" s="116"/>
      <c r="AN164" s="116"/>
      <c r="AO164" s="139">
        <v>46164</v>
      </c>
      <c r="AP164" s="108"/>
      <c r="AQ164" s="107"/>
      <c r="AR164" s="107"/>
      <c r="AS164" s="116">
        <v>46168</v>
      </c>
      <c r="AT164" s="114">
        <v>46164</v>
      </c>
      <c r="AU164" s="114">
        <v>46168</v>
      </c>
      <c r="AV164" s="108"/>
      <c r="AW164" s="108"/>
      <c r="AX164" s="108" t="s">
        <v>97</v>
      </c>
      <c r="AY164" s="108" t="s">
        <v>98</v>
      </c>
      <c r="AZ164" s="108"/>
      <c r="BA164" s="108"/>
      <c r="BB164" s="108"/>
      <c r="BC164" s="108"/>
      <c r="BD164" s="111"/>
      <c r="BE164" s="111">
        <f t="shared" si="11"/>
        <v>40.4</v>
      </c>
      <c r="BF164" s="111"/>
      <c r="BG164" s="111"/>
      <c r="BH164" s="111"/>
      <c r="BI164" s="111"/>
      <c r="BJ164" s="111"/>
      <c r="BK164" s="111"/>
      <c r="BL164" s="111"/>
      <c r="BM164" s="117"/>
      <c r="BN164" s="111"/>
      <c r="BO164" s="117"/>
      <c r="BP164" s="117">
        <f t="shared" si="12"/>
        <v>40.4</v>
      </c>
      <c r="BQ164" s="117"/>
      <c r="BR164" s="111"/>
      <c r="BS164" s="118"/>
      <c r="BT164" s="111"/>
      <c r="BU164" s="118"/>
      <c r="BV164" s="111"/>
      <c r="BW164" s="111"/>
      <c r="BX164" s="111"/>
      <c r="BY164" s="111"/>
      <c r="BZ164" s="111"/>
      <c r="CA164" s="111">
        <f t="shared" si="13"/>
        <v>40.4</v>
      </c>
      <c r="CB164" s="119">
        <v>1</v>
      </c>
      <c r="CC164" s="117"/>
      <c r="CD164" s="120" t="s">
        <v>916</v>
      </c>
      <c r="CE164" s="120" t="s">
        <v>917</v>
      </c>
      <c r="CF164" s="120" t="s">
        <v>918</v>
      </c>
      <c r="CG164" s="111"/>
      <c r="CH164" s="132"/>
      <c r="CI164" s="132"/>
      <c r="CJ164" s="111"/>
      <c r="CK164" s="132" t="s">
        <v>882</v>
      </c>
    </row>
    <row r="165" spans="1:89" ht="72.599999999999994">
      <c r="A165" s="146" t="s">
        <v>88</v>
      </c>
      <c r="B165" s="107">
        <f>8+10+7.5+3+20</f>
        <v>48.5</v>
      </c>
      <c r="C165" s="49">
        <v>60</v>
      </c>
      <c r="D165" s="107">
        <f>Tracker[[#This Row],[Estimated Hrs]]-Tracker[[#This Row],[Actual Efforts (Hrs)]]</f>
        <v>11.5</v>
      </c>
      <c r="E165" s="108"/>
      <c r="F165" s="108" t="s">
        <v>867</v>
      </c>
      <c r="G165" s="121" t="s">
        <v>867</v>
      </c>
      <c r="H165" s="109">
        <v>19509024</v>
      </c>
      <c r="I165" s="149">
        <f>Tracker[[#This Row],[DCR ID - PTC]]</f>
        <v>19509024</v>
      </c>
      <c r="J165" s="146" t="s">
        <v>1006</v>
      </c>
      <c r="K165" s="108" t="s">
        <v>118</v>
      </c>
      <c r="L165" s="108"/>
      <c r="M165" s="108"/>
      <c r="N165" s="580" t="s">
        <v>1010</v>
      </c>
      <c r="O165" s="111" t="s">
        <v>106</v>
      </c>
      <c r="P165" s="111"/>
      <c r="Q165" s="111"/>
      <c r="R165" s="111"/>
      <c r="S165" s="111"/>
      <c r="T165" s="111"/>
      <c r="U165" s="108"/>
      <c r="V165" s="108"/>
      <c r="W165" s="108"/>
      <c r="X165" s="108">
        <f t="shared" si="10"/>
        <v>40.4</v>
      </c>
      <c r="Y165" s="108"/>
      <c r="Z165" s="108"/>
      <c r="AA165" s="108"/>
      <c r="AB165" s="112"/>
      <c r="AC165" s="108"/>
      <c r="AD165" s="108"/>
      <c r="AE165" s="107"/>
      <c r="AF165" s="113"/>
      <c r="AG165" s="115">
        <v>46158</v>
      </c>
      <c r="AH165" s="108"/>
      <c r="AI165" s="108"/>
      <c r="AJ165" s="114"/>
      <c r="AK165" s="108"/>
      <c r="AL165" s="115"/>
      <c r="AM165" s="116"/>
      <c r="AN165" s="116"/>
      <c r="AO165" s="139">
        <v>46164</v>
      </c>
      <c r="AP165" s="108"/>
      <c r="AQ165" s="107"/>
      <c r="AR165" s="107"/>
      <c r="AS165" s="116">
        <v>46168</v>
      </c>
      <c r="AT165" s="114">
        <v>46164</v>
      </c>
      <c r="AU165" s="114">
        <v>46168</v>
      </c>
      <c r="AV165" s="108"/>
      <c r="AW165" s="108"/>
      <c r="AX165" s="108" t="s">
        <v>97</v>
      </c>
      <c r="AY165" s="108" t="s">
        <v>98</v>
      </c>
      <c r="AZ165" s="108"/>
      <c r="BA165" s="108"/>
      <c r="BB165" s="108"/>
      <c r="BC165" s="108"/>
      <c r="BD165" s="111"/>
      <c r="BE165" s="111">
        <f t="shared" si="11"/>
        <v>40.4</v>
      </c>
      <c r="BF165" s="111"/>
      <c r="BG165" s="111"/>
      <c r="BH165" s="111"/>
      <c r="BI165" s="111"/>
      <c r="BJ165" s="111"/>
      <c r="BK165" s="111"/>
      <c r="BL165" s="111"/>
      <c r="BM165" s="117"/>
      <c r="BN165" s="111"/>
      <c r="BO165" s="117"/>
      <c r="BP165" s="117">
        <f t="shared" si="12"/>
        <v>40.4</v>
      </c>
      <c r="BQ165" s="117"/>
      <c r="BR165" s="111"/>
      <c r="BS165" s="118"/>
      <c r="BT165" s="111"/>
      <c r="BU165" s="118"/>
      <c r="BV165" s="111"/>
      <c r="BW165" s="111"/>
      <c r="BX165" s="111"/>
      <c r="BY165" s="111"/>
      <c r="BZ165" s="111"/>
      <c r="CA165" s="111">
        <f t="shared" si="13"/>
        <v>40.4</v>
      </c>
      <c r="CB165" s="119">
        <v>1</v>
      </c>
      <c r="CC165" s="117"/>
      <c r="CD165" s="120" t="s">
        <v>916</v>
      </c>
      <c r="CE165" s="120" t="s">
        <v>917</v>
      </c>
      <c r="CF165" s="120" t="s">
        <v>918</v>
      </c>
      <c r="CG165" s="111"/>
      <c r="CH165" s="132"/>
      <c r="CI165" s="132"/>
      <c r="CJ165" s="111"/>
      <c r="CK165" s="132" t="s">
        <v>882</v>
      </c>
    </row>
    <row r="166" spans="1:89" ht="87">
      <c r="A166" s="106" t="s">
        <v>768</v>
      </c>
      <c r="B166" s="49">
        <f>(2+2)+4+2</f>
        <v>10</v>
      </c>
      <c r="C166" s="49">
        <v>8</v>
      </c>
      <c r="D166" s="49">
        <f>Tracker[[#This Row],[Estimated Hrs]]-Tracker[[#This Row],[Actual Efforts (Hrs)]]</f>
        <v>-2</v>
      </c>
      <c r="E166" s="134"/>
      <c r="F166" s="134" t="s">
        <v>1011</v>
      </c>
      <c r="G166" s="150" t="s">
        <v>1011</v>
      </c>
      <c r="H166" s="135">
        <v>19312547</v>
      </c>
      <c r="I166" s="149">
        <f>Tracker[[#This Row],[DCR ID - PTC]]</f>
        <v>19312547</v>
      </c>
      <c r="J166" s="108" t="s">
        <v>1012</v>
      </c>
      <c r="K166" s="134" t="s">
        <v>104</v>
      </c>
      <c r="L166" s="134"/>
      <c r="M166" s="134"/>
      <c r="N166" s="580" t="s">
        <v>1013</v>
      </c>
      <c r="O166" s="123" t="s">
        <v>106</v>
      </c>
      <c r="P166" s="123"/>
      <c r="Q166" s="123"/>
      <c r="R166" s="123"/>
      <c r="S166" s="123"/>
      <c r="T166" s="123"/>
      <c r="U166" s="134"/>
      <c r="V166" s="134"/>
      <c r="W166" s="134"/>
      <c r="X166" s="134">
        <f t="shared" si="10"/>
        <v>40.4</v>
      </c>
      <c r="Y166" s="134"/>
      <c r="Z166" s="134"/>
      <c r="AA166" s="134"/>
      <c r="AC166" s="134"/>
      <c r="AD166" s="134" t="s">
        <v>116</v>
      </c>
      <c r="AE166" s="49"/>
      <c r="AF166" s="136"/>
      <c r="AG166" s="137">
        <v>46153</v>
      </c>
      <c r="AH166" s="134" t="s">
        <v>100</v>
      </c>
      <c r="AI166" s="134" t="s">
        <v>101</v>
      </c>
      <c r="AJ166" s="138">
        <v>46112.395833333336</v>
      </c>
      <c r="AK166" s="134" t="s">
        <v>321</v>
      </c>
      <c r="AL166" s="137">
        <v>46128.47965277778</v>
      </c>
      <c r="AM166" s="139"/>
      <c r="AN166" s="139"/>
      <c r="AO166" s="139">
        <v>46157</v>
      </c>
      <c r="AP166" s="134"/>
      <c r="AQ166" s="49"/>
      <c r="AR166" s="49"/>
      <c r="AS166" s="139">
        <v>46157</v>
      </c>
      <c r="AT166" s="138">
        <v>46155</v>
      </c>
      <c r="AU166" s="138">
        <v>46156</v>
      </c>
      <c r="AV166" s="134"/>
      <c r="AW166" s="134"/>
      <c r="AX166" s="108" t="s">
        <v>97</v>
      </c>
      <c r="AY166" s="108" t="s">
        <v>98</v>
      </c>
      <c r="AZ166" s="134"/>
      <c r="BA166" s="134"/>
      <c r="BB166" s="134"/>
      <c r="BC166" s="134"/>
      <c r="BD166" s="123"/>
      <c r="BE166" s="123">
        <f t="shared" si="11"/>
        <v>40.4</v>
      </c>
      <c r="BF166" s="123"/>
      <c r="BG166" s="123"/>
      <c r="BH166" s="123"/>
      <c r="BI166" s="123"/>
      <c r="BJ166" s="123"/>
      <c r="BK166" s="123"/>
      <c r="BL166" s="123"/>
      <c r="BM166" s="117"/>
      <c r="BN166" s="123"/>
      <c r="BO166" s="140"/>
      <c r="BP166" s="140">
        <f t="shared" si="12"/>
        <v>40.4</v>
      </c>
      <c r="BQ166" s="140"/>
      <c r="BR166" s="123"/>
      <c r="BS166" s="141"/>
      <c r="BT166" s="123"/>
      <c r="BU166" s="141"/>
      <c r="BV166" s="123"/>
      <c r="BW166" s="123"/>
      <c r="BX166" s="123"/>
      <c r="BY166" s="123"/>
      <c r="BZ166" s="123"/>
      <c r="CA166" s="123">
        <f t="shared" si="13"/>
        <v>40.4</v>
      </c>
      <c r="CB166" s="119">
        <v>1</v>
      </c>
      <c r="CC166" s="140"/>
      <c r="CD166" s="120">
        <v>46155</v>
      </c>
      <c r="CE166" s="120">
        <v>46161</v>
      </c>
      <c r="CF166" s="120">
        <v>46161</v>
      </c>
      <c r="CG166" s="123"/>
      <c r="CH166" s="120"/>
      <c r="CI166" s="120"/>
      <c r="CJ166" s="123"/>
      <c r="CK166" s="586" t="s">
        <v>882</v>
      </c>
    </row>
    <row r="167" spans="1:89" ht="101.45">
      <c r="A167" s="106" t="s">
        <v>768</v>
      </c>
      <c r="B167" s="107">
        <f>20+3+2+2+0.5+1+0.5</f>
        <v>29</v>
      </c>
      <c r="C167" s="49">
        <v>20</v>
      </c>
      <c r="D167" s="107">
        <v>0</v>
      </c>
      <c r="E167" s="108"/>
      <c r="F167" s="108"/>
      <c r="G167" s="121"/>
      <c r="H167" s="109">
        <v>19312547</v>
      </c>
      <c r="I167" s="149">
        <f>Tracker[[#This Row],[DCR ID - PTC]]</f>
        <v>19312547</v>
      </c>
      <c r="J167" s="108" t="s">
        <v>1012</v>
      </c>
      <c r="K167" s="108" t="s">
        <v>118</v>
      </c>
      <c r="L167" s="108"/>
      <c r="M167" s="108"/>
      <c r="N167" s="580" t="s">
        <v>1014</v>
      </c>
      <c r="O167" s="111" t="s">
        <v>106</v>
      </c>
      <c r="P167" s="111"/>
      <c r="Q167" s="111"/>
      <c r="R167" s="111"/>
      <c r="S167" s="111"/>
      <c r="T167" s="111"/>
      <c r="U167" s="108"/>
      <c r="V167" s="108"/>
      <c r="W167" s="108"/>
      <c r="X167" s="108">
        <f t="shared" si="10"/>
        <v>40.4</v>
      </c>
      <c r="Y167" s="108"/>
      <c r="Z167" s="108"/>
      <c r="AA167" s="108"/>
      <c r="AB167" s="112"/>
      <c r="AC167" s="108"/>
      <c r="AD167" s="108" t="s">
        <v>116</v>
      </c>
      <c r="AE167" s="107"/>
      <c r="AF167" s="113"/>
      <c r="AG167" s="115"/>
      <c r="AH167" s="108" t="s">
        <v>100</v>
      </c>
      <c r="AI167" s="108" t="s">
        <v>101</v>
      </c>
      <c r="AJ167" s="114">
        <v>46112.395833333336</v>
      </c>
      <c r="AK167" s="108" t="s">
        <v>321</v>
      </c>
      <c r="AL167" s="115">
        <v>46128.47965277778</v>
      </c>
      <c r="AM167" s="116"/>
      <c r="AN167" s="116"/>
      <c r="AO167" s="139"/>
      <c r="AP167" s="108"/>
      <c r="AQ167" s="107"/>
      <c r="AR167" s="107"/>
      <c r="AS167" s="116"/>
      <c r="AT167" s="114">
        <f t="shared" si="14"/>
        <v>40.4</v>
      </c>
      <c r="AU167" s="114"/>
      <c r="AV167" s="108"/>
      <c r="AW167" s="108"/>
      <c r="AX167" s="108"/>
      <c r="AY167" s="108" t="s">
        <v>866</v>
      </c>
      <c r="AZ167" s="108"/>
      <c r="BA167" s="108"/>
      <c r="BB167" s="108"/>
      <c r="BC167" s="108"/>
      <c r="BD167" s="111"/>
      <c r="BE167" s="111">
        <f t="shared" si="11"/>
        <v>40.4</v>
      </c>
      <c r="BF167" s="111"/>
      <c r="BG167" s="111"/>
      <c r="BH167" s="111"/>
      <c r="BI167" s="111"/>
      <c r="BJ167" s="111"/>
      <c r="BK167" s="111"/>
      <c r="BL167" s="111"/>
      <c r="BM167" s="117"/>
      <c r="BN167" s="111"/>
      <c r="BO167" s="117"/>
      <c r="BP167" s="117">
        <f t="shared" si="12"/>
        <v>40.4</v>
      </c>
      <c r="BQ167" s="117"/>
      <c r="BR167" s="111"/>
      <c r="BS167" s="118"/>
      <c r="BT167" s="111"/>
      <c r="BU167" s="118"/>
      <c r="BV167" s="111"/>
      <c r="BW167" s="111"/>
      <c r="BX167" s="111"/>
      <c r="BY167" s="111"/>
      <c r="BZ167" s="111"/>
      <c r="CA167" s="111">
        <f t="shared" si="13"/>
        <v>40.4</v>
      </c>
      <c r="CB167" s="119"/>
      <c r="CC167" s="117"/>
      <c r="CD167" s="120">
        <v>46161</v>
      </c>
      <c r="CE167" s="120">
        <v>46161</v>
      </c>
      <c r="CF167" s="120">
        <v>46161</v>
      </c>
      <c r="CG167" s="111"/>
      <c r="CH167" s="132"/>
      <c r="CI167" s="132"/>
      <c r="CJ167" s="111"/>
      <c r="CK167" s="132"/>
    </row>
    <row r="168" spans="1:89" ht="231.95">
      <c r="A168" s="106" t="s">
        <v>261</v>
      </c>
      <c r="B168" s="107">
        <v>8</v>
      </c>
      <c r="C168" s="49">
        <v>0</v>
      </c>
      <c r="D168" s="107">
        <f>Tracker[[#This Row],[Estimated Hrs]]-Tracker[[#This Row],[Actual Efforts (Hrs)]]</f>
        <v>-8</v>
      </c>
      <c r="E168" s="108"/>
      <c r="F168" s="108"/>
      <c r="G168" s="121"/>
      <c r="H168" s="109">
        <v>19163955</v>
      </c>
      <c r="I168" s="149">
        <f>Tracker[[#This Row],[DCR ID - PTC]]</f>
        <v>19163955</v>
      </c>
      <c r="J168" s="108" t="s">
        <v>1015</v>
      </c>
      <c r="K168" s="108" t="s">
        <v>179</v>
      </c>
      <c r="L168" s="108"/>
      <c r="M168" s="108"/>
      <c r="N168" s="580" t="s">
        <v>1016</v>
      </c>
      <c r="O168" s="111" t="s">
        <v>106</v>
      </c>
      <c r="P168" s="111"/>
      <c r="Q168" s="111"/>
      <c r="R168" s="111"/>
      <c r="S168" s="111"/>
      <c r="T168" s="111"/>
      <c r="U168" s="108"/>
      <c r="V168" s="108"/>
      <c r="W168" s="108"/>
      <c r="X168" s="108">
        <f t="shared" si="10"/>
        <v>40.4</v>
      </c>
      <c r="Y168" s="108"/>
      <c r="Z168" s="108"/>
      <c r="AA168" s="108"/>
      <c r="AB168" s="112"/>
      <c r="AC168" s="108"/>
      <c r="AD168" s="108"/>
      <c r="AE168" s="107"/>
      <c r="AF168" s="113"/>
      <c r="AG168" s="115"/>
      <c r="AH168" s="108"/>
      <c r="AI168" s="108"/>
      <c r="AJ168" s="114"/>
      <c r="AK168" s="108"/>
      <c r="AL168" s="115"/>
      <c r="AM168" s="116"/>
      <c r="AN168" s="116"/>
      <c r="AO168" s="139"/>
      <c r="AP168" s="108"/>
      <c r="AQ168" s="107"/>
      <c r="AR168" s="107"/>
      <c r="AS168" s="116"/>
      <c r="AT168" s="114">
        <f t="shared" si="14"/>
        <v>40.4</v>
      </c>
      <c r="AU168" s="114"/>
      <c r="AV168" s="108"/>
      <c r="AW168" s="108"/>
      <c r="AX168" s="108"/>
      <c r="AY168" s="108"/>
      <c r="AZ168" s="108"/>
      <c r="BA168" s="108"/>
      <c r="BB168" s="108"/>
      <c r="BC168" s="108"/>
      <c r="BD168" s="111"/>
      <c r="BE168" s="111">
        <f t="shared" si="11"/>
        <v>40.4</v>
      </c>
      <c r="BF168" s="111"/>
      <c r="BG168" s="111"/>
      <c r="BH168" s="111"/>
      <c r="BI168" s="111"/>
      <c r="BJ168" s="111"/>
      <c r="BK168" s="111"/>
      <c r="BL168" s="111"/>
      <c r="BM168" s="117"/>
      <c r="BN168" s="111"/>
      <c r="BO168" s="117"/>
      <c r="BP168" s="117">
        <f t="shared" si="12"/>
        <v>40.4</v>
      </c>
      <c r="BQ168" s="117"/>
      <c r="BR168" s="111"/>
      <c r="BS168" s="118"/>
      <c r="BT168" s="111"/>
      <c r="BU168" s="118"/>
      <c r="BV168" s="111"/>
      <c r="BW168" s="111"/>
      <c r="BX168" s="111"/>
      <c r="BY168" s="111"/>
      <c r="BZ168" s="111"/>
      <c r="CA168" s="111">
        <f t="shared" si="13"/>
        <v>40.4</v>
      </c>
      <c r="CB168" s="119"/>
      <c r="CC168" s="117"/>
      <c r="CD168" s="132" t="e">
        <v>#N/A</v>
      </c>
      <c r="CE168" s="132" t="e">
        <v>#N/A</v>
      </c>
      <c r="CF168" s="132" t="e">
        <v>#N/A</v>
      </c>
      <c r="CG168" s="111"/>
      <c r="CH168" s="132"/>
      <c r="CI168" s="132"/>
      <c r="CJ168" s="111"/>
      <c r="CK168" s="132"/>
    </row>
    <row r="169" spans="1:89" ht="159.6">
      <c r="A169" s="106" t="s">
        <v>457</v>
      </c>
      <c r="B169" s="107">
        <f>7.75+0.75+0.25+0.25</f>
        <v>9</v>
      </c>
      <c r="C169" s="49">
        <v>10</v>
      </c>
      <c r="D169" s="107">
        <f>Tracker[[#This Row],[Estimated Hrs]]-Tracker[[#This Row],[Actual Efforts (Hrs)]]</f>
        <v>1</v>
      </c>
      <c r="E169" s="108"/>
      <c r="F169" s="108" t="s">
        <v>867</v>
      </c>
      <c r="G169" s="121" t="s">
        <v>867</v>
      </c>
      <c r="H169" s="109">
        <v>19634192</v>
      </c>
      <c r="I169" s="149">
        <f>Tracker[[#This Row],[DCR ID - PTC]]</f>
        <v>19634192</v>
      </c>
      <c r="J169" s="110" t="s">
        <v>461</v>
      </c>
      <c r="K169" s="108" t="s">
        <v>118</v>
      </c>
      <c r="L169" s="108"/>
      <c r="M169" s="108"/>
      <c r="N169" s="580" t="s">
        <v>1017</v>
      </c>
      <c r="O169" s="111" t="s">
        <v>106</v>
      </c>
      <c r="P169" s="111"/>
      <c r="Q169" s="111"/>
      <c r="R169" s="111"/>
      <c r="S169" s="111"/>
      <c r="T169" s="111"/>
      <c r="U169" s="108"/>
      <c r="V169" s="108"/>
      <c r="W169" s="108"/>
      <c r="X169" s="108">
        <f t="shared" si="10"/>
        <v>40.4</v>
      </c>
      <c r="Y169" s="108"/>
      <c r="Z169" s="108"/>
      <c r="AA169" s="108"/>
      <c r="AB169" s="112"/>
      <c r="AC169" s="108"/>
      <c r="AD169" s="108"/>
      <c r="AE169" s="107"/>
      <c r="AF169" s="113"/>
      <c r="AG169" s="115">
        <v>46162</v>
      </c>
      <c r="AH169" s="108"/>
      <c r="AI169" s="108"/>
      <c r="AJ169" s="114"/>
      <c r="AK169" s="108"/>
      <c r="AL169" s="115"/>
      <c r="AM169" s="116"/>
      <c r="AN169" s="116"/>
      <c r="AO169" s="139">
        <v>46170</v>
      </c>
      <c r="AP169" s="108"/>
      <c r="AQ169" s="107"/>
      <c r="AR169" s="107"/>
      <c r="AS169" s="116">
        <v>46171</v>
      </c>
      <c r="AT169" s="114">
        <v>46160</v>
      </c>
      <c r="AU169" s="114">
        <v>46167</v>
      </c>
      <c r="AV169" s="108"/>
      <c r="AW169" s="108"/>
      <c r="AX169" s="108" t="s">
        <v>97</v>
      </c>
      <c r="AY169" s="108" t="s">
        <v>98</v>
      </c>
      <c r="AZ169" s="108"/>
      <c r="BA169" s="108"/>
      <c r="BB169" s="108"/>
      <c r="BC169" s="108"/>
      <c r="BD169" s="111"/>
      <c r="BE169" s="111">
        <f t="shared" si="11"/>
        <v>40.4</v>
      </c>
      <c r="BF169" s="111"/>
      <c r="BG169" s="111"/>
      <c r="BH169" s="111"/>
      <c r="BI169" s="111"/>
      <c r="BJ169" s="111"/>
      <c r="BK169" s="111"/>
      <c r="BL169" s="111"/>
      <c r="BM169" s="117"/>
      <c r="BN169" s="111"/>
      <c r="BO169" s="117"/>
      <c r="BP169" s="117">
        <f t="shared" si="12"/>
        <v>40.4</v>
      </c>
      <c r="BQ169" s="117"/>
      <c r="BR169" s="111"/>
      <c r="BS169" s="118"/>
      <c r="BT169" s="111"/>
      <c r="BU169" s="118"/>
      <c r="BV169" s="111"/>
      <c r="BW169" s="111"/>
      <c r="BX169" s="111"/>
      <c r="BY169" s="111"/>
      <c r="BZ169" s="111"/>
      <c r="CA169" s="111">
        <f t="shared" si="13"/>
        <v>40.4</v>
      </c>
      <c r="CB169" s="119">
        <v>1</v>
      </c>
      <c r="CC169" s="117"/>
      <c r="CD169" s="120">
        <v>46153</v>
      </c>
      <c r="CE169" s="120">
        <v>46153</v>
      </c>
      <c r="CF169" s="120">
        <v>46160</v>
      </c>
      <c r="CG169" s="111"/>
      <c r="CH169" s="132"/>
      <c r="CI169" s="132"/>
      <c r="CJ169" s="111"/>
      <c r="CK169" s="132" t="s">
        <v>882</v>
      </c>
    </row>
    <row r="170" spans="1:89" ht="409.6">
      <c r="A170" s="106" t="s">
        <v>1018</v>
      </c>
      <c r="B170" s="107">
        <f>8+8+8+8+8+8+8+8+8+8+8+8+8+8+8+8+8+5+8+5+8</f>
        <v>162</v>
      </c>
      <c r="C170" s="49">
        <v>0</v>
      </c>
      <c r="D170" s="107">
        <f>Tracker[[#This Row],[Estimated Hrs]]-Tracker[[#This Row],[Actual Efforts (Hrs)]]</f>
        <v>-162</v>
      </c>
      <c r="E170" s="108"/>
      <c r="F170" s="108"/>
      <c r="G170" s="121"/>
      <c r="H170" s="109">
        <v>14966080</v>
      </c>
      <c r="I170" s="149">
        <f>Tracker[[#This Row],[DCR ID - PTC]]</f>
        <v>14966080</v>
      </c>
      <c r="J170" s="108" t="s">
        <v>1019</v>
      </c>
      <c r="K170" s="108" t="s">
        <v>179</v>
      </c>
      <c r="L170" s="108"/>
      <c r="M170" s="108"/>
      <c r="N170" s="580" t="s">
        <v>1020</v>
      </c>
      <c r="O170" s="111" t="s">
        <v>115</v>
      </c>
      <c r="P170" s="111"/>
      <c r="Q170" s="111"/>
      <c r="R170" s="111"/>
      <c r="S170" s="111"/>
      <c r="T170" s="111"/>
      <c r="U170" s="108"/>
      <c r="V170" s="108"/>
      <c r="W170" s="108"/>
      <c r="X170" s="108">
        <f t="shared" si="10"/>
        <v>40.4</v>
      </c>
      <c r="Y170" s="108"/>
      <c r="Z170" s="108"/>
      <c r="AA170" s="108"/>
      <c r="AB170" s="112"/>
      <c r="AC170" s="108"/>
      <c r="AD170" s="108"/>
      <c r="AE170" s="107"/>
      <c r="AF170" s="113"/>
      <c r="AG170" s="115"/>
      <c r="AH170" s="108"/>
      <c r="AI170" s="108"/>
      <c r="AJ170" s="114"/>
      <c r="AK170" s="108"/>
      <c r="AL170" s="115"/>
      <c r="AM170" s="116"/>
      <c r="AN170" s="116"/>
      <c r="AO170" s="139"/>
      <c r="AP170" s="108"/>
      <c r="AQ170" s="107"/>
      <c r="AR170" s="107"/>
      <c r="AS170" s="116"/>
      <c r="AT170" s="114">
        <f t="shared" si="14"/>
        <v>40.4</v>
      </c>
      <c r="AU170" s="114"/>
      <c r="AV170" s="108"/>
      <c r="AW170" s="108"/>
      <c r="AX170" s="108"/>
      <c r="AY170" s="108"/>
      <c r="AZ170" s="108"/>
      <c r="BA170" s="108"/>
      <c r="BB170" s="108"/>
      <c r="BC170" s="108"/>
      <c r="BD170" s="111"/>
      <c r="BE170" s="111">
        <f t="shared" si="11"/>
        <v>40.4</v>
      </c>
      <c r="BF170" s="111"/>
      <c r="BG170" s="111"/>
      <c r="BH170" s="111"/>
      <c r="BI170" s="111"/>
      <c r="BJ170" s="111"/>
      <c r="BK170" s="111"/>
      <c r="BL170" s="111"/>
      <c r="BM170" s="117"/>
      <c r="BN170" s="111"/>
      <c r="BO170" s="117"/>
      <c r="BP170" s="117">
        <f t="shared" si="12"/>
        <v>40.4</v>
      </c>
      <c r="BQ170" s="117"/>
      <c r="BR170" s="111"/>
      <c r="BS170" s="118"/>
      <c r="BT170" s="111"/>
      <c r="BU170" s="118"/>
      <c r="BV170" s="111"/>
      <c r="BW170" s="111"/>
      <c r="BX170" s="111"/>
      <c r="BY170" s="111"/>
      <c r="BZ170" s="111"/>
      <c r="CA170" s="111">
        <f t="shared" si="13"/>
        <v>40.4</v>
      </c>
      <c r="CB170" s="119"/>
      <c r="CC170" s="117"/>
      <c r="CD170" s="132" t="e">
        <v>#N/A</v>
      </c>
      <c r="CE170" s="132" t="e">
        <v>#N/A</v>
      </c>
      <c r="CF170" s="132" t="e">
        <v>#N/A</v>
      </c>
      <c r="CG170" s="111"/>
      <c r="CH170" s="132"/>
      <c r="CI170" s="132"/>
      <c r="CJ170" s="111"/>
      <c r="CK170" s="132"/>
    </row>
    <row r="171" spans="1:89" ht="409.6">
      <c r="A171" s="106" t="s">
        <v>804</v>
      </c>
      <c r="B171" s="107">
        <f>8+8+8+8+8+8+8+8+8+8+8+8+8+8+8+8+8+8+8+8+8+8+8+8+8+8+8+8+8+8+8</f>
        <v>248</v>
      </c>
      <c r="C171" s="49">
        <v>0</v>
      </c>
      <c r="D171" s="107">
        <f>Tracker[[#This Row],[Estimated Hrs]]-Tracker[[#This Row],[Actual Efforts (Hrs)]]</f>
        <v>-248</v>
      </c>
      <c r="E171" s="108"/>
      <c r="F171" s="108"/>
      <c r="G171" s="121"/>
      <c r="H171" s="109">
        <v>12942271</v>
      </c>
      <c r="I171" s="149">
        <f>Tracker[[#This Row],[DCR ID - PTC]]</f>
        <v>12942271</v>
      </c>
      <c r="J171" s="108" t="s">
        <v>1019</v>
      </c>
      <c r="K171" s="108" t="s">
        <v>179</v>
      </c>
      <c r="L171" s="108"/>
      <c r="M171" s="108"/>
      <c r="N171" s="580" t="s">
        <v>1021</v>
      </c>
      <c r="O171" s="111" t="s">
        <v>115</v>
      </c>
      <c r="P171" s="111"/>
      <c r="Q171" s="111"/>
      <c r="R171" s="111"/>
      <c r="S171" s="111"/>
      <c r="T171" s="111"/>
      <c r="U171" s="108"/>
      <c r="V171" s="108"/>
      <c r="W171" s="108"/>
      <c r="X171" s="108">
        <f t="shared" si="10"/>
        <v>40.4</v>
      </c>
      <c r="Y171" s="108"/>
      <c r="Z171" s="108"/>
      <c r="AA171" s="108"/>
      <c r="AB171" s="112"/>
      <c r="AC171" s="108"/>
      <c r="AD171" s="108"/>
      <c r="AE171" s="107"/>
      <c r="AF171" s="113"/>
      <c r="AG171" s="115"/>
      <c r="AH171" s="108"/>
      <c r="AI171" s="108"/>
      <c r="AJ171" s="114"/>
      <c r="AK171" s="108"/>
      <c r="AL171" s="115"/>
      <c r="AM171" s="116"/>
      <c r="AN171" s="116"/>
      <c r="AO171" s="139"/>
      <c r="AP171" s="108"/>
      <c r="AQ171" s="107"/>
      <c r="AR171" s="107"/>
      <c r="AS171" s="116"/>
      <c r="AT171" s="114">
        <f t="shared" si="14"/>
        <v>40.4</v>
      </c>
      <c r="AU171" s="114"/>
      <c r="AV171" s="108"/>
      <c r="AW171" s="108"/>
      <c r="AX171" s="108"/>
      <c r="AY171" s="108"/>
      <c r="AZ171" s="108"/>
      <c r="BA171" s="108"/>
      <c r="BB171" s="108"/>
      <c r="BC171" s="108"/>
      <c r="BD171" s="111"/>
      <c r="BE171" s="111">
        <f t="shared" si="11"/>
        <v>40.4</v>
      </c>
      <c r="BF171" s="111"/>
      <c r="BG171" s="111"/>
      <c r="BH171" s="111"/>
      <c r="BI171" s="111"/>
      <c r="BJ171" s="111"/>
      <c r="BK171" s="111"/>
      <c r="BL171" s="111"/>
      <c r="BM171" s="117"/>
      <c r="BN171" s="111"/>
      <c r="BO171" s="117"/>
      <c r="BP171" s="117">
        <f t="shared" si="12"/>
        <v>40.4</v>
      </c>
      <c r="BQ171" s="117"/>
      <c r="BR171" s="111"/>
      <c r="BS171" s="118"/>
      <c r="BT171" s="111"/>
      <c r="BU171" s="118"/>
      <c r="BV171" s="111"/>
      <c r="BW171" s="111"/>
      <c r="BX171" s="111"/>
      <c r="BY171" s="111"/>
      <c r="BZ171" s="111"/>
      <c r="CA171" s="111">
        <f t="shared" si="13"/>
        <v>40.4</v>
      </c>
      <c r="CB171" s="119"/>
      <c r="CC171" s="117"/>
      <c r="CD171" s="132" t="e">
        <v>#N/A</v>
      </c>
      <c r="CE171" s="132" t="e">
        <v>#N/A</v>
      </c>
      <c r="CF171" s="132" t="e">
        <v>#N/A</v>
      </c>
      <c r="CG171" s="111"/>
      <c r="CH171" s="132"/>
      <c r="CI171" s="132"/>
      <c r="CJ171" s="111"/>
      <c r="CK171" s="132"/>
    </row>
    <row r="172" spans="1:89" ht="409.6">
      <c r="A172" s="106" t="s">
        <v>171</v>
      </c>
      <c r="B172" s="107">
        <f>7+7.5+1+7.75+7.75+6.5+4+3+0.75+3+2.5+2+7.75+7.75+0.75+1.75</f>
        <v>70.75</v>
      </c>
      <c r="C172" s="49">
        <v>50</v>
      </c>
      <c r="D172" s="107">
        <f>Tracker[[#This Row],[Estimated Hrs]]-Tracker[[#This Row],[Actual Efforts (Hrs)]]</f>
        <v>-20.75</v>
      </c>
      <c r="E172" s="108"/>
      <c r="F172" s="108"/>
      <c r="G172" s="121"/>
      <c r="H172" s="109">
        <v>19734138</v>
      </c>
      <c r="I172" s="149">
        <f>Tracker[[#This Row],[DCR ID - PTC]]</f>
        <v>19734138</v>
      </c>
      <c r="J172" s="417" t="s">
        <v>1022</v>
      </c>
      <c r="K172" s="108" t="s">
        <v>101</v>
      </c>
      <c r="L172" s="108"/>
      <c r="M172" s="108"/>
      <c r="N172" s="640" t="s">
        <v>1023</v>
      </c>
      <c r="O172" s="111" t="s">
        <v>115</v>
      </c>
      <c r="P172" s="111"/>
      <c r="Q172" s="111"/>
      <c r="R172" s="111"/>
      <c r="S172" s="111"/>
      <c r="T172" s="111"/>
      <c r="U172" s="108"/>
      <c r="V172" s="108"/>
      <c r="W172" s="108"/>
      <c r="X172" s="108">
        <f t="shared" si="10"/>
        <v>40.4</v>
      </c>
      <c r="Y172" s="108"/>
      <c r="Z172" s="108"/>
      <c r="AA172" s="108"/>
      <c r="AB172" s="112"/>
      <c r="AC172" s="108"/>
      <c r="AD172" s="108"/>
      <c r="AE172" s="107"/>
      <c r="AF172" s="113"/>
      <c r="AG172" s="115"/>
      <c r="AH172" s="108"/>
      <c r="AI172" s="108"/>
      <c r="AJ172" s="114"/>
      <c r="AK172" s="108"/>
      <c r="AL172" s="115"/>
      <c r="AM172" s="116"/>
      <c r="AN172" s="116"/>
      <c r="AO172" s="139"/>
      <c r="AP172" s="108"/>
      <c r="AQ172" s="107"/>
      <c r="AR172" s="107"/>
      <c r="AS172" s="116"/>
      <c r="AT172" s="114">
        <f t="shared" si="14"/>
        <v>40.4</v>
      </c>
      <c r="AU172" s="114"/>
      <c r="AV172" s="108"/>
      <c r="AW172" s="108"/>
      <c r="AX172" s="108"/>
      <c r="AY172" s="108"/>
      <c r="AZ172" s="108"/>
      <c r="BA172" s="108"/>
      <c r="BB172" s="108"/>
      <c r="BC172" s="108"/>
      <c r="BD172" s="111"/>
      <c r="BE172" s="111">
        <f t="shared" si="11"/>
        <v>40.4</v>
      </c>
      <c r="BF172" s="111"/>
      <c r="BG172" s="111"/>
      <c r="BH172" s="111"/>
      <c r="BI172" s="111"/>
      <c r="BJ172" s="111"/>
      <c r="BK172" s="111"/>
      <c r="BL172" s="111"/>
      <c r="BM172" s="117"/>
      <c r="BN172" s="111"/>
      <c r="BO172" s="117"/>
      <c r="BP172" s="117">
        <f t="shared" si="12"/>
        <v>40.4</v>
      </c>
      <c r="BQ172" s="117"/>
      <c r="BR172" s="111"/>
      <c r="BS172" s="118"/>
      <c r="BT172" s="111"/>
      <c r="BU172" s="118"/>
      <c r="BV172" s="111"/>
      <c r="BW172" s="111"/>
      <c r="BX172" s="111"/>
      <c r="BY172" s="111"/>
      <c r="BZ172" s="111"/>
      <c r="CA172" s="111">
        <f t="shared" si="13"/>
        <v>40.4</v>
      </c>
      <c r="CB172" s="119"/>
      <c r="CC172" s="117"/>
      <c r="CD172" s="132">
        <v>0</v>
      </c>
      <c r="CE172" s="132">
        <v>0</v>
      </c>
      <c r="CF172" s="132">
        <v>0</v>
      </c>
      <c r="CG172" s="111"/>
      <c r="CH172" s="132"/>
      <c r="CI172" s="132"/>
      <c r="CJ172" s="111"/>
      <c r="CK172" s="132"/>
    </row>
    <row r="173" spans="1:89" ht="29.1">
      <c r="A173" s="147" t="s">
        <v>510</v>
      </c>
      <c r="B173" s="107"/>
      <c r="C173" s="49">
        <v>0</v>
      </c>
      <c r="D173" s="107">
        <f>Tracker[[#This Row],[Estimated Hrs]]-Tracker[[#This Row],[Actual Efforts (Hrs)]]</f>
        <v>0</v>
      </c>
      <c r="E173" s="108"/>
      <c r="F173" s="108"/>
      <c r="G173" s="121"/>
      <c r="H173" s="109">
        <v>19392732</v>
      </c>
      <c r="I173" s="149">
        <f>Tracker[[#This Row],[DCR ID - PTC]]</f>
        <v>19392732</v>
      </c>
      <c r="J173" s="108" t="s">
        <v>1024</v>
      </c>
      <c r="K173" s="108" t="s">
        <v>104</v>
      </c>
      <c r="L173" s="108"/>
      <c r="M173" s="108"/>
      <c r="N173" s="580" t="s">
        <v>1025</v>
      </c>
      <c r="O173" s="111" t="s">
        <v>115</v>
      </c>
      <c r="P173" s="111"/>
      <c r="Q173" s="111"/>
      <c r="R173" s="111"/>
      <c r="S173" s="111"/>
      <c r="T173" s="111"/>
      <c r="U173" s="108"/>
      <c r="V173" s="108"/>
      <c r="W173" s="108"/>
      <c r="X173" s="108">
        <f t="shared" si="10"/>
        <v>40.4</v>
      </c>
      <c r="Y173" s="108"/>
      <c r="Z173" s="108"/>
      <c r="AA173" s="108"/>
      <c r="AB173" s="112"/>
      <c r="AC173" s="108"/>
      <c r="AD173" s="108"/>
      <c r="AE173" s="107"/>
      <c r="AF173" s="113"/>
      <c r="AG173" s="115"/>
      <c r="AH173" s="108"/>
      <c r="AI173" s="108"/>
      <c r="AJ173" s="114"/>
      <c r="AK173" s="108"/>
      <c r="AL173" s="115"/>
      <c r="AM173" s="116"/>
      <c r="AN173" s="116"/>
      <c r="AO173" s="139"/>
      <c r="AP173" s="108"/>
      <c r="AQ173" s="107"/>
      <c r="AR173" s="107"/>
      <c r="AS173" s="116"/>
      <c r="AT173" s="114">
        <f t="shared" si="14"/>
        <v>40.4</v>
      </c>
      <c r="AU173" s="114"/>
      <c r="AV173" s="108"/>
      <c r="AW173" s="108"/>
      <c r="AX173" s="108"/>
      <c r="AY173" s="108"/>
      <c r="AZ173" s="108"/>
      <c r="BA173" s="108"/>
      <c r="BB173" s="108"/>
      <c r="BC173" s="108"/>
      <c r="BD173" s="111"/>
      <c r="BE173" s="111">
        <f t="shared" si="11"/>
        <v>40.4</v>
      </c>
      <c r="BF173" s="111"/>
      <c r="BG173" s="111"/>
      <c r="BH173" s="111"/>
      <c r="BI173" s="111"/>
      <c r="BJ173" s="111"/>
      <c r="BK173" s="111"/>
      <c r="BL173" s="111"/>
      <c r="BM173" s="117"/>
      <c r="BN173" s="111"/>
      <c r="BO173" s="117"/>
      <c r="BP173" s="117">
        <f t="shared" si="12"/>
        <v>40.4</v>
      </c>
      <c r="BQ173" s="117"/>
      <c r="BR173" s="111"/>
      <c r="BS173" s="118"/>
      <c r="BT173" s="111"/>
      <c r="BU173" s="118"/>
      <c r="BV173" s="111"/>
      <c r="BW173" s="111"/>
      <c r="BX173" s="111"/>
      <c r="BY173" s="111"/>
      <c r="BZ173" s="111"/>
      <c r="CA173" s="111">
        <f t="shared" si="13"/>
        <v>40.4</v>
      </c>
      <c r="CB173" s="119"/>
      <c r="CC173" s="117"/>
      <c r="CD173" s="132">
        <v>46170</v>
      </c>
      <c r="CE173" s="132">
        <v>46217</v>
      </c>
      <c r="CF173" s="132">
        <v>46220</v>
      </c>
      <c r="CG173" s="111"/>
      <c r="CH173" s="132"/>
      <c r="CI173" s="132"/>
      <c r="CJ173" s="111"/>
      <c r="CK173" s="132"/>
    </row>
    <row r="174" spans="1:89" ht="29.1">
      <c r="A174" s="106" t="s">
        <v>510</v>
      </c>
      <c r="B174" s="107"/>
      <c r="C174" s="49">
        <v>0</v>
      </c>
      <c r="D174" s="107">
        <f>Tracker[[#This Row],[Estimated Hrs]]-Tracker[[#This Row],[Actual Efforts (Hrs)]]</f>
        <v>0</v>
      </c>
      <c r="E174" s="108"/>
      <c r="F174" s="108"/>
      <c r="G174" s="121"/>
      <c r="H174" s="109">
        <v>19392732</v>
      </c>
      <c r="I174" s="149">
        <f>Tracker[[#This Row],[DCR ID - PTC]]</f>
        <v>19392732</v>
      </c>
      <c r="J174" s="108" t="s">
        <v>1024</v>
      </c>
      <c r="K174" s="108" t="s">
        <v>118</v>
      </c>
      <c r="L174" s="108"/>
      <c r="M174" s="108"/>
      <c r="N174" s="580"/>
      <c r="O174" s="111" t="s">
        <v>122</v>
      </c>
      <c r="P174" s="111"/>
      <c r="Q174" s="111"/>
      <c r="R174" s="111"/>
      <c r="S174" s="111"/>
      <c r="T174" s="111"/>
      <c r="U174" s="108"/>
      <c r="V174" s="108"/>
      <c r="W174" s="108"/>
      <c r="X174" s="108">
        <f t="shared" si="10"/>
        <v>40.4</v>
      </c>
      <c r="Y174" s="108"/>
      <c r="Z174" s="108"/>
      <c r="AA174" s="108"/>
      <c r="AB174" s="112"/>
      <c r="AC174" s="108"/>
      <c r="AD174" s="108"/>
      <c r="AE174" s="107"/>
      <c r="AF174" s="113"/>
      <c r="AG174" s="115"/>
      <c r="AH174" s="108"/>
      <c r="AI174" s="108"/>
      <c r="AJ174" s="114"/>
      <c r="AK174" s="108"/>
      <c r="AL174" s="115"/>
      <c r="AM174" s="116"/>
      <c r="AN174" s="116"/>
      <c r="AO174" s="139"/>
      <c r="AP174" s="108"/>
      <c r="AQ174" s="107"/>
      <c r="AR174" s="107"/>
      <c r="AS174" s="116"/>
      <c r="AT174" s="114">
        <f t="shared" si="14"/>
        <v>40.4</v>
      </c>
      <c r="AU174" s="114"/>
      <c r="AV174" s="108"/>
      <c r="AW174" s="108"/>
      <c r="AX174" s="108"/>
      <c r="AY174" s="108"/>
      <c r="AZ174" s="108"/>
      <c r="BA174" s="108"/>
      <c r="BB174" s="108"/>
      <c r="BC174" s="108"/>
      <c r="BD174" s="111"/>
      <c r="BE174" s="111">
        <f t="shared" si="11"/>
        <v>40.4</v>
      </c>
      <c r="BF174" s="111"/>
      <c r="BG174" s="111"/>
      <c r="BH174" s="111"/>
      <c r="BI174" s="111"/>
      <c r="BJ174" s="111"/>
      <c r="BK174" s="111"/>
      <c r="BL174" s="111"/>
      <c r="BM174" s="117"/>
      <c r="BN174" s="111"/>
      <c r="BO174" s="117"/>
      <c r="BP174" s="117">
        <f t="shared" si="12"/>
        <v>40.4</v>
      </c>
      <c r="BQ174" s="117"/>
      <c r="BR174" s="111"/>
      <c r="BS174" s="118"/>
      <c r="BT174" s="111"/>
      <c r="BU174" s="118"/>
      <c r="BV174" s="111"/>
      <c r="BW174" s="111"/>
      <c r="BX174" s="111"/>
      <c r="BY174" s="111"/>
      <c r="BZ174" s="111"/>
      <c r="CA174" s="111">
        <f t="shared" si="13"/>
        <v>40.4</v>
      </c>
      <c r="CB174" s="119"/>
      <c r="CC174" s="117"/>
      <c r="CD174" s="120">
        <v>46211</v>
      </c>
      <c r="CE174" s="120">
        <v>46217</v>
      </c>
      <c r="CF174" s="120">
        <v>46220</v>
      </c>
      <c r="CG174" s="111"/>
      <c r="CH174" s="132"/>
      <c r="CI174" s="132"/>
      <c r="CJ174" s="111"/>
      <c r="CK174" s="132"/>
    </row>
    <row r="175" spans="1:89" ht="29.1">
      <c r="A175" s="106" t="s">
        <v>510</v>
      </c>
      <c r="B175" s="107"/>
      <c r="C175" s="49">
        <v>0</v>
      </c>
      <c r="D175" s="107">
        <f>Tracker[[#This Row],[Estimated Hrs]]-Tracker[[#This Row],[Actual Efforts (Hrs)]]</f>
        <v>0</v>
      </c>
      <c r="E175" s="108"/>
      <c r="F175" s="108"/>
      <c r="G175" s="121"/>
      <c r="H175" s="109">
        <v>19657044</v>
      </c>
      <c r="I175" s="149">
        <f>Tracker[[#This Row],[DCR ID - PTC]]</f>
        <v>19657044</v>
      </c>
      <c r="J175" s="108" t="s">
        <v>1026</v>
      </c>
      <c r="K175" s="108" t="s">
        <v>104</v>
      </c>
      <c r="L175" s="108"/>
      <c r="M175" s="108"/>
      <c r="N175" s="580" t="s">
        <v>1025</v>
      </c>
      <c r="O175" s="111" t="s">
        <v>106</v>
      </c>
      <c r="P175" s="111"/>
      <c r="Q175" s="111"/>
      <c r="R175" s="111"/>
      <c r="S175" s="111"/>
      <c r="T175" s="111"/>
      <c r="U175" s="108"/>
      <c r="V175" s="108"/>
      <c r="W175" s="108"/>
      <c r="X175" s="108">
        <f t="shared" si="10"/>
        <v>40.4</v>
      </c>
      <c r="Y175" s="108"/>
      <c r="Z175" s="108"/>
      <c r="AA175" s="108"/>
      <c r="AB175" s="112"/>
      <c r="AC175" s="108"/>
      <c r="AD175" s="108"/>
      <c r="AE175" s="107"/>
      <c r="AF175" s="113"/>
      <c r="AG175" s="115"/>
      <c r="AH175" s="108"/>
      <c r="AI175" s="108"/>
      <c r="AJ175" s="114"/>
      <c r="AK175" s="108"/>
      <c r="AL175" s="115"/>
      <c r="AM175" s="116"/>
      <c r="AN175" s="116"/>
      <c r="AO175" s="139"/>
      <c r="AP175" s="108"/>
      <c r="AQ175" s="107"/>
      <c r="AR175" s="107"/>
      <c r="AS175" s="116"/>
      <c r="AT175" s="114">
        <f t="shared" si="14"/>
        <v>40.4</v>
      </c>
      <c r="AU175" s="114"/>
      <c r="AV175" s="108"/>
      <c r="AW175" s="108"/>
      <c r="AX175" s="108"/>
      <c r="AY175" s="108"/>
      <c r="AZ175" s="108"/>
      <c r="BA175" s="108"/>
      <c r="BB175" s="108"/>
      <c r="BC175" s="108"/>
      <c r="BD175" s="111"/>
      <c r="BE175" s="111">
        <f t="shared" si="11"/>
        <v>40.4</v>
      </c>
      <c r="BF175" s="111"/>
      <c r="BG175" s="111"/>
      <c r="BH175" s="111"/>
      <c r="BI175" s="111"/>
      <c r="BJ175" s="111"/>
      <c r="BK175" s="111"/>
      <c r="BL175" s="111"/>
      <c r="BM175" s="117"/>
      <c r="BN175" s="111"/>
      <c r="BO175" s="117"/>
      <c r="BP175" s="117">
        <f t="shared" si="12"/>
        <v>40.4</v>
      </c>
      <c r="BQ175" s="117"/>
      <c r="BR175" s="111"/>
      <c r="BS175" s="118"/>
      <c r="BT175" s="111"/>
      <c r="BU175" s="118"/>
      <c r="BV175" s="111"/>
      <c r="BW175" s="111"/>
      <c r="BX175" s="111"/>
      <c r="BY175" s="111"/>
      <c r="BZ175" s="111"/>
      <c r="CA175" s="111">
        <f t="shared" si="13"/>
        <v>40.4</v>
      </c>
      <c r="CB175" s="119"/>
      <c r="CC175" s="117"/>
      <c r="CD175" s="132">
        <v>0</v>
      </c>
      <c r="CE175" s="132">
        <v>0</v>
      </c>
      <c r="CF175" s="132">
        <v>0</v>
      </c>
      <c r="CG175" s="111"/>
      <c r="CH175" s="132"/>
      <c r="CI175" s="132"/>
      <c r="CJ175" s="111"/>
      <c r="CK175" s="132"/>
    </row>
    <row r="176" spans="1:89" ht="29.1">
      <c r="A176" s="106" t="s">
        <v>510</v>
      </c>
      <c r="B176" s="107"/>
      <c r="C176" s="49">
        <v>0</v>
      </c>
      <c r="D176" s="107">
        <f>Tracker[[#This Row],[Estimated Hrs]]-Tracker[[#This Row],[Actual Efforts (Hrs)]]</f>
        <v>0</v>
      </c>
      <c r="E176" s="108"/>
      <c r="F176" s="108"/>
      <c r="G176" s="121"/>
      <c r="H176" s="109">
        <v>19657044</v>
      </c>
      <c r="I176" s="149">
        <f>Tracker[[#This Row],[DCR ID - PTC]]</f>
        <v>19657044</v>
      </c>
      <c r="J176" s="108" t="s">
        <v>1026</v>
      </c>
      <c r="K176" s="108" t="s">
        <v>118</v>
      </c>
      <c r="L176" s="108"/>
      <c r="M176" s="108"/>
      <c r="N176" s="580"/>
      <c r="O176" s="111" t="s">
        <v>122</v>
      </c>
      <c r="P176" s="111"/>
      <c r="Q176" s="111"/>
      <c r="R176" s="111"/>
      <c r="S176" s="111"/>
      <c r="T176" s="111"/>
      <c r="U176" s="108"/>
      <c r="V176" s="108"/>
      <c r="W176" s="108"/>
      <c r="X176" s="108">
        <f t="shared" si="10"/>
        <v>40.4</v>
      </c>
      <c r="Y176" s="108"/>
      <c r="Z176" s="108"/>
      <c r="AA176" s="108"/>
      <c r="AB176" s="112"/>
      <c r="AC176" s="108"/>
      <c r="AD176" s="108"/>
      <c r="AE176" s="107"/>
      <c r="AF176" s="113"/>
      <c r="AG176" s="115"/>
      <c r="AH176" s="108"/>
      <c r="AI176" s="108"/>
      <c r="AJ176" s="114"/>
      <c r="AK176" s="108"/>
      <c r="AL176" s="115"/>
      <c r="AM176" s="116"/>
      <c r="AN176" s="116"/>
      <c r="AO176" s="139"/>
      <c r="AP176" s="108"/>
      <c r="AQ176" s="107"/>
      <c r="AR176" s="107"/>
      <c r="AS176" s="116"/>
      <c r="AT176" s="114">
        <f t="shared" si="14"/>
        <v>40.4</v>
      </c>
      <c r="AU176" s="114"/>
      <c r="AV176" s="108"/>
      <c r="AW176" s="108"/>
      <c r="AX176" s="108"/>
      <c r="AY176" s="108"/>
      <c r="AZ176" s="108"/>
      <c r="BA176" s="108"/>
      <c r="BB176" s="108"/>
      <c r="BC176" s="108"/>
      <c r="BD176" s="111"/>
      <c r="BE176" s="111">
        <f t="shared" si="11"/>
        <v>40.4</v>
      </c>
      <c r="BF176" s="111"/>
      <c r="BG176" s="111"/>
      <c r="BH176" s="111"/>
      <c r="BI176" s="111"/>
      <c r="BJ176" s="111"/>
      <c r="BK176" s="111"/>
      <c r="BL176" s="111"/>
      <c r="BM176" s="117"/>
      <c r="BN176" s="111"/>
      <c r="BO176" s="117"/>
      <c r="BP176" s="117">
        <f t="shared" si="12"/>
        <v>40.4</v>
      </c>
      <c r="BQ176" s="117"/>
      <c r="BR176" s="111"/>
      <c r="BS176" s="118"/>
      <c r="BT176" s="111"/>
      <c r="BU176" s="118"/>
      <c r="BV176" s="111"/>
      <c r="BW176" s="111"/>
      <c r="BX176" s="111"/>
      <c r="BY176" s="111"/>
      <c r="BZ176" s="111"/>
      <c r="CA176" s="111">
        <f t="shared" si="13"/>
        <v>40.4</v>
      </c>
      <c r="CB176" s="119"/>
      <c r="CC176" s="117"/>
      <c r="CD176" s="120">
        <v>0</v>
      </c>
      <c r="CE176" s="120">
        <v>0</v>
      </c>
      <c r="CF176" s="120">
        <v>0</v>
      </c>
      <c r="CG176" s="111"/>
      <c r="CH176" s="132"/>
      <c r="CI176" s="132"/>
      <c r="CJ176" s="111"/>
      <c r="CK176" s="132"/>
    </row>
    <row r="177" spans="1:89" ht="57.95">
      <c r="A177" s="106" t="s">
        <v>457</v>
      </c>
      <c r="B177" s="107">
        <v>0</v>
      </c>
      <c r="C177" s="49">
        <v>180</v>
      </c>
      <c r="D177" s="107">
        <v>0</v>
      </c>
      <c r="E177" s="108"/>
      <c r="F177" s="108"/>
      <c r="G177" s="121"/>
      <c r="H177" s="109">
        <v>19572045</v>
      </c>
      <c r="I177" s="149">
        <f>Tracker[[#This Row],[DCR ID - PTC]]</f>
        <v>19572045</v>
      </c>
      <c r="J177" s="108" t="s">
        <v>868</v>
      </c>
      <c r="K177" s="108" t="s">
        <v>118</v>
      </c>
      <c r="L177" s="108"/>
      <c r="M177" s="108"/>
      <c r="N177" s="580"/>
      <c r="O177" s="111" t="s">
        <v>115</v>
      </c>
      <c r="P177" s="111"/>
      <c r="Q177" s="111"/>
      <c r="R177" s="111"/>
      <c r="S177" s="111"/>
      <c r="T177" s="111"/>
      <c r="U177" s="108"/>
      <c r="V177" s="108"/>
      <c r="W177" s="108"/>
      <c r="X177" s="108">
        <f t="shared" si="10"/>
        <v>40.4</v>
      </c>
      <c r="Y177" s="108"/>
      <c r="Z177" s="108"/>
      <c r="AA177" s="108"/>
      <c r="AB177" s="112"/>
      <c r="AC177" s="108"/>
      <c r="AD177" s="108"/>
      <c r="AE177" s="107"/>
      <c r="AF177" s="113"/>
      <c r="AG177" s="115"/>
      <c r="AH177" s="108"/>
      <c r="AI177" s="108"/>
      <c r="AJ177" s="114"/>
      <c r="AK177" s="108"/>
      <c r="AL177" s="115"/>
      <c r="AM177" s="116"/>
      <c r="AN177" s="116"/>
      <c r="AO177" s="139"/>
      <c r="AP177" s="108"/>
      <c r="AQ177" s="107"/>
      <c r="AR177" s="107"/>
      <c r="AS177" s="116"/>
      <c r="AT177" s="114">
        <f t="shared" si="14"/>
        <v>40.4</v>
      </c>
      <c r="AU177" s="114"/>
      <c r="AV177" s="108"/>
      <c r="AW177" s="108"/>
      <c r="AX177" s="108"/>
      <c r="AY177" s="108"/>
      <c r="AZ177" s="108"/>
      <c r="BA177" s="108"/>
      <c r="BB177" s="108"/>
      <c r="BC177" s="108"/>
      <c r="BD177" s="111"/>
      <c r="BE177" s="111">
        <f t="shared" si="11"/>
        <v>40.4</v>
      </c>
      <c r="BF177" s="111"/>
      <c r="BG177" s="111"/>
      <c r="BH177" s="111"/>
      <c r="BI177" s="111"/>
      <c r="BJ177" s="111"/>
      <c r="BK177" s="111"/>
      <c r="BL177" s="111"/>
      <c r="BM177" s="117"/>
      <c r="BN177" s="111"/>
      <c r="BO177" s="117"/>
      <c r="BP177" s="117">
        <f t="shared" si="12"/>
        <v>40.4</v>
      </c>
      <c r="BQ177" s="117"/>
      <c r="BR177" s="111"/>
      <c r="BS177" s="118"/>
      <c r="BT177" s="111"/>
      <c r="BU177" s="118"/>
      <c r="BV177" s="111"/>
      <c r="BW177" s="111"/>
      <c r="BX177" s="111"/>
      <c r="BY177" s="111"/>
      <c r="BZ177" s="111"/>
      <c r="CA177" s="111">
        <f t="shared" si="13"/>
        <v>40.4</v>
      </c>
      <c r="CB177" s="119"/>
      <c r="CC177" s="117"/>
      <c r="CD177" s="120">
        <v>0</v>
      </c>
      <c r="CE177" s="120">
        <v>0</v>
      </c>
      <c r="CF177" s="120">
        <v>0</v>
      </c>
      <c r="CG177" s="111"/>
      <c r="CH177" s="132"/>
      <c r="CI177" s="132"/>
      <c r="CJ177" s="111"/>
      <c r="CK177" s="132"/>
    </row>
    <row r="178" spans="1:89" ht="409.5">
      <c r="A178" s="106" t="s">
        <v>212</v>
      </c>
      <c r="B178" s="107">
        <f>4+8+8+8+10+0.25+0.15+2</f>
        <v>40.4</v>
      </c>
      <c r="C178" s="49">
        <v>32.5</v>
      </c>
      <c r="D178" s="107">
        <f>Tracker[[#This Row],[Estimated Hrs]]-Tracker[[#This Row],[Actual Efforts (Hrs)]]</f>
        <v>-7.8999999999999986</v>
      </c>
      <c r="E178" s="108"/>
      <c r="F178" s="108" t="s">
        <v>867</v>
      </c>
      <c r="G178" s="121" t="s">
        <v>867</v>
      </c>
      <c r="H178" s="109">
        <v>19661917</v>
      </c>
      <c r="I178" s="149">
        <f>Tracker[[#This Row],[DCR ID - PTC]]</f>
        <v>19661917</v>
      </c>
      <c r="J178" s="108" t="s">
        <v>1027</v>
      </c>
      <c r="K178" s="108" t="s">
        <v>118</v>
      </c>
      <c r="L178" s="108"/>
      <c r="M178" s="108"/>
      <c r="N178" s="580" t="s">
        <v>1028</v>
      </c>
      <c r="O178" s="111" t="s">
        <v>106</v>
      </c>
      <c r="P178" s="111"/>
      <c r="Q178" s="111"/>
      <c r="R178" s="111"/>
      <c r="S178" s="111"/>
      <c r="T178" s="111"/>
      <c r="U178" s="108"/>
      <c r="V178" s="108"/>
      <c r="W178" s="108"/>
      <c r="X178" s="108">
        <f t="shared" si="10"/>
        <v>40.4</v>
      </c>
      <c r="Y178" s="108"/>
      <c r="Z178" s="108"/>
      <c r="AA178" s="108"/>
      <c r="AB178" s="112"/>
      <c r="AC178" s="108"/>
      <c r="AD178" s="108"/>
      <c r="AE178" s="107"/>
      <c r="AF178" s="113"/>
      <c r="AG178" s="115">
        <v>46161</v>
      </c>
      <c r="AH178" s="108"/>
      <c r="AI178" s="108"/>
      <c r="AJ178" s="114"/>
      <c r="AK178" s="108"/>
      <c r="AL178" s="115"/>
      <c r="AM178" s="116"/>
      <c r="AN178" s="116"/>
      <c r="AO178" s="139">
        <v>46164</v>
      </c>
      <c r="AP178" s="108"/>
      <c r="AQ178" s="107"/>
      <c r="AR178" s="107"/>
      <c r="AS178" s="116">
        <v>46168</v>
      </c>
      <c r="AT178" s="114">
        <v>46163</v>
      </c>
      <c r="AU178" s="114">
        <v>46163</v>
      </c>
      <c r="AV178" s="108"/>
      <c r="AW178" s="108"/>
      <c r="AX178" s="108" t="s">
        <v>97</v>
      </c>
      <c r="AY178" s="108" t="s">
        <v>98</v>
      </c>
      <c r="AZ178" s="108"/>
      <c r="BA178" s="108"/>
      <c r="BB178" s="108"/>
      <c r="BC178" s="108"/>
      <c r="BD178" s="111"/>
      <c r="BE178" s="111">
        <f t="shared" si="11"/>
        <v>40.4</v>
      </c>
      <c r="BF178" s="111"/>
      <c r="BG178" s="111"/>
      <c r="BH178" s="111"/>
      <c r="BI178" s="111"/>
      <c r="BJ178" s="111"/>
      <c r="BK178" s="111"/>
      <c r="BL178" s="111"/>
      <c r="BM178" s="117"/>
      <c r="BN178" s="111"/>
      <c r="BO178" s="117"/>
      <c r="BP178" s="117">
        <f t="shared" si="12"/>
        <v>40.4</v>
      </c>
      <c r="BQ178" s="117"/>
      <c r="BR178" s="111"/>
      <c r="BS178" s="118"/>
      <c r="BT178" s="111"/>
      <c r="BU178" s="118"/>
      <c r="BV178" s="111"/>
      <c r="BW178" s="111"/>
      <c r="BX178" s="111"/>
      <c r="BY178" s="111"/>
      <c r="BZ178" s="111"/>
      <c r="CA178" s="111">
        <f t="shared" si="13"/>
        <v>40.4</v>
      </c>
      <c r="CB178" s="119">
        <v>1</v>
      </c>
      <c r="CC178" s="117"/>
      <c r="CD178" s="120" t="s">
        <v>916</v>
      </c>
      <c r="CE178" s="120" t="s">
        <v>917</v>
      </c>
      <c r="CF178" s="120" t="s">
        <v>918</v>
      </c>
      <c r="CG178" s="111"/>
      <c r="CH178" s="132"/>
      <c r="CI178" s="132"/>
      <c r="CJ178" s="111"/>
      <c r="CK178" s="132" t="s">
        <v>882</v>
      </c>
    </row>
    <row r="179" spans="1:89" ht="409.6">
      <c r="A179" s="106" t="s">
        <v>457</v>
      </c>
      <c r="B179" s="107">
        <f>7+3+8+5+1+0.75+1.75+0.25+1+0.5+3.75</f>
        <v>32</v>
      </c>
      <c r="C179" s="49">
        <v>15</v>
      </c>
      <c r="D179" s="107">
        <f>Tracker[[#This Row],[Estimated Hrs]]-Tracker[[#This Row],[Actual Efforts (Hrs)]]</f>
        <v>-17</v>
      </c>
      <c r="E179" s="108"/>
      <c r="F179" s="108"/>
      <c r="G179" s="121"/>
      <c r="H179" s="109">
        <v>18795425</v>
      </c>
      <c r="I179" s="149">
        <f>Tracker[[#This Row],[DCR ID - PTC]]</f>
        <v>18795425</v>
      </c>
      <c r="J179" s="108" t="s">
        <v>1029</v>
      </c>
      <c r="K179" s="108" t="s">
        <v>104</v>
      </c>
      <c r="L179" s="108"/>
      <c r="M179" s="108"/>
      <c r="N179" s="580" t="s">
        <v>1030</v>
      </c>
      <c r="O179" s="111" t="s">
        <v>115</v>
      </c>
      <c r="P179" s="111"/>
      <c r="Q179" s="111"/>
      <c r="R179" s="111"/>
      <c r="S179" s="111"/>
      <c r="T179" s="111"/>
      <c r="U179" s="108"/>
      <c r="V179" s="108"/>
      <c r="W179" s="108"/>
      <c r="X179" s="108">
        <f t="shared" si="10"/>
        <v>40.4</v>
      </c>
      <c r="Y179" s="108"/>
      <c r="Z179" s="108"/>
      <c r="AA179" s="108"/>
      <c r="AB179" s="112"/>
      <c r="AC179" s="108"/>
      <c r="AD179" s="108"/>
      <c r="AE179" s="107"/>
      <c r="AF179" s="113"/>
      <c r="AG179" s="115"/>
      <c r="AH179" s="108"/>
      <c r="AI179" s="108"/>
      <c r="AJ179" s="114"/>
      <c r="AK179" s="108"/>
      <c r="AL179" s="115"/>
      <c r="AM179" s="116"/>
      <c r="AN179" s="116"/>
      <c r="AO179" s="139"/>
      <c r="AP179" s="108"/>
      <c r="AQ179" s="107"/>
      <c r="AR179" s="107"/>
      <c r="AS179" s="116"/>
      <c r="AT179" s="114">
        <f t="shared" si="14"/>
        <v>40.4</v>
      </c>
      <c r="AU179" s="114"/>
      <c r="AV179" s="108"/>
      <c r="AW179" s="108"/>
      <c r="AX179" s="108"/>
      <c r="AY179" s="108"/>
      <c r="AZ179" s="108"/>
      <c r="BA179" s="108"/>
      <c r="BB179" s="108"/>
      <c r="BC179" s="108"/>
      <c r="BD179" s="111"/>
      <c r="BE179" s="111">
        <f t="shared" si="11"/>
        <v>40.4</v>
      </c>
      <c r="BF179" s="111"/>
      <c r="BG179" s="111"/>
      <c r="BH179" s="111"/>
      <c r="BI179" s="111"/>
      <c r="BJ179" s="111"/>
      <c r="BK179" s="111"/>
      <c r="BL179" s="111"/>
      <c r="BM179" s="117"/>
      <c r="BN179" s="111"/>
      <c r="BO179" s="117"/>
      <c r="BP179" s="117">
        <f t="shared" si="12"/>
        <v>40.4</v>
      </c>
      <c r="BQ179" s="117"/>
      <c r="BR179" s="111"/>
      <c r="BS179" s="118"/>
      <c r="BT179" s="111"/>
      <c r="BU179" s="118"/>
      <c r="BV179" s="111"/>
      <c r="BW179" s="111"/>
      <c r="BX179" s="111"/>
      <c r="BY179" s="111"/>
      <c r="BZ179" s="111"/>
      <c r="CA179" s="111">
        <f t="shared" si="13"/>
        <v>40.4</v>
      </c>
      <c r="CB179" s="119"/>
      <c r="CC179" s="117"/>
      <c r="CD179" s="132">
        <v>46164</v>
      </c>
      <c r="CE179" s="132">
        <v>46184</v>
      </c>
      <c r="CF179" s="132">
        <v>46185</v>
      </c>
      <c r="CG179" s="111"/>
      <c r="CH179" s="132"/>
      <c r="CI179" s="132"/>
      <c r="CJ179" s="111"/>
      <c r="CK179" s="132"/>
    </row>
    <row r="180" spans="1:89" ht="29.1">
      <c r="A180" s="106" t="s">
        <v>457</v>
      </c>
      <c r="B180" s="107">
        <f>2</f>
        <v>2</v>
      </c>
      <c r="C180" s="49">
        <v>30</v>
      </c>
      <c r="D180" s="107">
        <f>Tracker[[#This Row],[Estimated Hrs]]-Tracker[[#This Row],[Actual Efforts (Hrs)]]</f>
        <v>28</v>
      </c>
      <c r="E180" s="108"/>
      <c r="F180" s="108"/>
      <c r="G180" s="121"/>
      <c r="H180" s="109">
        <v>18795425</v>
      </c>
      <c r="I180" s="149">
        <f>Tracker[[#This Row],[DCR ID - PTC]]</f>
        <v>18795425</v>
      </c>
      <c r="J180" s="108" t="s">
        <v>1029</v>
      </c>
      <c r="K180" s="108" t="s">
        <v>118</v>
      </c>
      <c r="L180" s="108"/>
      <c r="M180" s="108"/>
      <c r="N180" s="580" t="s">
        <v>1031</v>
      </c>
      <c r="O180" s="111" t="s">
        <v>115</v>
      </c>
      <c r="P180" s="111"/>
      <c r="Q180" s="111"/>
      <c r="R180" s="111"/>
      <c r="S180" s="111"/>
      <c r="T180" s="111"/>
      <c r="U180" s="108"/>
      <c r="V180" s="108"/>
      <c r="W180" s="108"/>
      <c r="X180" s="108">
        <f t="shared" si="10"/>
        <v>40.4</v>
      </c>
      <c r="Y180" s="108"/>
      <c r="Z180" s="108"/>
      <c r="AA180" s="108"/>
      <c r="AB180" s="112"/>
      <c r="AC180" s="108"/>
      <c r="AD180" s="108"/>
      <c r="AE180" s="107"/>
      <c r="AF180" s="113"/>
      <c r="AG180" s="115"/>
      <c r="AH180" s="108"/>
      <c r="AI180" s="108"/>
      <c r="AJ180" s="114"/>
      <c r="AK180" s="108"/>
      <c r="AL180" s="115"/>
      <c r="AM180" s="116"/>
      <c r="AN180" s="116"/>
      <c r="AO180" s="139"/>
      <c r="AP180" s="108"/>
      <c r="AQ180" s="107"/>
      <c r="AR180" s="107"/>
      <c r="AS180" s="116"/>
      <c r="AT180" s="114">
        <f t="shared" si="14"/>
        <v>40.4</v>
      </c>
      <c r="AU180" s="114"/>
      <c r="AV180" s="108"/>
      <c r="AW180" s="108"/>
      <c r="AX180" s="108"/>
      <c r="AY180" s="108"/>
      <c r="AZ180" s="108"/>
      <c r="BA180" s="108"/>
      <c r="BB180" s="108"/>
      <c r="BC180" s="108"/>
      <c r="BD180" s="111"/>
      <c r="BE180" s="111">
        <f t="shared" si="11"/>
        <v>40.4</v>
      </c>
      <c r="BF180" s="111"/>
      <c r="BG180" s="111"/>
      <c r="BH180" s="111"/>
      <c r="BI180" s="111"/>
      <c r="BJ180" s="111"/>
      <c r="BK180" s="111"/>
      <c r="BL180" s="111"/>
      <c r="BM180" s="117"/>
      <c r="BN180" s="111"/>
      <c r="BO180" s="117"/>
      <c r="BP180" s="117">
        <f t="shared" si="12"/>
        <v>40.4</v>
      </c>
      <c r="BQ180" s="117"/>
      <c r="BR180" s="111"/>
      <c r="BS180" s="118"/>
      <c r="BT180" s="111"/>
      <c r="BU180" s="118"/>
      <c r="BV180" s="111"/>
      <c r="BW180" s="111"/>
      <c r="BX180" s="111"/>
      <c r="BY180" s="111"/>
      <c r="BZ180" s="111"/>
      <c r="CA180" s="111">
        <f t="shared" si="13"/>
        <v>40.4</v>
      </c>
      <c r="CB180" s="119"/>
      <c r="CC180" s="117"/>
      <c r="CD180" s="120">
        <v>46183</v>
      </c>
      <c r="CE180" s="120">
        <v>46184</v>
      </c>
      <c r="CF180" s="120">
        <v>46185</v>
      </c>
      <c r="CG180" s="111"/>
      <c r="CH180" s="132"/>
      <c r="CI180" s="132"/>
      <c r="CJ180" s="111"/>
      <c r="CK180" s="132"/>
    </row>
    <row r="181" spans="1:89" ht="409.6">
      <c r="A181" s="106" t="s">
        <v>401</v>
      </c>
      <c r="B181" s="107">
        <f>4+5.5+4+3+6+5+2+1.5+3+6+4+3.5+5.5+5+5+5+3+3.5+6+3</f>
        <v>83.5</v>
      </c>
      <c r="C181" s="49">
        <v>105</v>
      </c>
      <c r="D181" s="107">
        <f>Tracker[[#This Row],[Estimated Hrs]]-Tracker[[#This Row],[Actual Efforts (Hrs)]]</f>
        <v>21.5</v>
      </c>
      <c r="E181" s="108"/>
      <c r="F181" s="108"/>
      <c r="G181" s="121"/>
      <c r="H181" s="109">
        <v>18505556</v>
      </c>
      <c r="I181" s="149">
        <f>Tracker[[#This Row],[DCR ID - PTC]]</f>
        <v>18505556</v>
      </c>
      <c r="J181" s="108" t="s">
        <v>1032</v>
      </c>
      <c r="K181" s="108" t="s">
        <v>104</v>
      </c>
      <c r="L181" s="108"/>
      <c r="M181" s="108"/>
      <c r="N181" s="580" t="s">
        <v>1033</v>
      </c>
      <c r="O181" s="111" t="s">
        <v>14</v>
      </c>
      <c r="P181" s="111"/>
      <c r="Q181" s="111"/>
      <c r="R181" s="111"/>
      <c r="S181" s="111"/>
      <c r="T181" s="111"/>
      <c r="U181" s="108"/>
      <c r="V181" s="108"/>
      <c r="W181" s="108"/>
      <c r="X181" s="108">
        <f t="shared" si="10"/>
        <v>40.4</v>
      </c>
      <c r="Y181" s="108"/>
      <c r="Z181" s="108"/>
      <c r="AA181" s="108"/>
      <c r="AB181" s="112"/>
      <c r="AC181" s="108"/>
      <c r="AD181" s="108"/>
      <c r="AE181" s="107"/>
      <c r="AF181" s="113"/>
      <c r="AG181" s="115"/>
      <c r="AH181" s="108"/>
      <c r="AI181" s="108"/>
      <c r="AJ181" s="114"/>
      <c r="AK181" s="108"/>
      <c r="AL181" s="115"/>
      <c r="AM181" s="116"/>
      <c r="AN181" s="116"/>
      <c r="AO181" s="139"/>
      <c r="AP181" s="108"/>
      <c r="AQ181" s="107"/>
      <c r="AR181" s="107"/>
      <c r="AS181" s="116"/>
      <c r="AT181" s="114">
        <f t="shared" si="14"/>
        <v>40.4</v>
      </c>
      <c r="AU181" s="114"/>
      <c r="AV181" s="108"/>
      <c r="AW181" s="108"/>
      <c r="AX181" s="108"/>
      <c r="AY181" s="108"/>
      <c r="AZ181" s="108"/>
      <c r="BA181" s="108"/>
      <c r="BB181" s="108"/>
      <c r="BC181" s="108"/>
      <c r="BD181" s="111"/>
      <c r="BE181" s="111">
        <f t="shared" si="11"/>
        <v>40.4</v>
      </c>
      <c r="BF181" s="111"/>
      <c r="BG181" s="111"/>
      <c r="BH181" s="111"/>
      <c r="BI181" s="111"/>
      <c r="BJ181" s="111"/>
      <c r="BK181" s="111"/>
      <c r="BL181" s="111"/>
      <c r="BM181" s="117"/>
      <c r="BN181" s="111"/>
      <c r="BO181" s="117"/>
      <c r="BP181" s="117">
        <f t="shared" si="12"/>
        <v>40.4</v>
      </c>
      <c r="BQ181" s="117"/>
      <c r="BR181" s="111"/>
      <c r="BS181" s="118"/>
      <c r="BT181" s="111"/>
      <c r="BU181" s="118"/>
      <c r="BV181" s="111"/>
      <c r="BW181" s="111"/>
      <c r="BX181" s="111"/>
      <c r="BY181" s="111"/>
      <c r="BZ181" s="111"/>
      <c r="CA181" s="111">
        <f t="shared" si="13"/>
        <v>40.4</v>
      </c>
      <c r="CB181" s="119"/>
      <c r="CC181" s="117"/>
      <c r="CD181" s="132">
        <v>0</v>
      </c>
      <c r="CE181" s="132">
        <v>0</v>
      </c>
      <c r="CF181" s="132">
        <v>0</v>
      </c>
      <c r="CG181" s="111"/>
      <c r="CH181" s="132"/>
      <c r="CI181" s="132"/>
      <c r="CJ181" s="111"/>
      <c r="CK181" s="132"/>
    </row>
    <row r="182" spans="1:89" ht="29.1">
      <c r="A182" s="106" t="s">
        <v>401</v>
      </c>
      <c r="B182" s="107"/>
      <c r="C182" s="49">
        <v>190</v>
      </c>
      <c r="D182" s="107">
        <f>Tracker[[#This Row],[Estimated Hrs]]-Tracker[[#This Row],[Actual Efforts (Hrs)]]</f>
        <v>190</v>
      </c>
      <c r="E182" s="108"/>
      <c r="F182" s="108"/>
      <c r="G182" s="121"/>
      <c r="H182" s="109">
        <v>18505556</v>
      </c>
      <c r="I182" s="149">
        <f>Tracker[[#This Row],[DCR ID - PTC]]</f>
        <v>18505556</v>
      </c>
      <c r="J182" s="108" t="s">
        <v>1032</v>
      </c>
      <c r="K182" s="108" t="s">
        <v>118</v>
      </c>
      <c r="L182" s="108"/>
      <c r="M182" s="108"/>
      <c r="N182" s="580"/>
      <c r="O182" s="111" t="s">
        <v>1034</v>
      </c>
      <c r="P182" s="111"/>
      <c r="Q182" s="111"/>
      <c r="R182" s="111"/>
      <c r="S182" s="111"/>
      <c r="T182" s="111"/>
      <c r="U182" s="108"/>
      <c r="V182" s="108"/>
      <c r="W182" s="108"/>
      <c r="X182" s="108">
        <f t="shared" si="10"/>
        <v>40.4</v>
      </c>
      <c r="Y182" s="108"/>
      <c r="Z182" s="108"/>
      <c r="AA182" s="108"/>
      <c r="AB182" s="112"/>
      <c r="AC182" s="108"/>
      <c r="AD182" s="108"/>
      <c r="AE182" s="107"/>
      <c r="AF182" s="113"/>
      <c r="AG182" s="115"/>
      <c r="AH182" s="108"/>
      <c r="AI182" s="108"/>
      <c r="AJ182" s="114"/>
      <c r="AK182" s="108"/>
      <c r="AL182" s="115"/>
      <c r="AM182" s="116"/>
      <c r="AN182" s="116"/>
      <c r="AO182" s="139"/>
      <c r="AP182" s="108"/>
      <c r="AQ182" s="107"/>
      <c r="AR182" s="107"/>
      <c r="AS182" s="116"/>
      <c r="AT182" s="114"/>
      <c r="AU182" s="114"/>
      <c r="AV182" s="108"/>
      <c r="AW182" s="108"/>
      <c r="AX182" s="108"/>
      <c r="AY182" s="108"/>
      <c r="AZ182" s="108"/>
      <c r="BA182" s="108"/>
      <c r="BB182" s="108"/>
      <c r="BC182" s="108"/>
      <c r="BD182" s="111"/>
      <c r="BE182" s="111">
        <f t="shared" si="11"/>
        <v>40.4</v>
      </c>
      <c r="BF182" s="111"/>
      <c r="BG182" s="111"/>
      <c r="BH182" s="111"/>
      <c r="BI182" s="111"/>
      <c r="BJ182" s="111"/>
      <c r="BK182" s="111"/>
      <c r="BL182" s="111"/>
      <c r="BM182" s="117"/>
      <c r="BN182" s="111"/>
      <c r="BO182" s="117"/>
      <c r="BP182" s="117">
        <f t="shared" si="12"/>
        <v>40.4</v>
      </c>
      <c r="BQ182" s="117"/>
      <c r="BR182" s="111"/>
      <c r="BS182" s="118"/>
      <c r="BT182" s="111"/>
      <c r="BU182" s="118"/>
      <c r="BV182" s="111"/>
      <c r="BW182" s="111"/>
      <c r="BX182" s="111"/>
      <c r="BY182" s="111"/>
      <c r="BZ182" s="111"/>
      <c r="CA182" s="111">
        <f t="shared" si="13"/>
        <v>40.4</v>
      </c>
      <c r="CB182" s="119"/>
      <c r="CC182" s="117"/>
      <c r="CD182" s="120">
        <v>0</v>
      </c>
      <c r="CE182" s="120">
        <v>0</v>
      </c>
      <c r="CF182" s="120">
        <v>0</v>
      </c>
      <c r="CG182" s="111"/>
      <c r="CH182" s="132"/>
      <c r="CI182" s="132"/>
      <c r="CJ182" s="111"/>
      <c r="CK182" s="132"/>
    </row>
    <row r="183" spans="1:89" ht="409.6">
      <c r="A183" s="106" t="s">
        <v>510</v>
      </c>
      <c r="B183" s="107">
        <f>6.5+7+7+8+8+8+7.75+7.75+7+1.75+1+7.25+7.75+2.5+3.5+4.5+0.75+0.5+1.5+1+1.25+1+3.5</f>
        <v>104.75</v>
      </c>
      <c r="C183" s="49">
        <v>100</v>
      </c>
      <c r="D183" s="107">
        <f>Tracker[[#This Row],[Estimated Hrs]]-Tracker[[#This Row],[Actual Efforts (Hrs)]]</f>
        <v>-4.75</v>
      </c>
      <c r="E183" s="108"/>
      <c r="F183" s="108"/>
      <c r="G183" s="121"/>
      <c r="H183" s="109">
        <v>19538930</v>
      </c>
      <c r="I183" s="149">
        <f>Tracker[[#This Row],[DCR ID - PTC]]</f>
        <v>19538930</v>
      </c>
      <c r="J183" s="108" t="s">
        <v>1035</v>
      </c>
      <c r="K183" s="108" t="s">
        <v>104</v>
      </c>
      <c r="L183" s="108"/>
      <c r="M183" s="108"/>
      <c r="N183" s="640" t="s">
        <v>1036</v>
      </c>
      <c r="O183" s="111" t="s">
        <v>115</v>
      </c>
      <c r="P183" s="111"/>
      <c r="Q183" s="111"/>
      <c r="R183" s="111"/>
      <c r="S183" s="111"/>
      <c r="T183" s="111"/>
      <c r="U183" s="108"/>
      <c r="V183" s="108"/>
      <c r="W183" s="108"/>
      <c r="X183" s="108">
        <f t="shared" si="10"/>
        <v>40.4</v>
      </c>
      <c r="Y183" s="108"/>
      <c r="Z183" s="108"/>
      <c r="AA183" s="108"/>
      <c r="AB183" s="112"/>
      <c r="AC183" s="108"/>
      <c r="AD183" s="108"/>
      <c r="AE183" s="107"/>
      <c r="AF183" s="113"/>
      <c r="AG183" s="115"/>
      <c r="AH183" s="108"/>
      <c r="AI183" s="108"/>
      <c r="AJ183" s="114"/>
      <c r="AK183" s="108"/>
      <c r="AL183" s="115"/>
      <c r="AM183" s="116"/>
      <c r="AN183" s="116"/>
      <c r="AO183" s="139"/>
      <c r="AP183" s="108"/>
      <c r="AQ183" s="107"/>
      <c r="AR183" s="107"/>
      <c r="AS183" s="116"/>
      <c r="AT183" s="114">
        <f t="shared" si="14"/>
        <v>40.4</v>
      </c>
      <c r="AU183" s="114"/>
      <c r="AV183" s="108"/>
      <c r="AW183" s="108"/>
      <c r="AX183" s="108"/>
      <c r="AY183" s="108"/>
      <c r="AZ183" s="108"/>
      <c r="BA183" s="108"/>
      <c r="BB183" s="108"/>
      <c r="BC183" s="108"/>
      <c r="BD183" s="111"/>
      <c r="BE183" s="111">
        <f t="shared" si="11"/>
        <v>40.4</v>
      </c>
      <c r="BF183" s="111"/>
      <c r="BG183" s="111"/>
      <c r="BH183" s="111"/>
      <c r="BI183" s="111"/>
      <c r="BJ183" s="111"/>
      <c r="BK183" s="111"/>
      <c r="BL183" s="111"/>
      <c r="BM183" s="117"/>
      <c r="BN183" s="111"/>
      <c r="BO183" s="117"/>
      <c r="BP183" s="117">
        <f t="shared" si="12"/>
        <v>40.4</v>
      </c>
      <c r="BQ183" s="117"/>
      <c r="BR183" s="111"/>
      <c r="BS183" s="118"/>
      <c r="BT183" s="111"/>
      <c r="BU183" s="118"/>
      <c r="BV183" s="111"/>
      <c r="BW183" s="111"/>
      <c r="BX183" s="111"/>
      <c r="BY183" s="111"/>
      <c r="BZ183" s="111"/>
      <c r="CA183" s="111">
        <f t="shared" si="13"/>
        <v>40.4</v>
      </c>
      <c r="CB183" s="119"/>
      <c r="CC183" s="117"/>
      <c r="CD183" s="132">
        <v>46170</v>
      </c>
      <c r="CE183" s="132">
        <v>46217</v>
      </c>
      <c r="CF183" s="132">
        <v>46220</v>
      </c>
      <c r="CG183" s="111"/>
      <c r="CH183" s="132"/>
      <c r="CI183" s="132"/>
      <c r="CJ183" s="111"/>
      <c r="CK183" s="132"/>
    </row>
    <row r="184" spans="1:89" ht="409.6">
      <c r="A184" s="106" t="s">
        <v>510</v>
      </c>
      <c r="B184" s="107">
        <f>3+7.5+6.75+7+7.75+4.75+6.75+6.75+6.75+8+7.5+2.5</f>
        <v>75</v>
      </c>
      <c r="C184" s="49">
        <v>212</v>
      </c>
      <c r="D184" s="107">
        <f>Tracker[[#This Row],[Estimated Hrs]]-Tracker[[#This Row],[Actual Efforts (Hrs)]]</f>
        <v>137</v>
      </c>
      <c r="E184" s="108"/>
      <c r="F184" s="108"/>
      <c r="G184" s="121"/>
      <c r="H184" s="109">
        <v>19538930</v>
      </c>
      <c r="I184" s="149">
        <f>Tracker[[#This Row],[DCR ID - PTC]]</f>
        <v>19538930</v>
      </c>
      <c r="J184" s="108" t="s">
        <v>1035</v>
      </c>
      <c r="K184" s="108" t="s">
        <v>118</v>
      </c>
      <c r="L184" s="108"/>
      <c r="M184" s="108"/>
      <c r="N184" s="580" t="s">
        <v>1037</v>
      </c>
      <c r="O184" s="111" t="s">
        <v>115</v>
      </c>
      <c r="P184" s="111"/>
      <c r="Q184" s="111"/>
      <c r="R184" s="111"/>
      <c r="S184" s="111"/>
      <c r="T184" s="111"/>
      <c r="U184" s="108"/>
      <c r="V184" s="108"/>
      <c r="W184" s="108"/>
      <c r="X184" s="108">
        <f t="shared" si="10"/>
        <v>40.4</v>
      </c>
      <c r="Y184" s="108"/>
      <c r="Z184" s="108"/>
      <c r="AA184" s="108"/>
      <c r="AB184" s="112"/>
      <c r="AC184" s="108"/>
      <c r="AD184" s="108"/>
      <c r="AE184" s="107"/>
      <c r="AF184" s="113"/>
      <c r="AG184" s="115"/>
      <c r="AH184" s="108"/>
      <c r="AI184" s="108"/>
      <c r="AJ184" s="114"/>
      <c r="AK184" s="108"/>
      <c r="AL184" s="115"/>
      <c r="AM184" s="116"/>
      <c r="AN184" s="116"/>
      <c r="AO184" s="139"/>
      <c r="AP184" s="108"/>
      <c r="AQ184" s="107"/>
      <c r="AR184" s="107"/>
      <c r="AS184" s="116"/>
      <c r="AT184" s="114">
        <f t="shared" si="14"/>
        <v>40.4</v>
      </c>
      <c r="AU184" s="114"/>
      <c r="AV184" s="108"/>
      <c r="AW184" s="108"/>
      <c r="AX184" s="108"/>
      <c r="AY184" s="108"/>
      <c r="AZ184" s="108"/>
      <c r="BA184" s="108"/>
      <c r="BB184" s="108"/>
      <c r="BC184" s="108"/>
      <c r="BD184" s="111"/>
      <c r="BE184" s="111">
        <f t="shared" si="11"/>
        <v>40.4</v>
      </c>
      <c r="BF184" s="111"/>
      <c r="BG184" s="111"/>
      <c r="BH184" s="111"/>
      <c r="BI184" s="111"/>
      <c r="BJ184" s="111"/>
      <c r="BK184" s="111"/>
      <c r="BL184" s="111"/>
      <c r="BM184" s="117"/>
      <c r="BN184" s="111"/>
      <c r="BO184" s="117"/>
      <c r="BP184" s="117">
        <f t="shared" si="12"/>
        <v>40.4</v>
      </c>
      <c r="BQ184" s="117"/>
      <c r="BR184" s="111"/>
      <c r="BS184" s="118"/>
      <c r="BT184" s="111"/>
      <c r="BU184" s="118"/>
      <c r="BV184" s="111"/>
      <c r="BW184" s="111"/>
      <c r="BX184" s="111"/>
      <c r="BY184" s="111"/>
      <c r="BZ184" s="111"/>
      <c r="CA184" s="111">
        <f t="shared" si="13"/>
        <v>40.4</v>
      </c>
      <c r="CB184" s="119"/>
      <c r="CC184" s="117"/>
      <c r="CD184" s="120">
        <v>46211</v>
      </c>
      <c r="CE184" s="120">
        <v>46217</v>
      </c>
      <c r="CF184" s="120">
        <v>46220</v>
      </c>
      <c r="CG184" s="111"/>
      <c r="CH184" s="132"/>
      <c r="CI184" s="132"/>
      <c r="CJ184" s="111"/>
      <c r="CK184" s="132"/>
    </row>
    <row r="185" spans="1:89" ht="57.95">
      <c r="A185" s="106" t="s">
        <v>510</v>
      </c>
      <c r="B185" s="107">
        <f>1</f>
        <v>1</v>
      </c>
      <c r="C185" s="49">
        <v>3</v>
      </c>
      <c r="D185" s="107">
        <f>Tracker[[#This Row],[Estimated Hrs]]-Tracker[[#This Row],[Actual Efforts (Hrs)]]</f>
        <v>2</v>
      </c>
      <c r="E185" s="108"/>
      <c r="F185" s="108"/>
      <c r="G185" s="121"/>
      <c r="H185" s="109">
        <v>19688476</v>
      </c>
      <c r="I185" s="149">
        <f>Tracker[[#This Row],[DCR ID - PTC]]</f>
        <v>19688476</v>
      </c>
      <c r="J185" s="108" t="s">
        <v>1038</v>
      </c>
      <c r="K185" s="108" t="s">
        <v>118</v>
      </c>
      <c r="L185" s="108"/>
      <c r="M185" s="108"/>
      <c r="N185" s="580" t="s">
        <v>1039</v>
      </c>
      <c r="O185" s="111" t="s">
        <v>231</v>
      </c>
      <c r="P185" s="111"/>
      <c r="Q185" s="111"/>
      <c r="R185" s="111"/>
      <c r="S185" s="111"/>
      <c r="T185" s="111"/>
      <c r="U185" s="108"/>
      <c r="V185" s="108"/>
      <c r="W185" s="108"/>
      <c r="X185" s="108">
        <f t="shared" si="10"/>
        <v>40.4</v>
      </c>
      <c r="Y185" s="108"/>
      <c r="Z185" s="108"/>
      <c r="AA185" s="108"/>
      <c r="AB185" s="112"/>
      <c r="AC185" s="108"/>
      <c r="AD185" s="108"/>
      <c r="AE185" s="107"/>
      <c r="AF185" s="113"/>
      <c r="AG185" s="115"/>
      <c r="AH185" s="108"/>
      <c r="AI185" s="108"/>
      <c r="AJ185" s="114"/>
      <c r="AK185" s="108"/>
      <c r="AL185" s="115"/>
      <c r="AM185" s="116"/>
      <c r="AN185" s="116"/>
      <c r="AO185" s="139">
        <v>46178</v>
      </c>
      <c r="AP185" s="108"/>
      <c r="AQ185" s="107"/>
      <c r="AR185" s="107"/>
      <c r="AS185" s="116">
        <v>46171</v>
      </c>
      <c r="AT185" s="114">
        <f t="shared" si="14"/>
        <v>40.4</v>
      </c>
      <c r="AU185" s="114"/>
      <c r="AV185" s="108"/>
      <c r="AW185" s="108"/>
      <c r="AX185" s="108"/>
      <c r="AY185" s="108"/>
      <c r="AZ185" s="108"/>
      <c r="BA185" s="108"/>
      <c r="BB185" s="108"/>
      <c r="BC185" s="108"/>
      <c r="BD185" s="111"/>
      <c r="BE185" s="111">
        <f t="shared" si="11"/>
        <v>40.4</v>
      </c>
      <c r="BF185" s="111"/>
      <c r="BG185" s="111"/>
      <c r="BH185" s="111"/>
      <c r="BI185" s="111"/>
      <c r="BJ185" s="111"/>
      <c r="BK185" s="111"/>
      <c r="BL185" s="111"/>
      <c r="BM185" s="117"/>
      <c r="BN185" s="111"/>
      <c r="BO185" s="117"/>
      <c r="BP185" s="117">
        <f t="shared" si="12"/>
        <v>40.4</v>
      </c>
      <c r="BQ185" s="117"/>
      <c r="BR185" s="111"/>
      <c r="BS185" s="118"/>
      <c r="BT185" s="111"/>
      <c r="BU185" s="118"/>
      <c r="BV185" s="111"/>
      <c r="BW185" s="111"/>
      <c r="BX185" s="111"/>
      <c r="BY185" s="111"/>
      <c r="BZ185" s="111"/>
      <c r="CA185" s="111">
        <f t="shared" si="13"/>
        <v>40.4</v>
      </c>
      <c r="CB185" s="119"/>
      <c r="CC185" s="117"/>
      <c r="CD185" s="132">
        <v>0</v>
      </c>
      <c r="CE185" s="132">
        <v>0</v>
      </c>
      <c r="CF185" s="132">
        <v>0</v>
      </c>
      <c r="CG185" s="111"/>
      <c r="CH185" s="132"/>
      <c r="CI185" s="132"/>
      <c r="CJ185" s="111"/>
      <c r="CK185" s="132"/>
    </row>
    <row r="186" spans="1:89" ht="57.95">
      <c r="A186" s="106" t="s">
        <v>158</v>
      </c>
      <c r="B186" s="107">
        <f>4+4.5+1.5</f>
        <v>10</v>
      </c>
      <c r="C186" s="49">
        <v>10</v>
      </c>
      <c r="D186" s="107">
        <f>Tracker[[#This Row],[Estimated Hrs]]-Tracker[[#This Row],[Actual Efforts (Hrs)]]</f>
        <v>0</v>
      </c>
      <c r="E186" s="108"/>
      <c r="F186" s="108" t="s">
        <v>867</v>
      </c>
      <c r="G186" s="121" t="s">
        <v>867</v>
      </c>
      <c r="H186" s="109">
        <v>14528192</v>
      </c>
      <c r="I186" s="109">
        <v>14528192</v>
      </c>
      <c r="J186" s="110" t="s">
        <v>1040</v>
      </c>
      <c r="K186" s="108" t="s">
        <v>118</v>
      </c>
      <c r="L186" s="108"/>
      <c r="M186" s="108"/>
      <c r="N186" s="580"/>
      <c r="O186" s="111" t="s">
        <v>106</v>
      </c>
      <c r="P186" s="111"/>
      <c r="Q186" s="111"/>
      <c r="R186" s="111"/>
      <c r="S186" s="111"/>
      <c r="T186" s="111"/>
      <c r="U186" s="108"/>
      <c r="V186" s="108"/>
      <c r="W186" s="108"/>
      <c r="X186" s="108">
        <f t="shared" si="10"/>
        <v>40.4</v>
      </c>
      <c r="Y186" s="108"/>
      <c r="Z186" s="108"/>
      <c r="AA186" s="108"/>
      <c r="AB186" s="112"/>
      <c r="AC186" s="108"/>
      <c r="AD186" s="108"/>
      <c r="AE186" s="107"/>
      <c r="AF186" s="113"/>
      <c r="AG186" s="115">
        <v>46161</v>
      </c>
      <c r="AH186" s="108"/>
      <c r="AI186" s="108"/>
      <c r="AJ186" s="114"/>
      <c r="AK186" s="108"/>
      <c r="AL186" s="115"/>
      <c r="AM186" s="116"/>
      <c r="AN186" s="116"/>
      <c r="AO186" s="139">
        <v>46171</v>
      </c>
      <c r="AP186" s="108"/>
      <c r="AQ186" s="107"/>
      <c r="AR186" s="107"/>
      <c r="AS186" s="116">
        <v>46169</v>
      </c>
      <c r="AT186" s="114">
        <v>46162</v>
      </c>
      <c r="AU186" s="114">
        <v>46163</v>
      </c>
      <c r="AV186" s="108"/>
      <c r="AW186" s="108"/>
      <c r="AX186" s="108" t="s">
        <v>97</v>
      </c>
      <c r="AY186" s="108" t="s">
        <v>98</v>
      </c>
      <c r="AZ186" s="108"/>
      <c r="BA186" s="108"/>
      <c r="BB186" s="108"/>
      <c r="BC186" s="108"/>
      <c r="BD186" s="111"/>
      <c r="BE186" s="111">
        <f t="shared" si="11"/>
        <v>40.4</v>
      </c>
      <c r="BF186" s="111"/>
      <c r="BG186" s="111"/>
      <c r="BH186" s="111"/>
      <c r="BI186" s="111"/>
      <c r="BJ186" s="111"/>
      <c r="BK186" s="111"/>
      <c r="BL186" s="111"/>
      <c r="BM186" s="117"/>
      <c r="BN186" s="111"/>
      <c r="BO186" s="117"/>
      <c r="BP186" s="117">
        <f t="shared" si="12"/>
        <v>40.4</v>
      </c>
      <c r="BQ186" s="117"/>
      <c r="BR186" s="111"/>
      <c r="BS186" s="118"/>
      <c r="BT186" s="111"/>
      <c r="BU186" s="118"/>
      <c r="BV186" s="111"/>
      <c r="BW186" s="111"/>
      <c r="BX186" s="111"/>
      <c r="BY186" s="111"/>
      <c r="BZ186" s="111"/>
      <c r="CA186" s="111">
        <f t="shared" si="13"/>
        <v>40.4</v>
      </c>
      <c r="CB186" s="119">
        <v>1</v>
      </c>
      <c r="CC186" s="117"/>
      <c r="CD186" s="120">
        <v>0</v>
      </c>
      <c r="CE186" s="120">
        <v>0</v>
      </c>
      <c r="CF186" s="120">
        <v>0</v>
      </c>
      <c r="CG186" s="111"/>
      <c r="CH186" s="132"/>
      <c r="CI186" s="132"/>
      <c r="CJ186" s="111"/>
      <c r="CK186" s="132" t="s">
        <v>882</v>
      </c>
    </row>
    <row r="187" spans="1:89" ht="290.10000000000002">
      <c r="A187" s="106" t="s">
        <v>768</v>
      </c>
      <c r="B187" s="107">
        <f>4+3+6+1.5+6+3.5+5+5+5.5+6+3+1+0.5+0.5+7</f>
        <v>57.5</v>
      </c>
      <c r="C187" s="49">
        <v>44</v>
      </c>
      <c r="D187" s="107">
        <v>0</v>
      </c>
      <c r="E187" s="108"/>
      <c r="F187" s="108"/>
      <c r="G187" s="121"/>
      <c r="H187" s="109">
        <v>19023103</v>
      </c>
      <c r="I187" s="127">
        <f>Tracker[[#This Row],[DCR ID - PTC]]</f>
        <v>19023103</v>
      </c>
      <c r="J187" s="108" t="s">
        <v>648</v>
      </c>
      <c r="K187" s="108" t="s">
        <v>104</v>
      </c>
      <c r="L187" s="108"/>
      <c r="M187" s="108"/>
      <c r="N187" s="580" t="s">
        <v>1041</v>
      </c>
      <c r="O187" s="111" t="s">
        <v>106</v>
      </c>
      <c r="P187" s="111"/>
      <c r="Q187" s="111"/>
      <c r="R187" s="111"/>
      <c r="S187" s="111"/>
      <c r="T187" s="111"/>
      <c r="U187" s="108"/>
      <c r="V187" s="108"/>
      <c r="W187" s="108"/>
      <c r="X187" s="108">
        <f t="shared" si="10"/>
        <v>40.4</v>
      </c>
      <c r="Y187" s="108"/>
      <c r="Z187" s="108"/>
      <c r="AA187" s="108"/>
      <c r="AB187" s="112"/>
      <c r="AC187" s="108"/>
      <c r="AD187" s="108" t="s">
        <v>116</v>
      </c>
      <c r="AE187" s="107"/>
      <c r="AF187" s="113"/>
      <c r="AG187" s="115"/>
      <c r="AH187" s="108" t="s">
        <v>100</v>
      </c>
      <c r="AI187" s="108" t="s">
        <v>101</v>
      </c>
      <c r="AJ187" s="114">
        <v>46112.395833333336</v>
      </c>
      <c r="AK187" s="108" t="s">
        <v>321</v>
      </c>
      <c r="AL187" s="115">
        <v>46128.47965277778</v>
      </c>
      <c r="AM187" s="116"/>
      <c r="AN187" s="116"/>
      <c r="AO187" s="139"/>
      <c r="AP187" s="108"/>
      <c r="AQ187" s="107"/>
      <c r="AR187" s="107"/>
      <c r="AS187" s="116"/>
      <c r="AT187" s="114">
        <f t="shared" si="14"/>
        <v>40.4</v>
      </c>
      <c r="AU187" s="114"/>
      <c r="AV187" s="108"/>
      <c r="AW187" s="108"/>
      <c r="AX187" s="108"/>
      <c r="AY187" s="108" t="s">
        <v>866</v>
      </c>
      <c r="AZ187" s="108"/>
      <c r="BA187" s="108"/>
      <c r="BB187" s="108"/>
      <c r="BC187" s="108"/>
      <c r="BD187" s="111"/>
      <c r="BE187" s="111">
        <f t="shared" si="11"/>
        <v>40.4</v>
      </c>
      <c r="BF187" s="111"/>
      <c r="BG187" s="111"/>
      <c r="BH187" s="111"/>
      <c r="BI187" s="111"/>
      <c r="BJ187" s="111"/>
      <c r="BK187" s="111"/>
      <c r="BL187" s="111"/>
      <c r="BM187" s="117"/>
      <c r="BN187" s="111"/>
      <c r="BO187" s="117"/>
      <c r="BP187" s="117">
        <f t="shared" si="12"/>
        <v>40.4</v>
      </c>
      <c r="BQ187" s="117"/>
      <c r="BR187" s="111"/>
      <c r="BS187" s="118"/>
      <c r="BT187" s="111"/>
      <c r="BU187" s="118"/>
      <c r="BV187" s="111"/>
      <c r="BW187" s="111"/>
      <c r="BX187" s="111"/>
      <c r="BY187" s="111"/>
      <c r="BZ187" s="111"/>
      <c r="CA187" s="111">
        <f t="shared" si="13"/>
        <v>40.4</v>
      </c>
      <c r="CB187" s="119"/>
      <c r="CC187" s="117"/>
      <c r="CD187" s="132">
        <v>0</v>
      </c>
      <c r="CE187" s="132">
        <v>46177</v>
      </c>
      <c r="CF187" s="132">
        <v>46178</v>
      </c>
      <c r="CG187" s="111"/>
      <c r="CH187" s="132"/>
      <c r="CI187" s="132"/>
      <c r="CJ187" s="111"/>
      <c r="CK187" s="132"/>
    </row>
    <row r="188" spans="1:89" ht="246.6">
      <c r="A188" s="106" t="s">
        <v>577</v>
      </c>
      <c r="B188" s="107">
        <f>3+7.5+2+4+1.5+4+1.5+0.75+1.5</f>
        <v>25.75</v>
      </c>
      <c r="C188" s="49">
        <v>24</v>
      </c>
      <c r="D188" s="107">
        <f>Tracker[[#This Row],[Estimated Hrs]]-Tracker[[#This Row],[Actual Efforts (Hrs)]]</f>
        <v>-1.75</v>
      </c>
      <c r="E188" s="108"/>
      <c r="F188" s="108"/>
      <c r="G188" s="121"/>
      <c r="H188" s="109">
        <v>19634431</v>
      </c>
      <c r="I188" s="127">
        <f>Tracker[[#This Row],[DCR ID - PTC]]</f>
        <v>19634431</v>
      </c>
      <c r="J188" s="108" t="s">
        <v>1042</v>
      </c>
      <c r="K188" s="108" t="s">
        <v>118</v>
      </c>
      <c r="L188" s="108"/>
      <c r="M188" s="108"/>
      <c r="N188" s="580" t="s">
        <v>1043</v>
      </c>
      <c r="O188" s="111" t="s">
        <v>106</v>
      </c>
      <c r="P188" s="111"/>
      <c r="Q188" s="111"/>
      <c r="R188" s="111"/>
      <c r="S188" s="111"/>
      <c r="T188" s="111"/>
      <c r="U188" s="108"/>
      <c r="V188" s="108"/>
      <c r="W188" s="108"/>
      <c r="X188" s="108">
        <f t="shared" si="10"/>
        <v>40.4</v>
      </c>
      <c r="Y188" s="108"/>
      <c r="Z188" s="108"/>
      <c r="AA188" s="108"/>
      <c r="AB188" s="112"/>
      <c r="AC188" s="108"/>
      <c r="AD188" s="108"/>
      <c r="AE188" s="107"/>
      <c r="AF188" s="113"/>
      <c r="AG188" s="115"/>
      <c r="AH188" s="108"/>
      <c r="AI188" s="108"/>
      <c r="AJ188" s="114"/>
      <c r="AK188" s="108"/>
      <c r="AL188" s="115"/>
      <c r="AM188" s="116"/>
      <c r="AN188" s="116"/>
      <c r="AO188" s="139"/>
      <c r="AP188" s="108"/>
      <c r="AQ188" s="107"/>
      <c r="AR188" s="107"/>
      <c r="AS188" s="116"/>
      <c r="AT188" s="114">
        <f t="shared" si="14"/>
        <v>40.4</v>
      </c>
      <c r="AU188" s="114"/>
      <c r="AV188" s="108"/>
      <c r="AW188" s="108"/>
      <c r="AX188" s="108"/>
      <c r="AY188" s="108"/>
      <c r="AZ188" s="108"/>
      <c r="BA188" s="108"/>
      <c r="BB188" s="108"/>
      <c r="BC188" s="108"/>
      <c r="BD188" s="111"/>
      <c r="BE188" s="111">
        <f t="shared" si="11"/>
        <v>40.4</v>
      </c>
      <c r="BF188" s="111"/>
      <c r="BG188" s="111"/>
      <c r="BH188" s="111"/>
      <c r="BI188" s="111"/>
      <c r="BJ188" s="111"/>
      <c r="BK188" s="111"/>
      <c r="BL188" s="111"/>
      <c r="BM188" s="117"/>
      <c r="BN188" s="111"/>
      <c r="BO188" s="117"/>
      <c r="BP188" s="117">
        <f t="shared" si="12"/>
        <v>40.4</v>
      </c>
      <c r="BQ188" s="117"/>
      <c r="BR188" s="111"/>
      <c r="BS188" s="118"/>
      <c r="BT188" s="111"/>
      <c r="BU188" s="118"/>
      <c r="BV188" s="111"/>
      <c r="BW188" s="111"/>
      <c r="BX188" s="111"/>
      <c r="BY188" s="111"/>
      <c r="BZ188" s="111"/>
      <c r="CA188" s="111">
        <f t="shared" si="13"/>
        <v>40.4</v>
      </c>
      <c r="CB188" s="119"/>
      <c r="CC188" s="117"/>
      <c r="CD188" s="120">
        <v>46164</v>
      </c>
      <c r="CE188" s="120">
        <v>46168</v>
      </c>
      <c r="CF188" s="120">
        <v>46169</v>
      </c>
      <c r="CG188" s="111"/>
      <c r="CH188" s="132"/>
      <c r="CI188" s="132"/>
      <c r="CJ188" s="111"/>
      <c r="CK188" s="132"/>
    </row>
    <row r="189" spans="1:89" ht="409.6">
      <c r="A189" s="106" t="s">
        <v>612</v>
      </c>
      <c r="B189" s="107">
        <f>5.75+8.75+8.25+8.5+8.5+8.5+4.25+3.25+3.25+3.75+2.25+4+2.5+2.5+2.5+2.75+3.75+2.75+4+3.25+3.25+4.25+2.75+3.75+3+3.5+2.75</f>
        <v>116.25</v>
      </c>
      <c r="C189" s="49">
        <v>0</v>
      </c>
      <c r="D189" s="107">
        <f>Tracker[[#This Row],[Estimated Hrs]]-Tracker[[#This Row],[Actual Efforts (Hrs)]]</f>
        <v>-116.25</v>
      </c>
      <c r="E189" s="108"/>
      <c r="F189" s="108"/>
      <c r="G189" s="121"/>
      <c r="H189" s="109">
        <v>0</v>
      </c>
      <c r="I189" s="127">
        <f>Tracker[[#This Row],[DCR ID - PTC]]</f>
        <v>0</v>
      </c>
      <c r="J189" s="108" t="s">
        <v>1044</v>
      </c>
      <c r="K189" s="108" t="s">
        <v>176</v>
      </c>
      <c r="L189" s="108"/>
      <c r="M189" s="108"/>
      <c r="N189" s="580" t="s">
        <v>1045</v>
      </c>
      <c r="O189" s="111" t="s">
        <v>115</v>
      </c>
      <c r="P189" s="111"/>
      <c r="Q189" s="111"/>
      <c r="R189" s="111"/>
      <c r="S189" s="111"/>
      <c r="T189" s="111"/>
      <c r="U189" s="108"/>
      <c r="V189" s="108"/>
      <c r="W189" s="108"/>
      <c r="X189" s="108">
        <f t="shared" si="10"/>
        <v>40.4</v>
      </c>
      <c r="Y189" s="108"/>
      <c r="Z189" s="108"/>
      <c r="AA189" s="108"/>
      <c r="AB189" s="112"/>
      <c r="AC189" s="108"/>
      <c r="AD189" s="108"/>
      <c r="AE189" s="107"/>
      <c r="AF189" s="113"/>
      <c r="AG189" s="115"/>
      <c r="AH189" s="108"/>
      <c r="AI189" s="108"/>
      <c r="AJ189" s="114"/>
      <c r="AK189" s="108"/>
      <c r="AL189" s="115"/>
      <c r="AM189" s="116"/>
      <c r="AN189" s="116"/>
      <c r="AO189" s="139"/>
      <c r="AP189" s="108"/>
      <c r="AQ189" s="107"/>
      <c r="AR189" s="107"/>
      <c r="AS189" s="116"/>
      <c r="AT189" s="114">
        <f t="shared" si="14"/>
        <v>40.4</v>
      </c>
      <c r="AU189" s="114"/>
      <c r="AV189" s="108"/>
      <c r="AW189" s="108"/>
      <c r="AX189" s="108"/>
      <c r="AY189" s="108"/>
      <c r="AZ189" s="108"/>
      <c r="BA189" s="108"/>
      <c r="BB189" s="108"/>
      <c r="BC189" s="108"/>
      <c r="BD189" s="111"/>
      <c r="BE189" s="111">
        <f t="shared" si="11"/>
        <v>40.4</v>
      </c>
      <c r="BF189" s="111"/>
      <c r="BG189" s="111"/>
      <c r="BH189" s="111"/>
      <c r="BI189" s="111"/>
      <c r="BJ189" s="111"/>
      <c r="BK189" s="111"/>
      <c r="BL189" s="111"/>
      <c r="BM189" s="117"/>
      <c r="BN189" s="111"/>
      <c r="BO189" s="117"/>
      <c r="BP189" s="117">
        <f t="shared" si="12"/>
        <v>40.4</v>
      </c>
      <c r="BQ189" s="117"/>
      <c r="BR189" s="111"/>
      <c r="BS189" s="118"/>
      <c r="BT189" s="111"/>
      <c r="BU189" s="118"/>
      <c r="BV189" s="111"/>
      <c r="BW189" s="111"/>
      <c r="BX189" s="111"/>
      <c r="BY189" s="111"/>
      <c r="BZ189" s="111"/>
      <c r="CA189" s="111">
        <f t="shared" si="13"/>
        <v>40.4</v>
      </c>
      <c r="CB189" s="119"/>
      <c r="CC189" s="117"/>
      <c r="CD189" s="132" t="e">
        <v>#N/A</v>
      </c>
      <c r="CE189" s="132" t="e">
        <v>#N/A</v>
      </c>
      <c r="CF189" s="132" t="e">
        <v>#N/A</v>
      </c>
      <c r="CG189" s="111"/>
      <c r="CH189" s="132"/>
      <c r="CI189" s="132"/>
      <c r="CJ189" s="111"/>
      <c r="CK189" s="132"/>
    </row>
    <row r="190" spans="1:89" ht="409.6">
      <c r="A190" s="106" t="s">
        <v>1046</v>
      </c>
      <c r="B190" s="107">
        <f>1+7+0.5+4+5.5+8+7+1.5+5.5+8+8+8+8+8</f>
        <v>80</v>
      </c>
      <c r="C190" s="49">
        <v>20</v>
      </c>
      <c r="D190" s="107">
        <f>Tracker[[#This Row],[Estimated Hrs]]-Tracker[[#This Row],[Actual Efforts (Hrs)]]</f>
        <v>-60</v>
      </c>
      <c r="E190" s="108"/>
      <c r="F190" s="108"/>
      <c r="G190" s="121"/>
      <c r="H190" s="109">
        <v>19415928</v>
      </c>
      <c r="I190" s="127">
        <f>Tracker[[#This Row],[DCR ID - PTC]]</f>
        <v>19415928</v>
      </c>
      <c r="J190" s="108" t="s">
        <v>1047</v>
      </c>
      <c r="K190" s="108" t="s">
        <v>104</v>
      </c>
      <c r="L190" s="108"/>
      <c r="M190" s="108"/>
      <c r="N190" s="580" t="s">
        <v>1048</v>
      </c>
      <c r="O190" s="111" t="s">
        <v>115</v>
      </c>
      <c r="P190" s="111"/>
      <c r="Q190" s="111"/>
      <c r="R190" s="111"/>
      <c r="S190" s="111"/>
      <c r="T190" s="111"/>
      <c r="U190" s="108"/>
      <c r="V190" s="108"/>
      <c r="W190" s="108"/>
      <c r="X190" s="108">
        <f t="shared" si="10"/>
        <v>40.4</v>
      </c>
      <c r="Y190" s="108"/>
      <c r="Z190" s="108"/>
      <c r="AA190" s="108"/>
      <c r="AB190" s="112"/>
      <c r="AC190" s="108"/>
      <c r="AD190" s="108"/>
      <c r="AE190" s="107"/>
      <c r="AF190" s="113"/>
      <c r="AG190" s="115"/>
      <c r="AH190" s="108"/>
      <c r="AI190" s="108"/>
      <c r="AJ190" s="114"/>
      <c r="AK190" s="108"/>
      <c r="AL190" s="115"/>
      <c r="AM190" s="116"/>
      <c r="AN190" s="116"/>
      <c r="AO190" s="139"/>
      <c r="AP190" s="108"/>
      <c r="AQ190" s="107"/>
      <c r="AR190" s="107"/>
      <c r="AS190" s="116"/>
      <c r="AT190" s="114">
        <f t="shared" si="14"/>
        <v>40.4</v>
      </c>
      <c r="AU190" s="114"/>
      <c r="AV190" s="108"/>
      <c r="AW190" s="108"/>
      <c r="AX190" s="108"/>
      <c r="AY190" s="108"/>
      <c r="AZ190" s="108"/>
      <c r="BA190" s="108"/>
      <c r="BB190" s="108"/>
      <c r="BC190" s="108"/>
      <c r="BD190" s="111"/>
      <c r="BE190" s="111">
        <f t="shared" si="11"/>
        <v>40.4</v>
      </c>
      <c r="BF190" s="111"/>
      <c r="BG190" s="111"/>
      <c r="BH190" s="111"/>
      <c r="BI190" s="111"/>
      <c r="BJ190" s="111"/>
      <c r="BK190" s="111"/>
      <c r="BL190" s="111"/>
      <c r="BM190" s="117"/>
      <c r="BN190" s="111"/>
      <c r="BO190" s="117"/>
      <c r="BP190" s="117">
        <f t="shared" si="12"/>
        <v>40.4</v>
      </c>
      <c r="BQ190" s="117"/>
      <c r="BR190" s="111"/>
      <c r="BS190" s="118"/>
      <c r="BT190" s="111"/>
      <c r="BU190" s="118"/>
      <c r="BV190" s="111"/>
      <c r="BW190" s="111"/>
      <c r="BX190" s="111"/>
      <c r="BY190" s="111"/>
      <c r="BZ190" s="111"/>
      <c r="CA190" s="111">
        <f t="shared" si="13"/>
        <v>40.4</v>
      </c>
      <c r="CB190" s="119"/>
      <c r="CC190" s="117"/>
      <c r="CD190" s="132">
        <v>0</v>
      </c>
      <c r="CE190" s="132">
        <v>0</v>
      </c>
      <c r="CF190" s="132">
        <v>0</v>
      </c>
      <c r="CG190" s="111"/>
      <c r="CH190" s="132"/>
      <c r="CI190" s="132"/>
      <c r="CJ190" s="111"/>
      <c r="CK190" s="132"/>
    </row>
    <row r="191" spans="1:89" ht="43.5">
      <c r="A191" s="419" t="s">
        <v>261</v>
      </c>
      <c r="B191" s="107"/>
      <c r="C191" s="49">
        <v>40</v>
      </c>
      <c r="D191" s="107">
        <f>Tracker[[#This Row],[Estimated Hrs]]-Tracker[[#This Row],[Actual Efforts (Hrs)]]</f>
        <v>40</v>
      </c>
      <c r="E191" s="108"/>
      <c r="F191" s="108"/>
      <c r="G191" s="121"/>
      <c r="H191" s="109">
        <v>19415928</v>
      </c>
      <c r="I191" s="127">
        <f>Tracker[[#This Row],[DCR ID - PTC]]</f>
        <v>19415928</v>
      </c>
      <c r="J191" s="108" t="s">
        <v>1047</v>
      </c>
      <c r="K191" s="108" t="s">
        <v>118</v>
      </c>
      <c r="L191" s="108"/>
      <c r="M191" s="108"/>
      <c r="N191" s="580"/>
      <c r="O191" s="111" t="s">
        <v>122</v>
      </c>
      <c r="P191" s="111"/>
      <c r="Q191" s="111"/>
      <c r="R191" s="111"/>
      <c r="S191" s="111"/>
      <c r="T191" s="111"/>
      <c r="U191" s="108"/>
      <c r="V191" s="108"/>
      <c r="W191" s="108"/>
      <c r="X191" s="108">
        <f t="shared" si="10"/>
        <v>40.4</v>
      </c>
      <c r="Y191" s="108"/>
      <c r="Z191" s="108"/>
      <c r="AA191" s="108"/>
      <c r="AB191" s="112"/>
      <c r="AC191" s="108"/>
      <c r="AD191" s="108"/>
      <c r="AE191" s="107"/>
      <c r="AF191" s="113"/>
      <c r="AG191" s="115"/>
      <c r="AH191" s="108"/>
      <c r="AI191" s="108"/>
      <c r="AJ191" s="114"/>
      <c r="AK191" s="108"/>
      <c r="AL191" s="115"/>
      <c r="AM191" s="116"/>
      <c r="AN191" s="116"/>
      <c r="AO191" s="139"/>
      <c r="AP191" s="108"/>
      <c r="AQ191" s="107"/>
      <c r="AR191" s="107"/>
      <c r="AS191" s="116"/>
      <c r="AT191" s="114">
        <f t="shared" si="14"/>
        <v>40.4</v>
      </c>
      <c r="AU191" s="114"/>
      <c r="AV191" s="108"/>
      <c r="AW191" s="108"/>
      <c r="AX191" s="108"/>
      <c r="AY191" s="108"/>
      <c r="AZ191" s="108"/>
      <c r="BA191" s="108"/>
      <c r="BB191" s="108"/>
      <c r="BC191" s="108"/>
      <c r="BD191" s="111"/>
      <c r="BE191" s="111">
        <f t="shared" si="11"/>
        <v>40.4</v>
      </c>
      <c r="BF191" s="111"/>
      <c r="BG191" s="111"/>
      <c r="BH191" s="111"/>
      <c r="BI191" s="111"/>
      <c r="BJ191" s="111"/>
      <c r="BK191" s="111"/>
      <c r="BL191" s="111"/>
      <c r="BM191" s="117"/>
      <c r="BN191" s="111"/>
      <c r="BO191" s="117"/>
      <c r="BP191" s="117">
        <f t="shared" si="12"/>
        <v>40.4</v>
      </c>
      <c r="BQ191" s="117"/>
      <c r="BR191" s="111"/>
      <c r="BS191" s="118"/>
      <c r="BT191" s="111"/>
      <c r="BU191" s="118"/>
      <c r="BV191" s="111"/>
      <c r="BW191" s="111"/>
      <c r="BX191" s="111"/>
      <c r="BY191" s="111"/>
      <c r="BZ191" s="111"/>
      <c r="CA191" s="111">
        <f t="shared" si="13"/>
        <v>40.4</v>
      </c>
      <c r="CB191" s="119"/>
      <c r="CC191" s="117"/>
      <c r="CD191" s="120">
        <v>0</v>
      </c>
      <c r="CE191" s="120">
        <v>0</v>
      </c>
      <c r="CF191" s="120">
        <v>0</v>
      </c>
      <c r="CG191" s="111"/>
      <c r="CH191" s="132"/>
      <c r="CI191" s="132"/>
      <c r="CJ191" s="111"/>
      <c r="CK191" s="132"/>
    </row>
    <row r="192" spans="1:89" ht="29.1">
      <c r="A192" s="106" t="s">
        <v>457</v>
      </c>
      <c r="B192" s="107">
        <f>2</f>
        <v>2</v>
      </c>
      <c r="C192" s="49">
        <v>40</v>
      </c>
      <c r="D192" s="107">
        <f>Tracker[[#This Row],[Estimated Hrs]]-Tracker[[#This Row],[Actual Efforts (Hrs)]]</f>
        <v>38</v>
      </c>
      <c r="E192" s="108"/>
      <c r="F192" s="108"/>
      <c r="G192" s="121"/>
      <c r="H192" s="109">
        <v>19578849</v>
      </c>
      <c r="I192" s="127">
        <f>Tracker[[#This Row],[DCR ID - PTC]]</f>
        <v>19578849</v>
      </c>
      <c r="J192" s="108" t="s">
        <v>1049</v>
      </c>
      <c r="K192" s="108" t="s">
        <v>118</v>
      </c>
      <c r="L192" s="108"/>
      <c r="M192" s="108"/>
      <c r="N192" s="580" t="s">
        <v>1050</v>
      </c>
      <c r="O192" s="111" t="s">
        <v>122</v>
      </c>
      <c r="P192" s="111"/>
      <c r="Q192" s="111"/>
      <c r="R192" s="111"/>
      <c r="S192" s="111"/>
      <c r="T192" s="111"/>
      <c r="U192" s="108"/>
      <c r="V192" s="108"/>
      <c r="W192" s="108"/>
      <c r="X192" s="108">
        <f t="shared" si="10"/>
        <v>40.4</v>
      </c>
      <c r="Y192" s="108"/>
      <c r="Z192" s="108"/>
      <c r="AA192" s="108"/>
      <c r="AB192" s="112"/>
      <c r="AC192" s="108"/>
      <c r="AD192" s="108"/>
      <c r="AE192" s="107"/>
      <c r="AF192" s="113"/>
      <c r="AG192" s="115"/>
      <c r="AH192" s="108"/>
      <c r="AI192" s="108"/>
      <c r="AJ192" s="114"/>
      <c r="AK192" s="108"/>
      <c r="AL192" s="115"/>
      <c r="AM192" s="116"/>
      <c r="AN192" s="116"/>
      <c r="AO192" s="139"/>
      <c r="AP192" s="108"/>
      <c r="AQ192" s="107"/>
      <c r="AR192" s="107"/>
      <c r="AS192" s="116"/>
      <c r="AT192" s="114">
        <f t="shared" si="14"/>
        <v>40.4</v>
      </c>
      <c r="AU192" s="114"/>
      <c r="AV192" s="108"/>
      <c r="AW192" s="108"/>
      <c r="AX192" s="108"/>
      <c r="AY192" s="108"/>
      <c r="AZ192" s="108"/>
      <c r="BA192" s="108"/>
      <c r="BB192" s="108"/>
      <c r="BC192" s="108"/>
      <c r="BD192" s="111"/>
      <c r="BE192" s="111">
        <f t="shared" si="11"/>
        <v>40.4</v>
      </c>
      <c r="BF192" s="111"/>
      <c r="BG192" s="111"/>
      <c r="BH192" s="111"/>
      <c r="BI192" s="111"/>
      <c r="BJ192" s="111"/>
      <c r="BK192" s="111"/>
      <c r="BL192" s="111"/>
      <c r="BM192" s="117"/>
      <c r="BN192" s="111"/>
      <c r="BO192" s="117"/>
      <c r="BP192" s="117">
        <f t="shared" si="12"/>
        <v>40.4</v>
      </c>
      <c r="BQ192" s="117"/>
      <c r="BR192" s="111"/>
      <c r="BS192" s="118"/>
      <c r="BT192" s="111"/>
      <c r="BU192" s="118"/>
      <c r="BV192" s="111"/>
      <c r="BW192" s="111"/>
      <c r="BX192" s="111"/>
      <c r="BY192" s="111"/>
      <c r="BZ192" s="111"/>
      <c r="CA192" s="111">
        <f t="shared" si="13"/>
        <v>40.4</v>
      </c>
      <c r="CB192" s="119"/>
      <c r="CC192" s="117"/>
      <c r="CD192" s="120">
        <v>46206</v>
      </c>
      <c r="CE192" s="120">
        <v>46209</v>
      </c>
      <c r="CF192" s="120">
        <v>46211</v>
      </c>
      <c r="CG192" s="111"/>
      <c r="CH192" s="132"/>
      <c r="CI192" s="132"/>
      <c r="CJ192" s="111"/>
      <c r="CK192" s="132"/>
    </row>
    <row r="193" spans="1:89" ht="409.5">
      <c r="A193" s="106" t="s">
        <v>212</v>
      </c>
      <c r="B193" s="107">
        <f>8+6+5+6+7+7+7+8+1+7.75+4+2+0.15+1.5+0.5+0.15</f>
        <v>71.050000000000011</v>
      </c>
      <c r="C193" s="49">
        <v>21</v>
      </c>
      <c r="D193" s="107">
        <f>Tracker[[#This Row],[Estimated Hrs]]-Tracker[[#This Row],[Actual Efforts (Hrs)]]</f>
        <v>-50.050000000000011</v>
      </c>
      <c r="E193" s="108"/>
      <c r="F193" s="108"/>
      <c r="G193" s="121"/>
      <c r="H193" s="109">
        <v>19499649</v>
      </c>
      <c r="I193" s="127">
        <f>Tracker[[#This Row],[DCR ID - PTC]]</f>
        <v>19499649</v>
      </c>
      <c r="J193" s="108" t="s">
        <v>1051</v>
      </c>
      <c r="K193" s="108" t="s">
        <v>104</v>
      </c>
      <c r="L193" s="108"/>
      <c r="M193" s="108"/>
      <c r="N193" s="580" t="s">
        <v>1052</v>
      </c>
      <c r="O193" s="111" t="s">
        <v>106</v>
      </c>
      <c r="P193" s="111"/>
      <c r="Q193" s="111"/>
      <c r="R193" s="111"/>
      <c r="S193" s="111"/>
      <c r="T193" s="111"/>
      <c r="U193" s="108"/>
      <c r="V193" s="108"/>
      <c r="W193" s="108"/>
      <c r="X193" s="108">
        <f t="shared" si="10"/>
        <v>40.4</v>
      </c>
      <c r="Y193" s="108"/>
      <c r="Z193" s="108"/>
      <c r="AA193" s="108"/>
      <c r="AB193" s="112"/>
      <c r="AC193" s="108"/>
      <c r="AD193" s="108"/>
      <c r="AE193" s="107"/>
      <c r="AF193" s="113"/>
      <c r="AG193" s="115"/>
      <c r="AH193" s="108"/>
      <c r="AI193" s="108"/>
      <c r="AJ193" s="114"/>
      <c r="AK193" s="108"/>
      <c r="AL193" s="115"/>
      <c r="AM193" s="116"/>
      <c r="AN193" s="116"/>
      <c r="AO193" s="139"/>
      <c r="AP193" s="108"/>
      <c r="AQ193" s="107"/>
      <c r="AR193" s="107"/>
      <c r="AS193" s="116"/>
      <c r="AT193" s="114">
        <f t="shared" si="14"/>
        <v>40.4</v>
      </c>
      <c r="AU193" s="114"/>
      <c r="AV193" s="108"/>
      <c r="AW193" s="108"/>
      <c r="AX193" s="108"/>
      <c r="AY193" s="108"/>
      <c r="AZ193" s="108"/>
      <c r="BA193" s="108"/>
      <c r="BB193" s="108"/>
      <c r="BC193" s="108"/>
      <c r="BD193" s="111"/>
      <c r="BE193" s="111">
        <f t="shared" si="11"/>
        <v>40.4</v>
      </c>
      <c r="BF193" s="111"/>
      <c r="BG193" s="111"/>
      <c r="BH193" s="111"/>
      <c r="BI193" s="111"/>
      <c r="BJ193" s="111"/>
      <c r="BK193" s="111"/>
      <c r="BL193" s="111"/>
      <c r="BM193" s="117"/>
      <c r="BN193" s="111"/>
      <c r="BO193" s="117"/>
      <c r="BP193" s="117">
        <f t="shared" si="12"/>
        <v>40.4</v>
      </c>
      <c r="BQ193" s="117"/>
      <c r="BR193" s="111"/>
      <c r="BS193" s="118"/>
      <c r="BT193" s="111"/>
      <c r="BU193" s="118"/>
      <c r="BV193" s="111"/>
      <c r="BW193" s="111"/>
      <c r="BX193" s="111"/>
      <c r="BY193" s="111"/>
      <c r="BZ193" s="111"/>
      <c r="CA193" s="111">
        <f t="shared" si="13"/>
        <v>40.4</v>
      </c>
      <c r="CB193" s="119"/>
      <c r="CC193" s="117"/>
      <c r="CD193" s="132">
        <v>0</v>
      </c>
      <c r="CE193" s="132">
        <v>0</v>
      </c>
      <c r="CF193" s="132">
        <v>0</v>
      </c>
      <c r="CG193" s="111"/>
      <c r="CH193" s="132"/>
      <c r="CI193" s="132"/>
      <c r="CJ193" s="111"/>
      <c r="CK193" s="132"/>
    </row>
    <row r="194" spans="1:89" ht="275.25">
      <c r="A194" s="106" t="s">
        <v>1053</v>
      </c>
      <c r="B194" s="107">
        <f>4+7.5+4+0.25+7.5+1</f>
        <v>24.25</v>
      </c>
      <c r="C194" s="49">
        <v>40</v>
      </c>
      <c r="D194" s="107">
        <f>Tracker[[#This Row],[Estimated Hrs]]-Tracker[[#This Row],[Actual Efforts (Hrs)]]</f>
        <v>15.75</v>
      </c>
      <c r="E194" s="108"/>
      <c r="F194" s="108"/>
      <c r="G194" s="121"/>
      <c r="H194" s="109">
        <v>19499649</v>
      </c>
      <c r="I194" s="127">
        <f>Tracker[[#This Row],[DCR ID - PTC]]</f>
        <v>19499649</v>
      </c>
      <c r="J194" s="108" t="s">
        <v>1051</v>
      </c>
      <c r="K194" s="108" t="s">
        <v>118</v>
      </c>
      <c r="L194" s="108"/>
      <c r="M194" s="108"/>
      <c r="N194" s="580" t="s">
        <v>1054</v>
      </c>
      <c r="O194" s="111" t="s">
        <v>115</v>
      </c>
      <c r="P194" s="111"/>
      <c r="Q194" s="111"/>
      <c r="R194" s="111"/>
      <c r="S194" s="111"/>
      <c r="T194" s="111"/>
      <c r="U194" s="108"/>
      <c r="V194" s="108"/>
      <c r="W194" s="108"/>
      <c r="X194" s="108">
        <f t="shared" ref="X194:X223" si="15">4+8+8+8+10+0.25+0.15+2</f>
        <v>40.4</v>
      </c>
      <c r="Y194" s="108"/>
      <c r="Z194" s="108"/>
      <c r="AA194" s="108"/>
      <c r="AB194" s="112"/>
      <c r="AC194" s="108"/>
      <c r="AD194" s="108"/>
      <c r="AE194" s="107"/>
      <c r="AF194" s="113"/>
      <c r="AG194" s="115"/>
      <c r="AH194" s="108"/>
      <c r="AI194" s="108"/>
      <c r="AJ194" s="114"/>
      <c r="AK194" s="108"/>
      <c r="AL194" s="115"/>
      <c r="AM194" s="116"/>
      <c r="AN194" s="116"/>
      <c r="AO194" s="139"/>
      <c r="AP194" s="108"/>
      <c r="AQ194" s="107"/>
      <c r="AR194" s="107"/>
      <c r="AS194" s="116"/>
      <c r="AT194" s="114">
        <f t="shared" ref="AT194:AT223" si="16">4+8+8+8+10+0.25+0.15+2</f>
        <v>40.4</v>
      </c>
      <c r="AU194" s="114"/>
      <c r="AV194" s="108"/>
      <c r="AW194" s="108"/>
      <c r="AX194" s="108"/>
      <c r="AY194" s="108"/>
      <c r="AZ194" s="108"/>
      <c r="BA194" s="108"/>
      <c r="BB194" s="108"/>
      <c r="BC194" s="108"/>
      <c r="BD194" s="111"/>
      <c r="BE194" s="111">
        <f t="shared" ref="BE194:BE223" si="17">4+8+8+8+10+0.25+0.15+2</f>
        <v>40.4</v>
      </c>
      <c r="BF194" s="111"/>
      <c r="BG194" s="111"/>
      <c r="BH194" s="111"/>
      <c r="BI194" s="111"/>
      <c r="BJ194" s="111"/>
      <c r="BK194" s="111"/>
      <c r="BL194" s="111"/>
      <c r="BM194" s="117"/>
      <c r="BN194" s="111"/>
      <c r="BO194" s="117"/>
      <c r="BP194" s="117">
        <f t="shared" ref="BP194:BP223" si="18">4+8+8+8+10+0.25+0.15+2</f>
        <v>40.4</v>
      </c>
      <c r="BQ194" s="117"/>
      <c r="BR194" s="111"/>
      <c r="BS194" s="118"/>
      <c r="BT194" s="111"/>
      <c r="BU194" s="118"/>
      <c r="BV194" s="111"/>
      <c r="BW194" s="111"/>
      <c r="BX194" s="111"/>
      <c r="BY194" s="111"/>
      <c r="BZ194" s="111"/>
      <c r="CA194" s="111">
        <f t="shared" ref="CA194:CA223" si="19">4+8+8+8+10+0.25+0.15+2</f>
        <v>40.4</v>
      </c>
      <c r="CB194" s="119"/>
      <c r="CC194" s="117"/>
      <c r="CD194" s="120">
        <v>0</v>
      </c>
      <c r="CE194" s="120">
        <v>0</v>
      </c>
      <c r="CF194" s="120">
        <v>0</v>
      </c>
      <c r="CG194" s="111"/>
      <c r="CH194" s="132"/>
      <c r="CI194" s="132"/>
      <c r="CJ194" s="111"/>
      <c r="CK194" s="132"/>
    </row>
    <row r="195" spans="1:89" ht="217.5">
      <c r="A195" s="106" t="s">
        <v>457</v>
      </c>
      <c r="B195" s="107">
        <f>5.5+3.5+0.5+0.75+1+0.25</f>
        <v>11.5</v>
      </c>
      <c r="C195" s="49">
        <v>10</v>
      </c>
      <c r="D195" s="107">
        <f>Tracker[[#This Row],[Estimated Hrs]]-Tracker[[#This Row],[Actual Efforts (Hrs)]]</f>
        <v>-1.5</v>
      </c>
      <c r="E195" s="108"/>
      <c r="F195" s="108" t="s">
        <v>867</v>
      </c>
      <c r="G195" s="121" t="s">
        <v>867</v>
      </c>
      <c r="H195" s="109">
        <v>19129965</v>
      </c>
      <c r="I195" s="127">
        <f>Tracker[[#This Row],[DCR ID - PTC]]</f>
        <v>19129965</v>
      </c>
      <c r="J195" s="110" t="s">
        <v>1055</v>
      </c>
      <c r="K195" s="108" t="s">
        <v>104</v>
      </c>
      <c r="L195" s="108"/>
      <c r="M195" s="108"/>
      <c r="N195" s="580" t="s">
        <v>1056</v>
      </c>
      <c r="O195" s="111" t="s">
        <v>106</v>
      </c>
      <c r="P195" s="111"/>
      <c r="Q195" s="111"/>
      <c r="R195" s="111"/>
      <c r="S195" s="111"/>
      <c r="T195" s="111"/>
      <c r="U195" s="108"/>
      <c r="V195" s="108"/>
      <c r="W195" s="108"/>
      <c r="X195" s="108">
        <f t="shared" si="15"/>
        <v>40.4</v>
      </c>
      <c r="Y195" s="108"/>
      <c r="Z195" s="108"/>
      <c r="AA195" s="108"/>
      <c r="AB195" s="112"/>
      <c r="AC195" s="108"/>
      <c r="AD195" s="108"/>
      <c r="AE195" s="107"/>
      <c r="AF195" s="113"/>
      <c r="AG195" s="115">
        <v>46167</v>
      </c>
      <c r="AH195" s="108"/>
      <c r="AI195" s="108"/>
      <c r="AJ195" s="114"/>
      <c r="AK195" s="108"/>
      <c r="AL195" s="115"/>
      <c r="AM195" s="116"/>
      <c r="AN195" s="116"/>
      <c r="AO195" s="139">
        <v>46171</v>
      </c>
      <c r="AP195" s="108"/>
      <c r="AQ195" s="107"/>
      <c r="AR195" s="107"/>
      <c r="AS195" s="116">
        <v>46175</v>
      </c>
      <c r="AT195" s="114">
        <v>46169</v>
      </c>
      <c r="AU195" s="114">
        <v>46174</v>
      </c>
      <c r="AV195" s="108"/>
      <c r="AW195" s="108"/>
      <c r="AX195" s="108" t="s">
        <v>97</v>
      </c>
      <c r="AY195" s="108" t="s">
        <v>98</v>
      </c>
      <c r="AZ195" s="108"/>
      <c r="BA195" s="108"/>
      <c r="BB195" s="108"/>
      <c r="BC195" s="108"/>
      <c r="BD195" s="111"/>
      <c r="BE195" s="111">
        <f t="shared" si="17"/>
        <v>40.4</v>
      </c>
      <c r="BF195" s="111"/>
      <c r="BG195" s="111"/>
      <c r="BH195" s="111"/>
      <c r="BI195" s="111"/>
      <c r="BJ195" s="111"/>
      <c r="BK195" s="111"/>
      <c r="BL195" s="111"/>
      <c r="BM195" s="117"/>
      <c r="BN195" s="111"/>
      <c r="BO195" s="117"/>
      <c r="BP195" s="117">
        <f t="shared" si="18"/>
        <v>40.4</v>
      </c>
      <c r="BQ195" s="117"/>
      <c r="BR195" s="111"/>
      <c r="BS195" s="118"/>
      <c r="BT195" s="111"/>
      <c r="BU195" s="118"/>
      <c r="BV195" s="111"/>
      <c r="BW195" s="111"/>
      <c r="BX195" s="111"/>
      <c r="BY195" s="111"/>
      <c r="BZ195" s="111"/>
      <c r="CA195" s="111">
        <f t="shared" si="19"/>
        <v>40.4</v>
      </c>
      <c r="CB195" s="119">
        <v>1</v>
      </c>
      <c r="CC195" s="117"/>
      <c r="CD195" s="132">
        <v>0</v>
      </c>
      <c r="CE195" s="132">
        <v>0</v>
      </c>
      <c r="CF195" s="132">
        <v>0</v>
      </c>
      <c r="CG195" s="111"/>
      <c r="CH195" s="132"/>
      <c r="CI195" s="132"/>
      <c r="CJ195" s="111"/>
      <c r="CK195" s="586" t="s">
        <v>882</v>
      </c>
    </row>
    <row r="196" spans="1:89" ht="72.599999999999994">
      <c r="A196" s="106" t="s">
        <v>457</v>
      </c>
      <c r="B196" s="107"/>
      <c r="C196" s="49">
        <v>25</v>
      </c>
      <c r="D196" s="107">
        <f>Tracker[[#This Row],[Estimated Hrs]]-Tracker[[#This Row],[Actual Efforts (Hrs)]]</f>
        <v>25</v>
      </c>
      <c r="E196" s="108"/>
      <c r="F196" s="108"/>
      <c r="G196" s="121"/>
      <c r="H196" s="109">
        <v>19129965</v>
      </c>
      <c r="I196" s="127">
        <f>Tracker[[#This Row],[DCR ID - PTC]]</f>
        <v>19129965</v>
      </c>
      <c r="J196" s="108" t="s">
        <v>1055</v>
      </c>
      <c r="K196" s="108" t="s">
        <v>118</v>
      </c>
      <c r="L196" s="108"/>
      <c r="M196" s="108"/>
      <c r="N196" s="580"/>
      <c r="O196" s="111" t="s">
        <v>122</v>
      </c>
      <c r="P196" s="111"/>
      <c r="Q196" s="111"/>
      <c r="R196" s="111"/>
      <c r="S196" s="111"/>
      <c r="T196" s="111"/>
      <c r="U196" s="108"/>
      <c r="V196" s="108"/>
      <c r="W196" s="108"/>
      <c r="X196" s="108">
        <f t="shared" si="15"/>
        <v>40.4</v>
      </c>
      <c r="Y196" s="108"/>
      <c r="Z196" s="108"/>
      <c r="AA196" s="108"/>
      <c r="AB196" s="112"/>
      <c r="AC196" s="108"/>
      <c r="AD196" s="108"/>
      <c r="AE196" s="107"/>
      <c r="AF196" s="113"/>
      <c r="AG196" s="115"/>
      <c r="AH196" s="108"/>
      <c r="AI196" s="108"/>
      <c r="AJ196" s="114"/>
      <c r="AK196" s="108"/>
      <c r="AL196" s="115"/>
      <c r="AM196" s="116"/>
      <c r="AN196" s="116"/>
      <c r="AO196" s="139"/>
      <c r="AP196" s="108"/>
      <c r="AQ196" s="107"/>
      <c r="AR196" s="107"/>
      <c r="AS196" s="116"/>
      <c r="AT196" s="114">
        <f t="shared" si="16"/>
        <v>40.4</v>
      </c>
      <c r="AU196" s="114"/>
      <c r="AV196" s="108"/>
      <c r="AW196" s="108"/>
      <c r="AX196" s="108"/>
      <c r="AY196" s="108"/>
      <c r="AZ196" s="108"/>
      <c r="BA196" s="108"/>
      <c r="BB196" s="108"/>
      <c r="BC196" s="108"/>
      <c r="BD196" s="111"/>
      <c r="BE196" s="111">
        <f t="shared" si="17"/>
        <v>40.4</v>
      </c>
      <c r="BF196" s="111"/>
      <c r="BG196" s="111"/>
      <c r="BH196" s="111"/>
      <c r="BI196" s="111"/>
      <c r="BJ196" s="111"/>
      <c r="BK196" s="111"/>
      <c r="BL196" s="111"/>
      <c r="BM196" s="117"/>
      <c r="BN196" s="111"/>
      <c r="BO196" s="117"/>
      <c r="BP196" s="117">
        <f t="shared" si="18"/>
        <v>40.4</v>
      </c>
      <c r="BQ196" s="117"/>
      <c r="BR196" s="111"/>
      <c r="BS196" s="118"/>
      <c r="BT196" s="111"/>
      <c r="BU196" s="118"/>
      <c r="BV196" s="111"/>
      <c r="BW196" s="111"/>
      <c r="BX196" s="111"/>
      <c r="BY196" s="111"/>
      <c r="BZ196" s="111"/>
      <c r="CA196" s="111">
        <f t="shared" si="19"/>
        <v>40.4</v>
      </c>
      <c r="CB196" s="119"/>
      <c r="CC196" s="117"/>
      <c r="CD196" s="120">
        <v>0</v>
      </c>
      <c r="CE196" s="120">
        <v>0</v>
      </c>
      <c r="CF196" s="120">
        <v>0</v>
      </c>
      <c r="CG196" s="111"/>
      <c r="CH196" s="132"/>
      <c r="CI196" s="132"/>
      <c r="CJ196" s="111"/>
      <c r="CK196" s="132"/>
    </row>
    <row r="197" spans="1:89" ht="362.45">
      <c r="A197" s="106" t="s">
        <v>577</v>
      </c>
      <c r="B197" s="107">
        <f>5.5+4+6.5+4+3.5+4+2.5+0.75+3.5+3</f>
        <v>37.25</v>
      </c>
      <c r="C197" s="49">
        <v>22</v>
      </c>
      <c r="D197" s="107">
        <f>Tracker[[#This Row],[Estimated Hrs]]-Tracker[[#This Row],[Actual Efforts (Hrs)]]</f>
        <v>-15.25</v>
      </c>
      <c r="E197" s="108"/>
      <c r="F197" s="108"/>
      <c r="G197" s="121"/>
      <c r="H197" s="109">
        <v>19604793</v>
      </c>
      <c r="I197" s="127">
        <f>Tracker[[#This Row],[DCR ID - PTC]]</f>
        <v>19604793</v>
      </c>
      <c r="J197" s="108" t="s">
        <v>1057</v>
      </c>
      <c r="K197" s="108" t="s">
        <v>104</v>
      </c>
      <c r="L197" s="108"/>
      <c r="M197" s="108"/>
      <c r="N197" s="580" t="s">
        <v>1058</v>
      </c>
      <c r="O197" s="111" t="s">
        <v>106</v>
      </c>
      <c r="P197" s="111"/>
      <c r="Q197" s="111"/>
      <c r="R197" s="111"/>
      <c r="S197" s="111"/>
      <c r="T197" s="111"/>
      <c r="U197" s="108"/>
      <c r="V197" s="108"/>
      <c r="W197" s="108"/>
      <c r="X197" s="108">
        <f t="shared" si="15"/>
        <v>40.4</v>
      </c>
      <c r="Y197" s="108"/>
      <c r="Z197" s="108"/>
      <c r="AA197" s="108"/>
      <c r="AB197" s="112"/>
      <c r="AC197" s="108"/>
      <c r="AD197" s="108"/>
      <c r="AE197" s="107"/>
      <c r="AF197" s="113"/>
      <c r="AG197" s="115"/>
      <c r="AH197" s="108"/>
      <c r="AI197" s="108"/>
      <c r="AJ197" s="114"/>
      <c r="AK197" s="108"/>
      <c r="AL197" s="115"/>
      <c r="AM197" s="116"/>
      <c r="AN197" s="116"/>
      <c r="AO197" s="139"/>
      <c r="AP197" s="108"/>
      <c r="AQ197" s="107"/>
      <c r="AR197" s="107"/>
      <c r="AS197" s="116"/>
      <c r="AT197" s="114">
        <f t="shared" si="16"/>
        <v>40.4</v>
      </c>
      <c r="AU197" s="114"/>
      <c r="AV197" s="108"/>
      <c r="AW197" s="108"/>
      <c r="AX197" s="108"/>
      <c r="AY197" s="108"/>
      <c r="AZ197" s="108"/>
      <c r="BA197" s="108"/>
      <c r="BB197" s="108"/>
      <c r="BC197" s="108"/>
      <c r="BD197" s="111"/>
      <c r="BE197" s="111">
        <f t="shared" si="17"/>
        <v>40.4</v>
      </c>
      <c r="BF197" s="111"/>
      <c r="BG197" s="111"/>
      <c r="BH197" s="111"/>
      <c r="BI197" s="111"/>
      <c r="BJ197" s="111"/>
      <c r="BK197" s="111"/>
      <c r="BL197" s="111"/>
      <c r="BM197" s="117"/>
      <c r="BN197" s="111"/>
      <c r="BO197" s="117"/>
      <c r="BP197" s="117">
        <f t="shared" si="18"/>
        <v>40.4</v>
      </c>
      <c r="BQ197" s="117"/>
      <c r="BR197" s="111"/>
      <c r="BS197" s="118"/>
      <c r="BT197" s="111"/>
      <c r="BU197" s="118"/>
      <c r="BV197" s="111"/>
      <c r="BW197" s="111"/>
      <c r="BX197" s="111"/>
      <c r="BY197" s="111"/>
      <c r="BZ197" s="111"/>
      <c r="CA197" s="111">
        <f t="shared" si="19"/>
        <v>40.4</v>
      </c>
      <c r="CB197" s="119"/>
      <c r="CC197" s="117"/>
      <c r="CD197" s="132">
        <v>46176</v>
      </c>
      <c r="CE197" s="132">
        <v>46195</v>
      </c>
      <c r="CF197" s="132">
        <v>46196</v>
      </c>
      <c r="CG197" s="111"/>
      <c r="CH197" s="132"/>
      <c r="CI197" s="132"/>
      <c r="CJ197" s="111"/>
      <c r="CK197" s="132"/>
    </row>
    <row r="198" spans="1:89" ht="409.6">
      <c r="A198" s="106" t="s">
        <v>1059</v>
      </c>
      <c r="B198" s="107">
        <f>3+8+7+8+8+7.25+8+8+4+(2)+7.75</f>
        <v>71</v>
      </c>
      <c r="C198" s="49">
        <v>60</v>
      </c>
      <c r="D198" s="107">
        <f>Tracker[[#This Row],[Estimated Hrs]]-Tracker[[#This Row],[Actual Efforts (Hrs)]]</f>
        <v>-11</v>
      </c>
      <c r="E198" s="108"/>
      <c r="F198" s="108"/>
      <c r="G198" s="121"/>
      <c r="H198" s="109">
        <v>19604793</v>
      </c>
      <c r="I198" s="127">
        <f>Tracker[[#This Row],[DCR ID - PTC]]</f>
        <v>19604793</v>
      </c>
      <c r="J198" s="108" t="s">
        <v>1057</v>
      </c>
      <c r="K198" s="108" t="s">
        <v>118</v>
      </c>
      <c r="L198" s="108"/>
      <c r="M198" s="108"/>
      <c r="N198" s="580" t="s">
        <v>1060</v>
      </c>
      <c r="O198" s="111" t="s">
        <v>115</v>
      </c>
      <c r="P198" s="111"/>
      <c r="Q198" s="111"/>
      <c r="R198" s="111"/>
      <c r="S198" s="111"/>
      <c r="T198" s="111"/>
      <c r="U198" s="108"/>
      <c r="V198" s="108"/>
      <c r="W198" s="108"/>
      <c r="X198" s="108">
        <f t="shared" si="15"/>
        <v>40.4</v>
      </c>
      <c r="Y198" s="108"/>
      <c r="Z198" s="108"/>
      <c r="AA198" s="108"/>
      <c r="AB198" s="112"/>
      <c r="AC198" s="108"/>
      <c r="AD198" s="108"/>
      <c r="AE198" s="107"/>
      <c r="AF198" s="113"/>
      <c r="AG198" s="115"/>
      <c r="AH198" s="108"/>
      <c r="AI198" s="108"/>
      <c r="AJ198" s="114"/>
      <c r="AK198" s="108"/>
      <c r="AL198" s="115"/>
      <c r="AM198" s="116"/>
      <c r="AN198" s="116"/>
      <c r="AO198" s="139"/>
      <c r="AP198" s="108"/>
      <c r="AQ198" s="107"/>
      <c r="AR198" s="107"/>
      <c r="AS198" s="116"/>
      <c r="AT198" s="114">
        <f t="shared" si="16"/>
        <v>40.4</v>
      </c>
      <c r="AU198" s="114"/>
      <c r="AV198" s="108"/>
      <c r="AW198" s="108"/>
      <c r="AX198" s="108"/>
      <c r="AY198" s="108"/>
      <c r="AZ198" s="108"/>
      <c r="BA198" s="108"/>
      <c r="BB198" s="108"/>
      <c r="BC198" s="108"/>
      <c r="BD198" s="111"/>
      <c r="BE198" s="111">
        <f t="shared" si="17"/>
        <v>40.4</v>
      </c>
      <c r="BF198" s="111"/>
      <c r="BG198" s="111"/>
      <c r="BH198" s="111"/>
      <c r="BI198" s="111"/>
      <c r="BJ198" s="111"/>
      <c r="BK198" s="111"/>
      <c r="BL198" s="111"/>
      <c r="BM198" s="117"/>
      <c r="BN198" s="111"/>
      <c r="BO198" s="117"/>
      <c r="BP198" s="117">
        <f t="shared" si="18"/>
        <v>40.4</v>
      </c>
      <c r="BQ198" s="117"/>
      <c r="BR198" s="111"/>
      <c r="BS198" s="118"/>
      <c r="BT198" s="111"/>
      <c r="BU198" s="118"/>
      <c r="BV198" s="111"/>
      <c r="BW198" s="111"/>
      <c r="BX198" s="111"/>
      <c r="BY198" s="111"/>
      <c r="BZ198" s="111"/>
      <c r="CA198" s="111">
        <f t="shared" si="19"/>
        <v>40.4</v>
      </c>
      <c r="CB198" s="119"/>
      <c r="CC198" s="117"/>
      <c r="CD198" s="120">
        <v>46192</v>
      </c>
      <c r="CE198" s="120">
        <v>46195</v>
      </c>
      <c r="CF198" s="120">
        <v>46196</v>
      </c>
      <c r="CG198" s="111"/>
      <c r="CH198" s="132"/>
      <c r="CI198" s="132"/>
      <c r="CJ198" s="111"/>
      <c r="CK198" s="132"/>
    </row>
    <row r="199" spans="1:89" ht="57.95">
      <c r="A199" s="106" t="s">
        <v>768</v>
      </c>
      <c r="B199" s="107">
        <f>7+6+0.5+2+2+2+1</f>
        <v>20.5</v>
      </c>
      <c r="C199" s="49">
        <v>70</v>
      </c>
      <c r="D199" s="107">
        <v>0</v>
      </c>
      <c r="E199" s="108"/>
      <c r="F199" s="108"/>
      <c r="G199" s="121"/>
      <c r="H199" s="109">
        <v>12810844</v>
      </c>
      <c r="I199" s="127">
        <f>Tracker[[#This Row],[DCR ID - PTC]]</f>
        <v>12810844</v>
      </c>
      <c r="J199" s="108" t="s">
        <v>1061</v>
      </c>
      <c r="K199" s="108" t="s">
        <v>104</v>
      </c>
      <c r="L199" s="108"/>
      <c r="M199" s="108"/>
      <c r="N199" s="580" t="s">
        <v>1062</v>
      </c>
      <c r="O199" s="111" t="s">
        <v>115</v>
      </c>
      <c r="P199" s="111"/>
      <c r="Q199" s="111"/>
      <c r="R199" s="111"/>
      <c r="S199" s="111"/>
      <c r="T199" s="111"/>
      <c r="U199" s="108"/>
      <c r="V199" s="108"/>
      <c r="W199" s="108"/>
      <c r="X199" s="108">
        <f t="shared" si="15"/>
        <v>40.4</v>
      </c>
      <c r="Y199" s="108"/>
      <c r="Z199" s="108"/>
      <c r="AA199" s="108"/>
      <c r="AB199" s="112"/>
      <c r="AC199" s="108"/>
      <c r="AD199" s="108" t="s">
        <v>116</v>
      </c>
      <c r="AE199" s="107"/>
      <c r="AF199" s="113"/>
      <c r="AG199" s="115"/>
      <c r="AH199" s="108" t="s">
        <v>100</v>
      </c>
      <c r="AI199" s="108" t="s">
        <v>101</v>
      </c>
      <c r="AJ199" s="114">
        <v>46112.395833333336</v>
      </c>
      <c r="AK199" s="108" t="s">
        <v>321</v>
      </c>
      <c r="AL199" s="115">
        <v>46128.47965277778</v>
      </c>
      <c r="AM199" s="116"/>
      <c r="AN199" s="116"/>
      <c r="AO199" s="139"/>
      <c r="AP199" s="108"/>
      <c r="AQ199" s="107"/>
      <c r="AR199" s="107"/>
      <c r="AS199" s="116"/>
      <c r="AT199" s="114">
        <f t="shared" si="16"/>
        <v>40.4</v>
      </c>
      <c r="AU199" s="114"/>
      <c r="AV199" s="108"/>
      <c r="AW199" s="108"/>
      <c r="AX199" s="108"/>
      <c r="AY199" s="108" t="s">
        <v>866</v>
      </c>
      <c r="AZ199" s="108"/>
      <c r="BA199" s="108"/>
      <c r="BB199" s="108"/>
      <c r="BC199" s="108"/>
      <c r="BD199" s="111"/>
      <c r="BE199" s="111">
        <f t="shared" si="17"/>
        <v>40.4</v>
      </c>
      <c r="BF199" s="111"/>
      <c r="BG199" s="111"/>
      <c r="BH199" s="111"/>
      <c r="BI199" s="111"/>
      <c r="BJ199" s="111"/>
      <c r="BK199" s="111"/>
      <c r="BL199" s="111"/>
      <c r="BM199" s="117"/>
      <c r="BN199" s="111"/>
      <c r="BO199" s="117"/>
      <c r="BP199" s="117">
        <f t="shared" si="18"/>
        <v>40.4</v>
      </c>
      <c r="BQ199" s="117"/>
      <c r="BR199" s="111"/>
      <c r="BS199" s="118"/>
      <c r="BT199" s="111"/>
      <c r="BU199" s="118"/>
      <c r="BV199" s="111"/>
      <c r="BW199" s="111"/>
      <c r="BX199" s="111"/>
      <c r="BY199" s="111"/>
      <c r="BZ199" s="111"/>
      <c r="CA199" s="111">
        <f t="shared" si="19"/>
        <v>40.4</v>
      </c>
      <c r="CB199" s="119"/>
      <c r="CC199" s="117"/>
      <c r="CD199" s="132">
        <v>0</v>
      </c>
      <c r="CE199" s="132">
        <v>46230</v>
      </c>
      <c r="CF199" s="132">
        <v>46231</v>
      </c>
      <c r="CG199" s="111"/>
      <c r="CH199" s="132"/>
      <c r="CI199" s="132"/>
      <c r="CJ199" s="111"/>
      <c r="CK199" s="132"/>
    </row>
    <row r="200" spans="1:89" ht="116.1">
      <c r="A200" s="106" t="s">
        <v>248</v>
      </c>
      <c r="B200" s="49">
        <f>6+4+5.5+4+3+1+1+0.5</f>
        <v>25</v>
      </c>
      <c r="C200" s="49">
        <v>18</v>
      </c>
      <c r="D200" s="107">
        <f>Tracker[[#This Row],[Estimated Hrs]]-Tracker[[#This Row],[Actual Efforts (Hrs)]]</f>
        <v>-7</v>
      </c>
      <c r="E200" s="134"/>
      <c r="F200" s="134" t="s">
        <v>867</v>
      </c>
      <c r="G200" s="150" t="s">
        <v>867</v>
      </c>
      <c r="H200" s="135">
        <v>18733228</v>
      </c>
      <c r="I200" s="149">
        <v>18733228</v>
      </c>
      <c r="J200" s="49" t="s">
        <v>1063</v>
      </c>
      <c r="K200" s="134" t="s">
        <v>104</v>
      </c>
      <c r="L200" s="134"/>
      <c r="M200" s="134" t="s">
        <v>1064</v>
      </c>
      <c r="N200" s="580" t="s">
        <v>1065</v>
      </c>
      <c r="O200" s="123" t="s">
        <v>106</v>
      </c>
      <c r="P200" s="123"/>
      <c r="Q200" s="123"/>
      <c r="R200" s="123"/>
      <c r="S200" s="123"/>
      <c r="T200" s="123"/>
      <c r="U200" s="134"/>
      <c r="V200" s="134"/>
      <c r="W200" s="134"/>
      <c r="X200" s="134">
        <f t="shared" si="15"/>
        <v>40.4</v>
      </c>
      <c r="Y200" s="134"/>
      <c r="Z200" s="134"/>
      <c r="AA200" s="134" t="s">
        <v>873</v>
      </c>
      <c r="AB200" s="29">
        <v>46148</v>
      </c>
      <c r="AC200" s="134"/>
      <c r="AD200" s="134" t="s">
        <v>116</v>
      </c>
      <c r="AE200" s="49"/>
      <c r="AF200" s="136"/>
      <c r="AG200" s="137">
        <v>46162</v>
      </c>
      <c r="AH200" s="134" t="s">
        <v>94</v>
      </c>
      <c r="AI200" s="134" t="s">
        <v>95</v>
      </c>
      <c r="AJ200" s="138">
        <v>46142.395833333336</v>
      </c>
      <c r="AK200" s="134" t="s">
        <v>96</v>
      </c>
      <c r="AL200" s="137">
        <v>46126.864131944443</v>
      </c>
      <c r="AM200" s="139"/>
      <c r="AN200" s="139"/>
      <c r="AO200" s="139">
        <v>46178</v>
      </c>
      <c r="AP200" s="134"/>
      <c r="AQ200" s="49"/>
      <c r="AR200" s="49"/>
      <c r="AS200" s="139">
        <v>46178</v>
      </c>
      <c r="AT200" s="138" t="s">
        <v>125</v>
      </c>
      <c r="AU200" s="138" t="s">
        <v>125</v>
      </c>
      <c r="AV200" s="134"/>
      <c r="AW200" s="134"/>
      <c r="AX200" s="108" t="s">
        <v>97</v>
      </c>
      <c r="AY200" s="108" t="s">
        <v>98</v>
      </c>
      <c r="AZ200" s="134"/>
      <c r="BA200" s="134"/>
      <c r="BB200" s="134"/>
      <c r="BC200" s="134"/>
      <c r="BD200" s="123"/>
      <c r="BE200" s="123">
        <f t="shared" si="17"/>
        <v>40.4</v>
      </c>
      <c r="BF200" s="123"/>
      <c r="BG200" s="123"/>
      <c r="BH200" s="123"/>
      <c r="BI200" s="123"/>
      <c r="BJ200" s="123"/>
      <c r="BK200" s="123"/>
      <c r="BL200" s="123"/>
      <c r="BM200" s="117"/>
      <c r="BN200" s="123"/>
      <c r="BO200" s="140"/>
      <c r="BP200" s="140">
        <f t="shared" si="18"/>
        <v>40.4</v>
      </c>
      <c r="BQ200" s="140"/>
      <c r="BR200" s="123"/>
      <c r="BS200" s="141"/>
      <c r="BT200" s="123"/>
      <c r="BU200" s="141"/>
      <c r="BV200" s="123"/>
      <c r="BW200" s="123"/>
      <c r="BX200" s="123"/>
      <c r="BY200" s="123"/>
      <c r="BZ200" s="123"/>
      <c r="CA200" s="123">
        <f t="shared" si="19"/>
        <v>40.4</v>
      </c>
      <c r="CB200" s="119">
        <v>1</v>
      </c>
      <c r="CC200" s="140"/>
      <c r="CD200" s="120">
        <v>0</v>
      </c>
      <c r="CE200" s="120">
        <v>0</v>
      </c>
      <c r="CF200" s="120">
        <v>0</v>
      </c>
      <c r="CG200" s="123"/>
      <c r="CH200" s="120"/>
      <c r="CI200" s="120"/>
      <c r="CJ200" s="123"/>
      <c r="CK200" s="586" t="s">
        <v>125</v>
      </c>
    </row>
    <row r="201" spans="1:89" ht="101.45">
      <c r="A201" s="106" t="s">
        <v>158</v>
      </c>
      <c r="B201" s="107">
        <f>3+3+3+1+2+1.5+1+2</f>
        <v>16.5</v>
      </c>
      <c r="C201" s="49">
        <v>20</v>
      </c>
      <c r="D201" s="107">
        <f>Tracker[[#This Row],[Estimated Hrs]]-Tracker[[#This Row],[Actual Efforts (Hrs)]]</f>
        <v>3.5</v>
      </c>
      <c r="E201" s="108"/>
      <c r="F201" s="108" t="s">
        <v>136</v>
      </c>
      <c r="G201" s="121"/>
      <c r="H201" s="109">
        <v>19659117</v>
      </c>
      <c r="I201" s="127">
        <v>19659117</v>
      </c>
      <c r="J201" s="107" t="s">
        <v>1066</v>
      </c>
      <c r="K201" s="108" t="s">
        <v>118</v>
      </c>
      <c r="L201" s="108"/>
      <c r="M201" s="108"/>
      <c r="N201" s="580" t="s">
        <v>1067</v>
      </c>
      <c r="O201" s="111" t="s">
        <v>115</v>
      </c>
      <c r="P201" s="111"/>
      <c r="Q201" s="111"/>
      <c r="R201" s="111"/>
      <c r="S201" s="111"/>
      <c r="T201" s="111"/>
      <c r="U201" s="108"/>
      <c r="V201" s="108"/>
      <c r="W201" s="108"/>
      <c r="X201" s="108">
        <f t="shared" si="15"/>
        <v>40.4</v>
      </c>
      <c r="Y201" s="108"/>
      <c r="Z201" s="108"/>
      <c r="AA201" s="108" t="s">
        <v>873</v>
      </c>
      <c r="AB201" s="112">
        <v>46148</v>
      </c>
      <c r="AC201" s="108"/>
      <c r="AD201" s="108" t="s">
        <v>116</v>
      </c>
      <c r="AE201" s="107"/>
      <c r="AF201" s="113"/>
      <c r="AG201" s="115">
        <v>46136.03869212963</v>
      </c>
      <c r="AH201" s="108" t="s">
        <v>94</v>
      </c>
      <c r="AI201" s="108" t="s">
        <v>95</v>
      </c>
      <c r="AJ201" s="114">
        <v>46142.395833333336</v>
      </c>
      <c r="AK201" s="108" t="s">
        <v>96</v>
      </c>
      <c r="AL201" s="115">
        <v>46126.864131944443</v>
      </c>
      <c r="AM201" s="116"/>
      <c r="AN201" s="116"/>
      <c r="AO201" s="116"/>
      <c r="AP201" s="108"/>
      <c r="AQ201" s="107"/>
      <c r="AR201" s="107"/>
      <c r="AS201" s="116"/>
      <c r="AT201" s="114">
        <f t="shared" si="16"/>
        <v>40.4</v>
      </c>
      <c r="AU201" s="114"/>
      <c r="AV201" s="108"/>
      <c r="AW201" s="108"/>
      <c r="AX201" s="108"/>
      <c r="AY201" s="108" t="s">
        <v>866</v>
      </c>
      <c r="AZ201" s="108"/>
      <c r="BA201" s="108"/>
      <c r="BB201" s="108"/>
      <c r="BC201" s="108"/>
      <c r="BD201" s="111"/>
      <c r="BE201" s="111">
        <f t="shared" si="17"/>
        <v>40.4</v>
      </c>
      <c r="BF201" s="111"/>
      <c r="BG201" s="111"/>
      <c r="BH201" s="111"/>
      <c r="BI201" s="111"/>
      <c r="BJ201" s="111"/>
      <c r="BK201" s="111"/>
      <c r="BL201" s="111"/>
      <c r="BM201" s="117"/>
      <c r="BN201" s="111"/>
      <c r="BO201" s="117"/>
      <c r="BP201" s="117">
        <f t="shared" si="18"/>
        <v>40.4</v>
      </c>
      <c r="BQ201" s="117"/>
      <c r="BR201" s="111"/>
      <c r="BS201" s="118"/>
      <c r="BT201" s="111"/>
      <c r="BU201" s="118"/>
      <c r="BV201" s="111"/>
      <c r="BW201" s="111"/>
      <c r="BX201" s="111"/>
      <c r="BY201" s="111"/>
      <c r="BZ201" s="111"/>
      <c r="CA201" s="111">
        <f t="shared" si="19"/>
        <v>40.4</v>
      </c>
      <c r="CB201" s="119"/>
      <c r="CC201" s="117"/>
      <c r="CD201" s="132">
        <v>0</v>
      </c>
      <c r="CE201" s="132">
        <v>0</v>
      </c>
      <c r="CF201" s="132">
        <v>0</v>
      </c>
      <c r="CG201" s="111"/>
      <c r="CH201" s="132"/>
      <c r="CI201" s="132"/>
      <c r="CJ201" s="111"/>
      <c r="CK201" s="132"/>
    </row>
    <row r="202" spans="1:89" ht="72.599999999999994">
      <c r="A202" s="106" t="s">
        <v>158</v>
      </c>
      <c r="B202" s="49">
        <v>0</v>
      </c>
      <c r="C202" s="49">
        <v>20</v>
      </c>
      <c r="D202" s="107">
        <f>Tracker[[#This Row],[Estimated Hrs]]-Tracker[[#This Row],[Actual Efforts (Hrs)]]</f>
        <v>20</v>
      </c>
      <c r="E202" s="134"/>
      <c r="F202" s="134" t="s">
        <v>136</v>
      </c>
      <c r="G202" s="150"/>
      <c r="H202" s="135">
        <v>19658859</v>
      </c>
      <c r="I202" s="149">
        <v>19658859</v>
      </c>
      <c r="J202" s="49" t="s">
        <v>1068</v>
      </c>
      <c r="K202" s="134" t="s">
        <v>118</v>
      </c>
      <c r="L202" s="134"/>
      <c r="M202" s="134"/>
      <c r="N202" s="580" t="s">
        <v>1069</v>
      </c>
      <c r="O202" s="123" t="s">
        <v>115</v>
      </c>
      <c r="P202" s="123"/>
      <c r="Q202" s="123"/>
      <c r="R202" s="123"/>
      <c r="S202" s="123"/>
      <c r="T202" s="123"/>
      <c r="U202" s="134"/>
      <c r="V202" s="134"/>
      <c r="W202" s="134"/>
      <c r="X202" s="134">
        <f t="shared" si="15"/>
        <v>40.4</v>
      </c>
      <c r="Y202" s="134"/>
      <c r="Z202" s="134"/>
      <c r="AA202" s="134" t="s">
        <v>873</v>
      </c>
      <c r="AB202" s="29">
        <v>46148</v>
      </c>
      <c r="AC202" s="134"/>
      <c r="AD202" s="134" t="s">
        <v>116</v>
      </c>
      <c r="AE202" s="49"/>
      <c r="AF202" s="136"/>
      <c r="AG202" s="137">
        <v>46136.03869212963</v>
      </c>
      <c r="AH202" s="134" t="s">
        <v>94</v>
      </c>
      <c r="AI202" s="134" t="s">
        <v>95</v>
      </c>
      <c r="AJ202" s="138">
        <v>46142.395833333336</v>
      </c>
      <c r="AK202" s="134" t="s">
        <v>96</v>
      </c>
      <c r="AL202" s="137">
        <v>46126.864131944443</v>
      </c>
      <c r="AM202" s="139"/>
      <c r="AN202" s="139"/>
      <c r="AO202" s="116"/>
      <c r="AP202" s="134"/>
      <c r="AQ202" s="49"/>
      <c r="AR202" s="49"/>
      <c r="AS202" s="139"/>
      <c r="AT202" s="138">
        <f t="shared" si="16"/>
        <v>40.4</v>
      </c>
      <c r="AU202" s="138"/>
      <c r="AV202" s="134"/>
      <c r="AW202" s="134"/>
      <c r="AX202" s="134"/>
      <c r="AY202" s="134" t="s">
        <v>866</v>
      </c>
      <c r="AZ202" s="134"/>
      <c r="BA202" s="134"/>
      <c r="BB202" s="134"/>
      <c r="BC202" s="134"/>
      <c r="BD202" s="123"/>
      <c r="BE202" s="123">
        <f t="shared" si="17"/>
        <v>40.4</v>
      </c>
      <c r="BF202" s="123"/>
      <c r="BG202" s="123"/>
      <c r="BH202" s="123"/>
      <c r="BI202" s="123"/>
      <c r="BJ202" s="123"/>
      <c r="BK202" s="123"/>
      <c r="BL202" s="123"/>
      <c r="BM202" s="117"/>
      <c r="BN202" s="123"/>
      <c r="BO202" s="140"/>
      <c r="BP202" s="140">
        <f t="shared" si="18"/>
        <v>40.4</v>
      </c>
      <c r="BQ202" s="140"/>
      <c r="BR202" s="123"/>
      <c r="BS202" s="141"/>
      <c r="BT202" s="123"/>
      <c r="BU202" s="141"/>
      <c r="BV202" s="123"/>
      <c r="BW202" s="123"/>
      <c r="BX202" s="123"/>
      <c r="BY202" s="123"/>
      <c r="BZ202" s="123"/>
      <c r="CA202" s="123">
        <f t="shared" si="19"/>
        <v>40.4</v>
      </c>
      <c r="CB202" s="143"/>
      <c r="CC202" s="140"/>
      <c r="CD202" s="120">
        <v>0</v>
      </c>
      <c r="CE202" s="120">
        <v>0</v>
      </c>
      <c r="CF202" s="120">
        <v>0</v>
      </c>
      <c r="CG202" s="123"/>
      <c r="CH202" s="120"/>
      <c r="CI202" s="120"/>
      <c r="CJ202" s="123"/>
      <c r="CK202" s="132"/>
    </row>
    <row r="203" spans="1:89" ht="57.95">
      <c r="A203" s="106" t="s">
        <v>768</v>
      </c>
      <c r="B203" s="107"/>
      <c r="C203" s="49">
        <v>70</v>
      </c>
      <c r="D203" s="107">
        <v>0</v>
      </c>
      <c r="E203" s="108"/>
      <c r="F203" s="108"/>
      <c r="G203" s="121"/>
      <c r="H203" s="109">
        <v>12810844</v>
      </c>
      <c r="I203" s="127">
        <v>12810844</v>
      </c>
      <c r="J203" s="108" t="s">
        <v>1061</v>
      </c>
      <c r="K203" s="108" t="s">
        <v>118</v>
      </c>
      <c r="L203" s="108"/>
      <c r="M203" s="108"/>
      <c r="N203" s="110" t="s">
        <v>1070</v>
      </c>
      <c r="O203" s="111" t="s">
        <v>122</v>
      </c>
      <c r="P203" s="111"/>
      <c r="Q203" s="111"/>
      <c r="R203" s="111"/>
      <c r="S203" s="111"/>
      <c r="T203" s="111"/>
      <c r="U203" s="108"/>
      <c r="V203" s="108"/>
      <c r="W203" s="108"/>
      <c r="X203" s="108">
        <f t="shared" si="15"/>
        <v>40.4</v>
      </c>
      <c r="Y203" s="108"/>
      <c r="Z203" s="108"/>
      <c r="AA203" s="108"/>
      <c r="AB203" s="112"/>
      <c r="AC203" s="108"/>
      <c r="AD203" s="108" t="s">
        <v>116</v>
      </c>
      <c r="AE203" s="107"/>
      <c r="AF203" s="113"/>
      <c r="AG203" s="115"/>
      <c r="AH203" s="108" t="s">
        <v>100</v>
      </c>
      <c r="AI203" s="108" t="s">
        <v>101</v>
      </c>
      <c r="AJ203" s="114">
        <v>46112.395833333336</v>
      </c>
      <c r="AK203" s="108" t="s">
        <v>321</v>
      </c>
      <c r="AL203" s="115">
        <v>46128.47965277778</v>
      </c>
      <c r="AM203" s="116"/>
      <c r="AN203" s="116"/>
      <c r="AO203" s="116"/>
      <c r="AP203" s="108"/>
      <c r="AQ203" s="107"/>
      <c r="AR203" s="107"/>
      <c r="AS203" s="116"/>
      <c r="AT203" s="114">
        <f t="shared" si="16"/>
        <v>40.4</v>
      </c>
      <c r="AU203" s="114"/>
      <c r="AV203" s="108"/>
      <c r="AW203" s="108"/>
      <c r="AX203" s="108"/>
      <c r="AY203" s="108" t="s">
        <v>866</v>
      </c>
      <c r="AZ203" s="108"/>
      <c r="BA203" s="108"/>
      <c r="BB203" s="108"/>
      <c r="BC203" s="108"/>
      <c r="BD203" s="111"/>
      <c r="BE203" s="111">
        <f t="shared" si="17"/>
        <v>40.4</v>
      </c>
      <c r="BF203" s="111"/>
      <c r="BG203" s="111"/>
      <c r="BH203" s="111"/>
      <c r="BI203" s="111"/>
      <c r="BJ203" s="111"/>
      <c r="BK203" s="111"/>
      <c r="BL203" s="111"/>
      <c r="BM203" s="117"/>
      <c r="BN203" s="111"/>
      <c r="BO203" s="117"/>
      <c r="BP203" s="117">
        <f t="shared" si="18"/>
        <v>40.4</v>
      </c>
      <c r="BQ203" s="117"/>
      <c r="BR203" s="111"/>
      <c r="BS203" s="118"/>
      <c r="BT203" s="111"/>
      <c r="BU203" s="118"/>
      <c r="BV203" s="111"/>
      <c r="BW203" s="111"/>
      <c r="BX203" s="111"/>
      <c r="BY203" s="111"/>
      <c r="BZ203" s="111"/>
      <c r="CA203" s="111">
        <f t="shared" si="19"/>
        <v>40.4</v>
      </c>
      <c r="CB203" s="119"/>
      <c r="CC203" s="117"/>
      <c r="CD203" s="132">
        <v>0</v>
      </c>
      <c r="CE203" s="132">
        <v>46230</v>
      </c>
      <c r="CF203" s="132">
        <v>46231</v>
      </c>
      <c r="CG203" s="111"/>
      <c r="CH203" s="132"/>
      <c r="CI203" s="132"/>
      <c r="CJ203" s="111"/>
      <c r="CK203" s="132"/>
    </row>
    <row r="204" spans="1:89" ht="43.5">
      <c r="A204" s="106" t="s">
        <v>768</v>
      </c>
      <c r="B204" s="49">
        <f>1+2+1</f>
        <v>4</v>
      </c>
      <c r="C204" s="49">
        <v>15</v>
      </c>
      <c r="D204" s="49">
        <v>0</v>
      </c>
      <c r="E204" s="134"/>
      <c r="F204" s="134"/>
      <c r="G204" s="150"/>
      <c r="H204" s="135">
        <v>14391784</v>
      </c>
      <c r="I204" s="149">
        <f>Tracker[[#This Row],[DCR ID - PTC]]</f>
        <v>14391784</v>
      </c>
      <c r="J204" s="134" t="s">
        <v>1071</v>
      </c>
      <c r="K204" s="134" t="s">
        <v>104</v>
      </c>
      <c r="L204" s="134"/>
      <c r="M204" s="134"/>
      <c r="N204" s="110" t="s">
        <v>1072</v>
      </c>
      <c r="O204" s="123" t="s">
        <v>115</v>
      </c>
      <c r="P204" s="123"/>
      <c r="Q204" s="123"/>
      <c r="R204" s="123"/>
      <c r="S204" s="123"/>
      <c r="T204" s="123"/>
      <c r="U204" s="134"/>
      <c r="V204" s="134"/>
      <c r="W204" s="134"/>
      <c r="X204" s="134">
        <f t="shared" si="15"/>
        <v>40.4</v>
      </c>
      <c r="Y204" s="134"/>
      <c r="Z204" s="134"/>
      <c r="AA204" s="134"/>
      <c r="AC204" s="134"/>
      <c r="AD204" s="134" t="s">
        <v>116</v>
      </c>
      <c r="AE204" s="49"/>
      <c r="AF204" s="136"/>
      <c r="AG204" s="137"/>
      <c r="AH204" s="134" t="s">
        <v>100</v>
      </c>
      <c r="AI204" s="134" t="s">
        <v>101</v>
      </c>
      <c r="AJ204" s="138">
        <v>46112.395833333336</v>
      </c>
      <c r="AK204" s="134" t="s">
        <v>321</v>
      </c>
      <c r="AL204" s="137">
        <v>46128.47965277778</v>
      </c>
      <c r="AM204" s="139"/>
      <c r="AN204" s="139"/>
      <c r="AO204" s="139"/>
      <c r="AP204" s="134"/>
      <c r="AQ204" s="49"/>
      <c r="AR204" s="49"/>
      <c r="AS204" s="139"/>
      <c r="AT204" s="138">
        <f t="shared" si="16"/>
        <v>40.4</v>
      </c>
      <c r="AU204" s="138"/>
      <c r="AV204" s="134"/>
      <c r="AW204" s="134"/>
      <c r="AX204" s="134"/>
      <c r="AY204" s="134" t="s">
        <v>866</v>
      </c>
      <c r="AZ204" s="134"/>
      <c r="BA204" s="134"/>
      <c r="BB204" s="134"/>
      <c r="BC204" s="134"/>
      <c r="BD204" s="123"/>
      <c r="BE204" s="123">
        <f t="shared" si="17"/>
        <v>40.4</v>
      </c>
      <c r="BF204" s="123"/>
      <c r="BG204" s="123"/>
      <c r="BH204" s="123"/>
      <c r="BI204" s="123"/>
      <c r="BJ204" s="123"/>
      <c r="BK204" s="123"/>
      <c r="BL204" s="123"/>
      <c r="BM204" s="117"/>
      <c r="BN204" s="123"/>
      <c r="BO204" s="140"/>
      <c r="BP204" s="140">
        <f t="shared" si="18"/>
        <v>40.4</v>
      </c>
      <c r="BQ204" s="140"/>
      <c r="BR204" s="123"/>
      <c r="BS204" s="141"/>
      <c r="BT204" s="123"/>
      <c r="BU204" s="141"/>
      <c r="BV204" s="123"/>
      <c r="BW204" s="123"/>
      <c r="BX204" s="123"/>
      <c r="BY204" s="123"/>
      <c r="BZ204" s="123"/>
      <c r="CA204" s="123">
        <f t="shared" si="19"/>
        <v>40.4</v>
      </c>
      <c r="CB204" s="143"/>
      <c r="CC204" s="140"/>
      <c r="CD204" s="132">
        <v>0</v>
      </c>
      <c r="CE204" s="132">
        <v>46230</v>
      </c>
      <c r="CF204" s="132">
        <v>46231</v>
      </c>
      <c r="CG204" s="123"/>
      <c r="CH204" s="120"/>
      <c r="CI204" s="120"/>
      <c r="CJ204" s="123"/>
      <c r="CK204" s="132"/>
    </row>
    <row r="205" spans="1:89" ht="43.5">
      <c r="A205" s="106" t="s">
        <v>1073</v>
      </c>
      <c r="B205" s="49">
        <f>3.5+6+7.5+7</f>
        <v>24</v>
      </c>
      <c r="C205" s="49">
        <v>10</v>
      </c>
      <c r="D205" s="49">
        <v>0</v>
      </c>
      <c r="E205" s="134"/>
      <c r="F205" s="134"/>
      <c r="G205" s="150"/>
      <c r="H205" s="135">
        <v>18802806</v>
      </c>
      <c r="I205" s="149">
        <f>Tracker[[#This Row],[DCR ID - PTC]]</f>
        <v>18802806</v>
      </c>
      <c r="J205" s="134" t="s">
        <v>1074</v>
      </c>
      <c r="K205" s="134" t="s">
        <v>104</v>
      </c>
      <c r="L205" s="134"/>
      <c r="M205" s="134"/>
      <c r="N205" s="110" t="s">
        <v>1075</v>
      </c>
      <c r="O205" s="123" t="s">
        <v>106</v>
      </c>
      <c r="P205" s="123"/>
      <c r="Q205" s="123"/>
      <c r="R205" s="123"/>
      <c r="S205" s="123"/>
      <c r="T205" s="123"/>
      <c r="U205" s="134"/>
      <c r="V205" s="134"/>
      <c r="W205" s="134"/>
      <c r="X205" s="134">
        <f t="shared" si="15"/>
        <v>40.4</v>
      </c>
      <c r="Y205" s="134"/>
      <c r="Z205" s="134"/>
      <c r="AA205" s="134"/>
      <c r="AC205" s="134"/>
      <c r="AD205" s="134" t="s">
        <v>116</v>
      </c>
      <c r="AE205" s="49"/>
      <c r="AF205" s="136"/>
      <c r="AG205" s="137"/>
      <c r="AH205" s="134" t="s">
        <v>100</v>
      </c>
      <c r="AI205" s="134" t="s">
        <v>101</v>
      </c>
      <c r="AJ205" s="138">
        <v>46112.395833333336</v>
      </c>
      <c r="AK205" s="134" t="s">
        <v>321</v>
      </c>
      <c r="AL205" s="137">
        <v>46128.47965277778</v>
      </c>
      <c r="AM205" s="139"/>
      <c r="AN205" s="139"/>
      <c r="AO205" s="139"/>
      <c r="AP205" s="134"/>
      <c r="AQ205" s="49"/>
      <c r="AR205" s="49"/>
      <c r="AS205" s="139"/>
      <c r="AT205" s="138">
        <f t="shared" si="16"/>
        <v>40.4</v>
      </c>
      <c r="AU205" s="138"/>
      <c r="AV205" s="134"/>
      <c r="AW205" s="134"/>
      <c r="AX205" s="134"/>
      <c r="AY205" s="134" t="s">
        <v>866</v>
      </c>
      <c r="AZ205" s="134"/>
      <c r="BA205" s="134"/>
      <c r="BB205" s="134"/>
      <c r="BC205" s="134"/>
      <c r="BD205" s="123"/>
      <c r="BE205" s="123">
        <f t="shared" si="17"/>
        <v>40.4</v>
      </c>
      <c r="BF205" s="123"/>
      <c r="BG205" s="123"/>
      <c r="BH205" s="123"/>
      <c r="BI205" s="123"/>
      <c r="BJ205" s="123"/>
      <c r="BK205" s="123"/>
      <c r="BL205" s="123"/>
      <c r="BM205" s="117"/>
      <c r="BN205" s="123"/>
      <c r="BO205" s="140"/>
      <c r="BP205" s="140">
        <f t="shared" si="18"/>
        <v>40.4</v>
      </c>
      <c r="BQ205" s="140"/>
      <c r="BR205" s="123"/>
      <c r="BS205" s="141"/>
      <c r="BT205" s="123"/>
      <c r="BU205" s="141"/>
      <c r="BV205" s="123"/>
      <c r="BW205" s="123"/>
      <c r="BX205" s="123"/>
      <c r="BY205" s="123"/>
      <c r="BZ205" s="123"/>
      <c r="CA205" s="123">
        <f t="shared" si="19"/>
        <v>40.4</v>
      </c>
      <c r="CB205" s="143"/>
      <c r="CC205" s="140"/>
      <c r="CD205" s="132">
        <v>0</v>
      </c>
      <c r="CE205" s="132">
        <v>46230</v>
      </c>
      <c r="CF205" s="132">
        <v>46231</v>
      </c>
      <c r="CG205" s="123"/>
      <c r="CH205" s="120"/>
      <c r="CI205" s="120"/>
      <c r="CJ205" s="123"/>
      <c r="CK205" s="132"/>
    </row>
    <row r="206" spans="1:89" ht="101.45">
      <c r="A206" s="106" t="s">
        <v>88</v>
      </c>
      <c r="B206" s="49">
        <f>3.5+4+4+8+8+0.5+1.5+2.5</f>
        <v>32</v>
      </c>
      <c r="C206" s="49">
        <v>10</v>
      </c>
      <c r="D206" s="49">
        <v>0</v>
      </c>
      <c r="E206" s="134"/>
      <c r="F206" s="134"/>
      <c r="G206" s="150"/>
      <c r="H206" s="135">
        <v>18802865</v>
      </c>
      <c r="I206" s="149">
        <f>Tracker[[#This Row],[DCR ID - PTC]]</f>
        <v>18802865</v>
      </c>
      <c r="J206" s="134" t="s">
        <v>1076</v>
      </c>
      <c r="K206" s="134" t="s">
        <v>104</v>
      </c>
      <c r="L206" s="134"/>
      <c r="M206" s="134"/>
      <c r="N206" s="110" t="s">
        <v>1077</v>
      </c>
      <c r="O206" s="123" t="s">
        <v>106</v>
      </c>
      <c r="P206" s="123"/>
      <c r="Q206" s="123"/>
      <c r="R206" s="123"/>
      <c r="S206" s="123"/>
      <c r="T206" s="123"/>
      <c r="U206" s="134"/>
      <c r="V206" s="134"/>
      <c r="W206" s="134"/>
      <c r="X206" s="134">
        <f t="shared" si="15"/>
        <v>40.4</v>
      </c>
      <c r="Y206" s="134"/>
      <c r="Z206" s="134"/>
      <c r="AA206" s="134"/>
      <c r="AC206" s="134"/>
      <c r="AD206" s="134" t="s">
        <v>116</v>
      </c>
      <c r="AE206" s="49"/>
      <c r="AF206" s="136"/>
      <c r="AG206" s="137"/>
      <c r="AH206" s="134" t="s">
        <v>100</v>
      </c>
      <c r="AI206" s="134" t="s">
        <v>101</v>
      </c>
      <c r="AJ206" s="138">
        <v>46112.395833333336</v>
      </c>
      <c r="AK206" s="134" t="s">
        <v>321</v>
      </c>
      <c r="AL206" s="137">
        <v>46128.47965277778</v>
      </c>
      <c r="AM206" s="139"/>
      <c r="AN206" s="139"/>
      <c r="AO206" s="139"/>
      <c r="AP206" s="134"/>
      <c r="AQ206" s="49"/>
      <c r="AR206" s="49"/>
      <c r="AS206" s="139"/>
      <c r="AT206" s="138">
        <f t="shared" si="16"/>
        <v>40.4</v>
      </c>
      <c r="AU206" s="138"/>
      <c r="AV206" s="134"/>
      <c r="AW206" s="134"/>
      <c r="AX206" s="134"/>
      <c r="AY206" s="134" t="s">
        <v>866</v>
      </c>
      <c r="AZ206" s="134"/>
      <c r="BA206" s="134"/>
      <c r="BB206" s="134"/>
      <c r="BC206" s="134"/>
      <c r="BD206" s="123"/>
      <c r="BE206" s="123">
        <f t="shared" si="17"/>
        <v>40.4</v>
      </c>
      <c r="BF206" s="123"/>
      <c r="BG206" s="123"/>
      <c r="BH206" s="123"/>
      <c r="BI206" s="123"/>
      <c r="BJ206" s="123"/>
      <c r="BK206" s="123"/>
      <c r="BL206" s="123"/>
      <c r="BM206" s="117"/>
      <c r="BN206" s="123"/>
      <c r="BO206" s="140"/>
      <c r="BP206" s="140">
        <f t="shared" si="18"/>
        <v>40.4</v>
      </c>
      <c r="BQ206" s="140"/>
      <c r="BR206" s="123"/>
      <c r="BS206" s="141"/>
      <c r="BT206" s="123"/>
      <c r="BU206" s="141"/>
      <c r="BV206" s="123"/>
      <c r="BW206" s="123"/>
      <c r="BX206" s="123"/>
      <c r="BY206" s="123"/>
      <c r="BZ206" s="123"/>
      <c r="CA206" s="123">
        <f t="shared" si="19"/>
        <v>40.4</v>
      </c>
      <c r="CB206" s="143"/>
      <c r="CC206" s="140"/>
      <c r="CD206" s="132">
        <v>0</v>
      </c>
      <c r="CE206" s="132">
        <v>46230</v>
      </c>
      <c r="CF206" s="132">
        <v>46231</v>
      </c>
      <c r="CG206" s="123"/>
      <c r="CH206" s="120"/>
      <c r="CI206" s="120"/>
      <c r="CJ206" s="123"/>
      <c r="CK206" s="132"/>
    </row>
    <row r="207" spans="1:89" ht="26.45" customHeight="1">
      <c r="A207" s="106" t="s">
        <v>1078</v>
      </c>
      <c r="B207" s="49">
        <f>4+4+6.5+6.5+5+3.5+5+6.5+7+7.5+7.5+7.5+7.5+7.5+6.5+7.5+5+(3.5+2+3+3+3)</f>
        <v>119</v>
      </c>
      <c r="C207" s="49">
        <v>150</v>
      </c>
      <c r="D207" s="49">
        <v>0</v>
      </c>
      <c r="E207" s="134"/>
      <c r="F207" s="134"/>
      <c r="G207" s="150"/>
      <c r="H207" s="135">
        <v>19689311</v>
      </c>
      <c r="I207" s="149">
        <v>19689311</v>
      </c>
      <c r="J207" s="134" t="s">
        <v>1079</v>
      </c>
      <c r="K207" s="134" t="s">
        <v>104</v>
      </c>
      <c r="L207" s="134"/>
      <c r="M207" s="134"/>
      <c r="N207" s="110" t="s">
        <v>1080</v>
      </c>
      <c r="O207" s="123" t="s">
        <v>115</v>
      </c>
      <c r="P207" s="123"/>
      <c r="Q207" s="123"/>
      <c r="R207" s="123"/>
      <c r="S207" s="123"/>
      <c r="T207" s="123"/>
      <c r="U207" s="134"/>
      <c r="V207" s="134"/>
      <c r="W207" s="134"/>
      <c r="X207" s="134">
        <f t="shared" si="15"/>
        <v>40.4</v>
      </c>
      <c r="Y207" s="134"/>
      <c r="Z207" s="134"/>
      <c r="AA207" s="134"/>
      <c r="AC207" s="134"/>
      <c r="AD207" s="134" t="s">
        <v>116</v>
      </c>
      <c r="AE207" s="49"/>
      <c r="AF207" s="136"/>
      <c r="AG207" s="137"/>
      <c r="AH207" s="134" t="s">
        <v>100</v>
      </c>
      <c r="AI207" s="134" t="s">
        <v>101</v>
      </c>
      <c r="AJ207" s="138">
        <v>46112.395833333336</v>
      </c>
      <c r="AK207" s="134" t="s">
        <v>321</v>
      </c>
      <c r="AL207" s="137">
        <v>46128.47965277778</v>
      </c>
      <c r="AM207" s="139"/>
      <c r="AN207" s="139"/>
      <c r="AO207" s="139"/>
      <c r="AP207" s="134"/>
      <c r="AQ207" s="49"/>
      <c r="AR207" s="49"/>
      <c r="AS207" s="139"/>
      <c r="AT207" s="138">
        <f t="shared" si="16"/>
        <v>40.4</v>
      </c>
      <c r="AU207" s="138"/>
      <c r="AV207" s="134"/>
      <c r="AW207" s="134"/>
      <c r="AX207" s="134"/>
      <c r="AY207" s="134" t="s">
        <v>866</v>
      </c>
      <c r="AZ207" s="134"/>
      <c r="BA207" s="134"/>
      <c r="BB207" s="134"/>
      <c r="BC207" s="134"/>
      <c r="BD207" s="123"/>
      <c r="BE207" s="123">
        <f t="shared" si="17"/>
        <v>40.4</v>
      </c>
      <c r="BF207" s="123"/>
      <c r="BG207" s="123"/>
      <c r="BH207" s="123"/>
      <c r="BI207" s="123"/>
      <c r="BJ207" s="123"/>
      <c r="BK207" s="123"/>
      <c r="BL207" s="123"/>
      <c r="BM207" s="117"/>
      <c r="BN207" s="123"/>
      <c r="BO207" s="140"/>
      <c r="BP207" s="140">
        <f t="shared" si="18"/>
        <v>40.4</v>
      </c>
      <c r="BQ207" s="140"/>
      <c r="BR207" s="123"/>
      <c r="BS207" s="141"/>
      <c r="BT207" s="123"/>
      <c r="BU207" s="141"/>
      <c r="BV207" s="123"/>
      <c r="BW207" s="123"/>
      <c r="BX207" s="123"/>
      <c r="BY207" s="123"/>
      <c r="BZ207" s="123"/>
      <c r="CA207" s="123">
        <f t="shared" si="19"/>
        <v>40.4</v>
      </c>
      <c r="CB207" s="143"/>
      <c r="CC207" s="140"/>
      <c r="CD207" s="132">
        <v>0</v>
      </c>
      <c r="CE207" s="132">
        <v>46230</v>
      </c>
      <c r="CF207" s="132">
        <v>46231</v>
      </c>
      <c r="CG207" s="123"/>
      <c r="CH207" s="120"/>
      <c r="CI207" s="120"/>
      <c r="CJ207" s="123"/>
      <c r="CK207" s="132"/>
    </row>
    <row r="208" spans="1:89" ht="33.950000000000003" customHeight="1">
      <c r="A208" s="106" t="s">
        <v>1078</v>
      </c>
      <c r="B208" s="107"/>
      <c r="C208" s="107">
        <v>0</v>
      </c>
      <c r="D208" s="107">
        <v>0</v>
      </c>
      <c r="E208" s="108"/>
      <c r="F208" s="108"/>
      <c r="G208" s="121"/>
      <c r="H208" s="109">
        <v>19732234</v>
      </c>
      <c r="I208" s="127">
        <v>19732234</v>
      </c>
      <c r="J208" s="108" t="s">
        <v>1081</v>
      </c>
      <c r="K208" s="108" t="s">
        <v>104</v>
      </c>
      <c r="L208" s="108"/>
      <c r="M208" s="108"/>
      <c r="N208" s="110" t="s">
        <v>1082</v>
      </c>
      <c r="O208" s="111" t="s">
        <v>115</v>
      </c>
      <c r="P208" s="111"/>
      <c r="Q208" s="111"/>
      <c r="R208" s="111"/>
      <c r="S208" s="111"/>
      <c r="T208" s="111"/>
      <c r="U208" s="108"/>
      <c r="V208" s="108"/>
      <c r="W208" s="108"/>
      <c r="X208" s="108">
        <f t="shared" si="15"/>
        <v>40.4</v>
      </c>
      <c r="Y208" s="108"/>
      <c r="Z208" s="108"/>
      <c r="AA208" s="108"/>
      <c r="AB208" s="112"/>
      <c r="AC208" s="108"/>
      <c r="AD208" s="108" t="s">
        <v>116</v>
      </c>
      <c r="AE208" s="107"/>
      <c r="AF208" s="113"/>
      <c r="AG208" s="115"/>
      <c r="AH208" s="108" t="s">
        <v>100</v>
      </c>
      <c r="AI208" s="108" t="s">
        <v>101</v>
      </c>
      <c r="AJ208" s="114">
        <v>46112.395833333336</v>
      </c>
      <c r="AK208" s="108" t="s">
        <v>321</v>
      </c>
      <c r="AL208" s="115">
        <v>46128.47965277778</v>
      </c>
      <c r="AM208" s="116"/>
      <c r="AN208" s="116"/>
      <c r="AO208" s="116"/>
      <c r="AP208" s="108"/>
      <c r="AQ208" s="107"/>
      <c r="AR208" s="107"/>
      <c r="AS208" s="116"/>
      <c r="AT208" s="114">
        <f t="shared" si="16"/>
        <v>40.4</v>
      </c>
      <c r="AU208" s="114"/>
      <c r="AV208" s="108"/>
      <c r="AW208" s="108"/>
      <c r="AX208" s="108"/>
      <c r="AY208" s="108" t="s">
        <v>866</v>
      </c>
      <c r="AZ208" s="108"/>
      <c r="BA208" s="108"/>
      <c r="BB208" s="108"/>
      <c r="BC208" s="108"/>
      <c r="BD208" s="111"/>
      <c r="BE208" s="111">
        <f t="shared" si="17"/>
        <v>40.4</v>
      </c>
      <c r="BF208" s="111"/>
      <c r="BG208" s="111"/>
      <c r="BH208" s="111"/>
      <c r="BI208" s="111"/>
      <c r="BJ208" s="111"/>
      <c r="BK208" s="111"/>
      <c r="BL208" s="111"/>
      <c r="BM208" s="117"/>
      <c r="BN208" s="111"/>
      <c r="BO208" s="117"/>
      <c r="BP208" s="117">
        <f t="shared" si="18"/>
        <v>40.4</v>
      </c>
      <c r="BQ208" s="117"/>
      <c r="BR208" s="111"/>
      <c r="BS208" s="118"/>
      <c r="BT208" s="111"/>
      <c r="BU208" s="118"/>
      <c r="BV208" s="111"/>
      <c r="BW208" s="111"/>
      <c r="BX208" s="111"/>
      <c r="BY208" s="111"/>
      <c r="BZ208" s="111"/>
      <c r="CA208" s="111">
        <f t="shared" si="19"/>
        <v>40.4</v>
      </c>
      <c r="CB208" s="119"/>
      <c r="CC208" s="117"/>
      <c r="CD208" s="132">
        <v>0</v>
      </c>
      <c r="CE208" s="132">
        <v>46230</v>
      </c>
      <c r="CF208" s="132">
        <v>46231</v>
      </c>
      <c r="CG208" s="111"/>
      <c r="CH208" s="132"/>
      <c r="CI208" s="132"/>
      <c r="CJ208" s="111"/>
      <c r="CK208" s="132"/>
    </row>
    <row r="209" spans="1:89" ht="409.5">
      <c r="A209" s="106" t="s">
        <v>389</v>
      </c>
      <c r="B209" s="107">
        <f>6.25+7.75+7.75+7.75+7.75+7.25+7.75+2+1+2+1+1+1.75+1+(1.7)</f>
        <v>63.7</v>
      </c>
      <c r="C209" s="107">
        <v>36</v>
      </c>
      <c r="D209" s="107">
        <f>Tracker[[#This Row],[Estimated Hrs]]-Tracker[[#This Row],[Actual Efforts (Hrs)]]</f>
        <v>-27.700000000000003</v>
      </c>
      <c r="E209" s="108"/>
      <c r="F209" s="108"/>
      <c r="G209" s="121"/>
      <c r="H209" s="109">
        <v>19515992</v>
      </c>
      <c r="I209" s="149">
        <f>Tracker[[#This Row],[DCR ID - PTC]]</f>
        <v>19515992</v>
      </c>
      <c r="J209" s="108" t="s">
        <v>1083</v>
      </c>
      <c r="K209" s="108" t="s">
        <v>104</v>
      </c>
      <c r="L209" s="108"/>
      <c r="M209" s="108"/>
      <c r="N209" s="110" t="s">
        <v>1084</v>
      </c>
      <c r="O209" s="111" t="s">
        <v>106</v>
      </c>
      <c r="P209" s="111"/>
      <c r="Q209" s="111"/>
      <c r="R209" s="111"/>
      <c r="S209" s="111"/>
      <c r="T209" s="111"/>
      <c r="U209" s="108"/>
      <c r="V209" s="108"/>
      <c r="W209" s="108"/>
      <c r="X209" s="108">
        <f t="shared" si="15"/>
        <v>40.4</v>
      </c>
      <c r="Y209" s="108"/>
      <c r="Z209" s="108"/>
      <c r="AA209" s="108"/>
      <c r="AB209" s="112"/>
      <c r="AC209" s="108"/>
      <c r="AD209" s="108"/>
      <c r="AE209" s="107"/>
      <c r="AF209" s="113"/>
      <c r="AG209" s="115"/>
      <c r="AH209" s="108"/>
      <c r="AI209" s="108"/>
      <c r="AJ209" s="114"/>
      <c r="AK209" s="108"/>
      <c r="AL209" s="115"/>
      <c r="AM209" s="116"/>
      <c r="AN209" s="116"/>
      <c r="AO209" s="116"/>
      <c r="AP209" s="108"/>
      <c r="AQ209" s="107"/>
      <c r="AR209" s="107"/>
      <c r="AS209" s="116"/>
      <c r="AT209" s="114">
        <f t="shared" si="16"/>
        <v>40.4</v>
      </c>
      <c r="AU209" s="114"/>
      <c r="AV209" s="108"/>
      <c r="AW209" s="108"/>
      <c r="AX209" s="108"/>
      <c r="AY209" s="108"/>
      <c r="AZ209" s="108"/>
      <c r="BA209" s="108"/>
      <c r="BB209" s="108"/>
      <c r="BC209" s="108"/>
      <c r="BD209" s="111"/>
      <c r="BE209" s="111">
        <f t="shared" si="17"/>
        <v>40.4</v>
      </c>
      <c r="BF209" s="111"/>
      <c r="BG209" s="111"/>
      <c r="BH209" s="111"/>
      <c r="BI209" s="111"/>
      <c r="BJ209" s="111"/>
      <c r="BK209" s="111"/>
      <c r="BL209" s="111"/>
      <c r="BM209" s="117"/>
      <c r="BN209" s="111"/>
      <c r="BO209" s="117"/>
      <c r="BP209" s="117">
        <f t="shared" si="18"/>
        <v>40.4</v>
      </c>
      <c r="BQ209" s="117"/>
      <c r="BR209" s="111"/>
      <c r="BS209" s="118"/>
      <c r="BT209" s="111"/>
      <c r="BU209" s="118"/>
      <c r="BV209" s="111"/>
      <c r="BW209" s="111"/>
      <c r="BX209" s="111"/>
      <c r="BY209" s="111"/>
      <c r="BZ209" s="111"/>
      <c r="CA209" s="111">
        <f t="shared" si="19"/>
        <v>40.4</v>
      </c>
      <c r="CB209" s="119"/>
      <c r="CC209" s="117"/>
      <c r="CD209" s="132"/>
      <c r="CE209" s="132"/>
      <c r="CF209" s="132"/>
      <c r="CG209" s="111"/>
      <c r="CH209" s="132"/>
      <c r="CI209" s="132"/>
      <c r="CJ209" s="111"/>
      <c r="CK209" s="132"/>
    </row>
    <row r="210" spans="1:89" ht="409.6">
      <c r="A210" s="106" t="s">
        <v>1085</v>
      </c>
      <c r="B210" s="107">
        <f>7.75+4+6+6+6+7.75+7.5+8+5.5+7.75</f>
        <v>66.25</v>
      </c>
      <c r="C210" s="107">
        <v>80</v>
      </c>
      <c r="D210" s="107">
        <f>Tracker[[#This Row],[Estimated Hrs]]-Tracker[[#This Row],[Actual Efforts (Hrs)]]</f>
        <v>13.75</v>
      </c>
      <c r="E210" s="108"/>
      <c r="F210" s="108"/>
      <c r="G210" s="121"/>
      <c r="H210" s="109">
        <v>19515992</v>
      </c>
      <c r="I210" s="149">
        <f>Tracker[[#This Row],[DCR ID - PTC]]</f>
        <v>19515992</v>
      </c>
      <c r="J210" s="108" t="s">
        <v>1083</v>
      </c>
      <c r="K210" s="108" t="s">
        <v>118</v>
      </c>
      <c r="L210" s="108"/>
      <c r="M210" s="108"/>
      <c r="N210" s="110" t="s">
        <v>1086</v>
      </c>
      <c r="O210" s="111" t="s">
        <v>115</v>
      </c>
      <c r="P210" s="111"/>
      <c r="Q210" s="111"/>
      <c r="R210" s="111"/>
      <c r="S210" s="111"/>
      <c r="T210" s="111"/>
      <c r="U210" s="108"/>
      <c r="V210" s="108"/>
      <c r="W210" s="108"/>
      <c r="X210" s="108">
        <f t="shared" si="15"/>
        <v>40.4</v>
      </c>
      <c r="Y210" s="108"/>
      <c r="Z210" s="108"/>
      <c r="AA210" s="108"/>
      <c r="AB210" s="112"/>
      <c r="AC210" s="108"/>
      <c r="AD210" s="108"/>
      <c r="AE210" s="107"/>
      <c r="AF210" s="113"/>
      <c r="AG210" s="115"/>
      <c r="AH210" s="108"/>
      <c r="AI210" s="108"/>
      <c r="AJ210" s="114"/>
      <c r="AK210" s="108"/>
      <c r="AL210" s="115"/>
      <c r="AM210" s="116"/>
      <c r="AN210" s="116"/>
      <c r="AO210" s="116"/>
      <c r="AP210" s="108"/>
      <c r="AQ210" s="107"/>
      <c r="AR210" s="107"/>
      <c r="AS210" s="116"/>
      <c r="AT210" s="114">
        <f t="shared" si="16"/>
        <v>40.4</v>
      </c>
      <c r="AU210" s="114"/>
      <c r="AV210" s="108"/>
      <c r="AW210" s="108"/>
      <c r="AX210" s="108"/>
      <c r="AY210" s="108"/>
      <c r="AZ210" s="108"/>
      <c r="BA210" s="108"/>
      <c r="BB210" s="108"/>
      <c r="BC210" s="108"/>
      <c r="BD210" s="111"/>
      <c r="BE210" s="111">
        <f t="shared" si="17"/>
        <v>40.4</v>
      </c>
      <c r="BF210" s="111"/>
      <c r="BG210" s="111"/>
      <c r="BH210" s="111"/>
      <c r="BI210" s="111"/>
      <c r="BJ210" s="111"/>
      <c r="BK210" s="111"/>
      <c r="BL210" s="111"/>
      <c r="BM210" s="117"/>
      <c r="BN210" s="111"/>
      <c r="BO210" s="117"/>
      <c r="BP210" s="117">
        <f t="shared" si="18"/>
        <v>40.4</v>
      </c>
      <c r="BQ210" s="117"/>
      <c r="BR210" s="111"/>
      <c r="BS210" s="118"/>
      <c r="BT210" s="111"/>
      <c r="BU210" s="118"/>
      <c r="BV210" s="111"/>
      <c r="BW210" s="111"/>
      <c r="BX210" s="111"/>
      <c r="BY210" s="111"/>
      <c r="BZ210" s="111"/>
      <c r="CA210" s="111">
        <f t="shared" si="19"/>
        <v>40.4</v>
      </c>
      <c r="CB210" s="119"/>
      <c r="CC210" s="117"/>
      <c r="CD210" s="132"/>
      <c r="CE210" s="132"/>
      <c r="CF210" s="132"/>
      <c r="CG210" s="111"/>
      <c r="CH210" s="132"/>
      <c r="CI210" s="132"/>
      <c r="CJ210" s="111"/>
      <c r="CK210" s="132"/>
    </row>
    <row r="211" spans="1:89" ht="43.5">
      <c r="A211" s="106" t="s">
        <v>261</v>
      </c>
      <c r="B211" s="107"/>
      <c r="C211" s="107">
        <v>0</v>
      </c>
      <c r="D211" s="107">
        <f>Tracker[[#This Row],[Estimated Hrs]]-Tracker[[#This Row],[Actual Efforts (Hrs)]]</f>
        <v>0</v>
      </c>
      <c r="E211" s="108"/>
      <c r="F211" s="108"/>
      <c r="G211" s="121"/>
      <c r="H211" s="109">
        <v>19748464</v>
      </c>
      <c r="I211" s="149">
        <f>Tracker[[#This Row],[DCR ID - PTC]]</f>
        <v>19748464</v>
      </c>
      <c r="J211" s="108" t="s">
        <v>1087</v>
      </c>
      <c r="K211" s="108" t="s">
        <v>118</v>
      </c>
      <c r="L211" s="108"/>
      <c r="M211" s="108"/>
      <c r="N211" s="108" t="s">
        <v>950</v>
      </c>
      <c r="O211" s="111" t="s">
        <v>115</v>
      </c>
      <c r="P211" s="111"/>
      <c r="Q211" s="111"/>
      <c r="R211" s="111"/>
      <c r="S211" s="111"/>
      <c r="T211" s="111"/>
      <c r="U211" s="108"/>
      <c r="V211" s="108"/>
      <c r="W211" s="108"/>
      <c r="X211" s="108">
        <f t="shared" si="15"/>
        <v>40.4</v>
      </c>
      <c r="Y211" s="108"/>
      <c r="Z211" s="108"/>
      <c r="AA211" s="108"/>
      <c r="AB211" s="112"/>
      <c r="AC211" s="108"/>
      <c r="AD211" s="108"/>
      <c r="AE211" s="107"/>
      <c r="AF211" s="113"/>
      <c r="AG211" s="115"/>
      <c r="AH211" s="108"/>
      <c r="AI211" s="108"/>
      <c r="AJ211" s="114"/>
      <c r="AK211" s="108"/>
      <c r="AL211" s="115"/>
      <c r="AM211" s="116"/>
      <c r="AN211" s="116"/>
      <c r="AO211" s="116"/>
      <c r="AP211" s="108"/>
      <c r="AQ211" s="107"/>
      <c r="AR211" s="107"/>
      <c r="AS211" s="116"/>
      <c r="AT211" s="114">
        <f t="shared" si="16"/>
        <v>40.4</v>
      </c>
      <c r="AU211" s="114"/>
      <c r="AV211" s="108"/>
      <c r="AW211" s="108"/>
      <c r="AX211" s="108"/>
      <c r="AY211" s="108"/>
      <c r="AZ211" s="108"/>
      <c r="BA211" s="108"/>
      <c r="BB211" s="108"/>
      <c r="BC211" s="108"/>
      <c r="BD211" s="111"/>
      <c r="BE211" s="111">
        <f t="shared" si="17"/>
        <v>40.4</v>
      </c>
      <c r="BF211" s="111"/>
      <c r="BG211" s="111"/>
      <c r="BH211" s="111"/>
      <c r="BI211" s="111"/>
      <c r="BJ211" s="111"/>
      <c r="BK211" s="111"/>
      <c r="BL211" s="111"/>
      <c r="BM211" s="117"/>
      <c r="BN211" s="111"/>
      <c r="BO211" s="117"/>
      <c r="BP211" s="117">
        <f t="shared" si="18"/>
        <v>40.4</v>
      </c>
      <c r="BQ211" s="117"/>
      <c r="BR211" s="111"/>
      <c r="BS211" s="118"/>
      <c r="BT211" s="111"/>
      <c r="BU211" s="118"/>
      <c r="BV211" s="111"/>
      <c r="BW211" s="111"/>
      <c r="BX211" s="111"/>
      <c r="BY211" s="111"/>
      <c r="BZ211" s="111"/>
      <c r="CA211" s="111">
        <f t="shared" si="19"/>
        <v>40.4</v>
      </c>
      <c r="CB211" s="119"/>
      <c r="CC211" s="117"/>
      <c r="CD211" s="132"/>
      <c r="CE211" s="132"/>
      <c r="CF211" s="132"/>
      <c r="CG211" s="111"/>
      <c r="CH211" s="132"/>
      <c r="CI211" s="132"/>
      <c r="CJ211" s="111"/>
      <c r="CK211" s="132"/>
    </row>
    <row r="212" spans="1:89" ht="409.5">
      <c r="A212" s="106" t="s">
        <v>457</v>
      </c>
      <c r="B212" s="107">
        <f>2+0.75+1+7.75+3+0.75+4</f>
        <v>19.25</v>
      </c>
      <c r="C212" s="107">
        <f>30</f>
        <v>30</v>
      </c>
      <c r="D212" s="107">
        <f>Tracker[[#This Row],[Estimated Hrs]]-Tracker[[#This Row],[Actual Efforts (Hrs)]]</f>
        <v>10.75</v>
      </c>
      <c r="E212" s="108"/>
      <c r="F212" s="108"/>
      <c r="G212" s="121"/>
      <c r="H212" s="109">
        <v>18795484</v>
      </c>
      <c r="I212" s="149">
        <f>Tracker[[#This Row],[DCR ID - PTC]]</f>
        <v>18795484</v>
      </c>
      <c r="J212" s="108" t="s">
        <v>1088</v>
      </c>
      <c r="K212" s="108" t="s">
        <v>104</v>
      </c>
      <c r="L212" s="108"/>
      <c r="M212" s="108"/>
      <c r="N212" s="110" t="s">
        <v>1089</v>
      </c>
      <c r="O212" s="111" t="s">
        <v>115</v>
      </c>
      <c r="P212" s="111"/>
      <c r="Q212" s="111"/>
      <c r="R212" s="111"/>
      <c r="S212" s="111"/>
      <c r="T212" s="111"/>
      <c r="U212" s="108"/>
      <c r="V212" s="108"/>
      <c r="W212" s="108"/>
      <c r="X212" s="108">
        <f t="shared" si="15"/>
        <v>40.4</v>
      </c>
      <c r="Y212" s="108"/>
      <c r="Z212" s="108"/>
      <c r="AA212" s="108"/>
      <c r="AB212" s="112"/>
      <c r="AC212" s="108"/>
      <c r="AD212" s="108"/>
      <c r="AE212" s="107"/>
      <c r="AF212" s="113"/>
      <c r="AG212" s="115"/>
      <c r="AH212" s="108"/>
      <c r="AI212" s="108"/>
      <c r="AJ212" s="114"/>
      <c r="AK212" s="108"/>
      <c r="AL212" s="115"/>
      <c r="AM212" s="116"/>
      <c r="AN212" s="116"/>
      <c r="AO212" s="116"/>
      <c r="AP212" s="108"/>
      <c r="AQ212" s="107"/>
      <c r="AR212" s="107"/>
      <c r="AS212" s="116"/>
      <c r="AT212" s="114">
        <f t="shared" si="16"/>
        <v>40.4</v>
      </c>
      <c r="AU212" s="114"/>
      <c r="AV212" s="108"/>
      <c r="AW212" s="108"/>
      <c r="AX212" s="108"/>
      <c r="AY212" s="108"/>
      <c r="AZ212" s="108"/>
      <c r="BA212" s="108"/>
      <c r="BB212" s="108"/>
      <c r="BC212" s="108"/>
      <c r="BD212" s="111"/>
      <c r="BE212" s="111">
        <f t="shared" si="17"/>
        <v>40.4</v>
      </c>
      <c r="BF212" s="111"/>
      <c r="BG212" s="111"/>
      <c r="BH212" s="111"/>
      <c r="BI212" s="111"/>
      <c r="BJ212" s="111"/>
      <c r="BK212" s="111"/>
      <c r="BL212" s="111"/>
      <c r="BM212" s="117"/>
      <c r="BN212" s="111"/>
      <c r="BO212" s="117"/>
      <c r="BP212" s="117">
        <f t="shared" si="18"/>
        <v>40.4</v>
      </c>
      <c r="BQ212" s="117"/>
      <c r="BR212" s="111"/>
      <c r="BS212" s="118"/>
      <c r="BT212" s="111"/>
      <c r="BU212" s="118"/>
      <c r="BV212" s="111"/>
      <c r="BW212" s="111"/>
      <c r="BX212" s="111"/>
      <c r="BY212" s="111"/>
      <c r="BZ212" s="111"/>
      <c r="CA212" s="111">
        <f t="shared" si="19"/>
        <v>40.4</v>
      </c>
      <c r="CB212" s="119"/>
      <c r="CC212" s="117"/>
      <c r="CD212" s="132"/>
      <c r="CE212" s="132"/>
      <c r="CF212" s="132"/>
      <c r="CG212" s="111"/>
      <c r="CH212" s="132"/>
      <c r="CI212" s="132"/>
      <c r="CJ212" s="111"/>
      <c r="CK212" s="132"/>
    </row>
    <row r="213" spans="1:89" ht="174">
      <c r="A213" s="106" t="s">
        <v>457</v>
      </c>
      <c r="B213" s="107">
        <f>2+1</f>
        <v>3</v>
      </c>
      <c r="C213" s="107">
        <v>0</v>
      </c>
      <c r="D213" s="107">
        <f>Tracker[[#This Row],[Estimated Hrs]]-Tracker[[#This Row],[Actual Efforts (Hrs)]]</f>
        <v>-3</v>
      </c>
      <c r="E213" s="108"/>
      <c r="F213" s="108"/>
      <c r="G213" s="121"/>
      <c r="H213" s="109">
        <v>19781083</v>
      </c>
      <c r="I213" s="149">
        <f>Tracker[[#This Row],[DCR ID - PTC]]</f>
        <v>19781083</v>
      </c>
      <c r="J213" s="110" t="s">
        <v>1090</v>
      </c>
      <c r="K213" s="108" t="s">
        <v>179</v>
      </c>
      <c r="L213" s="108"/>
      <c r="M213" s="108"/>
      <c r="N213" s="110" t="s">
        <v>1091</v>
      </c>
      <c r="O213" s="111" t="s">
        <v>115</v>
      </c>
      <c r="P213" s="111"/>
      <c r="Q213" s="111"/>
      <c r="R213" s="111"/>
      <c r="S213" s="111"/>
      <c r="T213" s="111"/>
      <c r="U213" s="108"/>
      <c r="V213" s="108"/>
      <c r="W213" s="108"/>
      <c r="X213" s="108">
        <f t="shared" si="15"/>
        <v>40.4</v>
      </c>
      <c r="Y213" s="108"/>
      <c r="Z213" s="108"/>
      <c r="AA213" s="108"/>
      <c r="AB213" s="112"/>
      <c r="AC213" s="108"/>
      <c r="AD213" s="108"/>
      <c r="AE213" s="107"/>
      <c r="AF213" s="113"/>
      <c r="AG213" s="115"/>
      <c r="AH213" s="108"/>
      <c r="AI213" s="108"/>
      <c r="AJ213" s="114"/>
      <c r="AK213" s="108"/>
      <c r="AL213" s="115"/>
      <c r="AM213" s="116"/>
      <c r="AN213" s="116"/>
      <c r="AO213" s="116"/>
      <c r="AP213" s="108"/>
      <c r="AQ213" s="107"/>
      <c r="AR213" s="107"/>
      <c r="AS213" s="116"/>
      <c r="AT213" s="114">
        <f t="shared" si="16"/>
        <v>40.4</v>
      </c>
      <c r="AU213" s="114"/>
      <c r="AV213" s="108"/>
      <c r="AW213" s="108"/>
      <c r="AX213" s="108"/>
      <c r="AY213" s="108"/>
      <c r="AZ213" s="108"/>
      <c r="BA213" s="108"/>
      <c r="BB213" s="108"/>
      <c r="BC213" s="108"/>
      <c r="BD213" s="111"/>
      <c r="BE213" s="111">
        <f t="shared" si="17"/>
        <v>40.4</v>
      </c>
      <c r="BF213" s="111"/>
      <c r="BG213" s="111"/>
      <c r="BH213" s="111"/>
      <c r="BI213" s="111"/>
      <c r="BJ213" s="111"/>
      <c r="BK213" s="111"/>
      <c r="BL213" s="111"/>
      <c r="BM213" s="117"/>
      <c r="BN213" s="111"/>
      <c r="BO213" s="117"/>
      <c r="BP213" s="117">
        <f t="shared" si="18"/>
        <v>40.4</v>
      </c>
      <c r="BQ213" s="117"/>
      <c r="BR213" s="111"/>
      <c r="BS213" s="118"/>
      <c r="BT213" s="111"/>
      <c r="BU213" s="118"/>
      <c r="BV213" s="111"/>
      <c r="BW213" s="111"/>
      <c r="BX213" s="111"/>
      <c r="BY213" s="111"/>
      <c r="BZ213" s="111"/>
      <c r="CA213" s="111">
        <f t="shared" si="19"/>
        <v>40.4</v>
      </c>
      <c r="CB213" s="119"/>
      <c r="CC213" s="117"/>
      <c r="CD213" s="132"/>
      <c r="CE213" s="132"/>
      <c r="CF213" s="132"/>
      <c r="CG213" s="111"/>
      <c r="CH213" s="132"/>
      <c r="CI213" s="132"/>
      <c r="CJ213" s="111"/>
      <c r="CK213" s="132"/>
    </row>
    <row r="214" spans="1:89" ht="101.45">
      <c r="A214" s="106" t="s">
        <v>457</v>
      </c>
      <c r="B214" s="107">
        <f>2+1</f>
        <v>3</v>
      </c>
      <c r="C214" s="107">
        <v>0</v>
      </c>
      <c r="D214" s="107">
        <f>Tracker[[#This Row],[Estimated Hrs]]-Tracker[[#This Row],[Actual Efforts (Hrs)]]</f>
        <v>-3</v>
      </c>
      <c r="E214" s="108"/>
      <c r="F214" s="108"/>
      <c r="G214" s="121"/>
      <c r="H214" s="109">
        <v>19772632</v>
      </c>
      <c r="I214" s="149">
        <f>Tracker[[#This Row],[DCR ID - PTC]]</f>
        <v>19772632</v>
      </c>
      <c r="J214" s="108" t="s">
        <v>1092</v>
      </c>
      <c r="K214" s="108" t="s">
        <v>179</v>
      </c>
      <c r="L214" s="108"/>
      <c r="M214" s="108"/>
      <c r="N214" s="110" t="s">
        <v>1093</v>
      </c>
      <c r="O214" s="111" t="s">
        <v>115</v>
      </c>
      <c r="P214" s="111"/>
      <c r="Q214" s="111"/>
      <c r="R214" s="111"/>
      <c r="S214" s="111"/>
      <c r="T214" s="111"/>
      <c r="U214" s="108"/>
      <c r="V214" s="108"/>
      <c r="W214" s="108"/>
      <c r="X214" s="108">
        <f t="shared" si="15"/>
        <v>40.4</v>
      </c>
      <c r="Y214" s="108"/>
      <c r="Z214" s="108"/>
      <c r="AA214" s="108"/>
      <c r="AB214" s="112"/>
      <c r="AC214" s="108"/>
      <c r="AD214" s="108"/>
      <c r="AE214" s="107"/>
      <c r="AF214" s="113"/>
      <c r="AG214" s="115"/>
      <c r="AH214" s="108"/>
      <c r="AI214" s="108"/>
      <c r="AJ214" s="114"/>
      <c r="AK214" s="108"/>
      <c r="AL214" s="115"/>
      <c r="AM214" s="116"/>
      <c r="AN214" s="116"/>
      <c r="AO214" s="116"/>
      <c r="AP214" s="108"/>
      <c r="AQ214" s="107"/>
      <c r="AR214" s="107"/>
      <c r="AS214" s="116"/>
      <c r="AT214" s="114">
        <f t="shared" si="16"/>
        <v>40.4</v>
      </c>
      <c r="AU214" s="114"/>
      <c r="AV214" s="108"/>
      <c r="AW214" s="108"/>
      <c r="AX214" s="108"/>
      <c r="AY214" s="108"/>
      <c r="AZ214" s="108"/>
      <c r="BA214" s="108"/>
      <c r="BB214" s="108"/>
      <c r="BC214" s="108"/>
      <c r="BD214" s="111"/>
      <c r="BE214" s="111">
        <f t="shared" si="17"/>
        <v>40.4</v>
      </c>
      <c r="BF214" s="111"/>
      <c r="BG214" s="111"/>
      <c r="BH214" s="111"/>
      <c r="BI214" s="111"/>
      <c r="BJ214" s="111"/>
      <c r="BK214" s="111"/>
      <c r="BL214" s="111"/>
      <c r="BM214" s="117"/>
      <c r="BN214" s="111"/>
      <c r="BO214" s="117"/>
      <c r="BP214" s="117">
        <f t="shared" si="18"/>
        <v>40.4</v>
      </c>
      <c r="BQ214" s="117"/>
      <c r="BR214" s="111"/>
      <c r="BS214" s="118"/>
      <c r="BT214" s="111"/>
      <c r="BU214" s="118"/>
      <c r="BV214" s="111"/>
      <c r="BW214" s="111"/>
      <c r="BX214" s="111"/>
      <c r="BY214" s="111"/>
      <c r="BZ214" s="111"/>
      <c r="CA214" s="111">
        <f t="shared" si="19"/>
        <v>40.4</v>
      </c>
      <c r="CB214" s="119"/>
      <c r="CC214" s="117"/>
      <c r="CD214" s="132"/>
      <c r="CE214" s="132"/>
      <c r="CF214" s="132"/>
      <c r="CG214" s="111"/>
      <c r="CH214" s="132"/>
      <c r="CI214" s="132"/>
      <c r="CJ214" s="111"/>
      <c r="CK214" s="132"/>
    </row>
    <row r="215" spans="1:89" ht="101.45">
      <c r="A215" s="106" t="s">
        <v>457</v>
      </c>
      <c r="B215" s="107">
        <f>2.5</f>
        <v>2.5</v>
      </c>
      <c r="C215" s="107">
        <v>0</v>
      </c>
      <c r="D215" s="107">
        <f>Tracker[[#This Row],[Estimated Hrs]]-Tracker[[#This Row],[Actual Efforts (Hrs)]]</f>
        <v>-2.5</v>
      </c>
      <c r="E215" s="108"/>
      <c r="F215" s="108"/>
      <c r="G215" s="121"/>
      <c r="H215" s="109">
        <v>19781099</v>
      </c>
      <c r="I215" s="149">
        <f>Tracker[[#This Row],[DCR ID - PTC]]</f>
        <v>19781099</v>
      </c>
      <c r="J215" s="108" t="s">
        <v>1094</v>
      </c>
      <c r="K215" s="108" t="s">
        <v>179</v>
      </c>
      <c r="L215" s="108"/>
      <c r="M215" s="108"/>
      <c r="N215" s="108" t="s">
        <v>1095</v>
      </c>
      <c r="O215" s="111" t="s">
        <v>115</v>
      </c>
      <c r="P215" s="111"/>
      <c r="Q215" s="111"/>
      <c r="R215" s="111"/>
      <c r="S215" s="111"/>
      <c r="T215" s="111"/>
      <c r="U215" s="108"/>
      <c r="V215" s="108"/>
      <c r="W215" s="108"/>
      <c r="X215" s="108">
        <f t="shared" si="15"/>
        <v>40.4</v>
      </c>
      <c r="Y215" s="108"/>
      <c r="Z215" s="108"/>
      <c r="AA215" s="108"/>
      <c r="AB215" s="112"/>
      <c r="AC215" s="108"/>
      <c r="AD215" s="108"/>
      <c r="AE215" s="107"/>
      <c r="AF215" s="113"/>
      <c r="AG215" s="115"/>
      <c r="AH215" s="108"/>
      <c r="AI215" s="108"/>
      <c r="AJ215" s="114"/>
      <c r="AK215" s="108"/>
      <c r="AL215" s="115"/>
      <c r="AM215" s="116"/>
      <c r="AN215" s="116"/>
      <c r="AO215" s="116"/>
      <c r="AP215" s="108"/>
      <c r="AQ215" s="107"/>
      <c r="AR215" s="107"/>
      <c r="AS215" s="116"/>
      <c r="AT215" s="114">
        <f t="shared" si="16"/>
        <v>40.4</v>
      </c>
      <c r="AU215" s="114"/>
      <c r="AV215" s="108"/>
      <c r="AW215" s="108"/>
      <c r="AX215" s="108"/>
      <c r="AY215" s="108"/>
      <c r="AZ215" s="108"/>
      <c r="BA215" s="108"/>
      <c r="BB215" s="108"/>
      <c r="BC215" s="108"/>
      <c r="BD215" s="111"/>
      <c r="BE215" s="111">
        <f t="shared" si="17"/>
        <v>40.4</v>
      </c>
      <c r="BF215" s="111"/>
      <c r="BG215" s="111"/>
      <c r="BH215" s="111"/>
      <c r="BI215" s="111"/>
      <c r="BJ215" s="111"/>
      <c r="BK215" s="111"/>
      <c r="BL215" s="111"/>
      <c r="BM215" s="117"/>
      <c r="BN215" s="111"/>
      <c r="BO215" s="117"/>
      <c r="BP215" s="117">
        <f t="shared" si="18"/>
        <v>40.4</v>
      </c>
      <c r="BQ215" s="117"/>
      <c r="BR215" s="111"/>
      <c r="BS215" s="118"/>
      <c r="BT215" s="111"/>
      <c r="BU215" s="118"/>
      <c r="BV215" s="111"/>
      <c r="BW215" s="111"/>
      <c r="BX215" s="111"/>
      <c r="BY215" s="111"/>
      <c r="BZ215" s="111"/>
      <c r="CA215" s="111">
        <f t="shared" si="19"/>
        <v>40.4</v>
      </c>
      <c r="CB215" s="119"/>
      <c r="CC215" s="117"/>
      <c r="CD215" s="132"/>
      <c r="CE215" s="132"/>
      <c r="CF215" s="132"/>
      <c r="CG215" s="111"/>
      <c r="CH215" s="132"/>
      <c r="CI215" s="132"/>
      <c r="CJ215" s="111"/>
      <c r="CK215" s="132"/>
    </row>
    <row r="216" spans="1:89" ht="43.5">
      <c r="A216" s="106" t="s">
        <v>457</v>
      </c>
      <c r="B216" s="107">
        <f>1.5</f>
        <v>1.5</v>
      </c>
      <c r="C216" s="107">
        <v>0</v>
      </c>
      <c r="D216" s="107">
        <f>Tracker[[#This Row],[Estimated Hrs]]-Tracker[[#This Row],[Actual Efforts (Hrs)]]</f>
        <v>-1.5</v>
      </c>
      <c r="E216" s="108"/>
      <c r="F216" s="108"/>
      <c r="G216" s="121"/>
      <c r="H216" s="109">
        <v>19772688</v>
      </c>
      <c r="I216" s="149">
        <f>Tracker[[#This Row],[DCR ID - PTC]]</f>
        <v>19772688</v>
      </c>
      <c r="J216" s="108" t="s">
        <v>1096</v>
      </c>
      <c r="K216" s="108" t="s">
        <v>179</v>
      </c>
      <c r="L216" s="108"/>
      <c r="M216" s="108"/>
      <c r="N216" s="108" t="s">
        <v>1097</v>
      </c>
      <c r="O216" s="111" t="s">
        <v>115</v>
      </c>
      <c r="P216" s="111"/>
      <c r="Q216" s="111"/>
      <c r="R216" s="111"/>
      <c r="S216" s="111"/>
      <c r="T216" s="111"/>
      <c r="U216" s="108"/>
      <c r="V216" s="108"/>
      <c r="W216" s="108"/>
      <c r="X216" s="108">
        <f t="shared" si="15"/>
        <v>40.4</v>
      </c>
      <c r="Y216" s="108"/>
      <c r="Z216" s="108"/>
      <c r="AA216" s="108"/>
      <c r="AB216" s="112"/>
      <c r="AC216" s="108"/>
      <c r="AD216" s="108"/>
      <c r="AE216" s="107"/>
      <c r="AF216" s="113"/>
      <c r="AG216" s="115"/>
      <c r="AH216" s="108"/>
      <c r="AI216" s="108"/>
      <c r="AJ216" s="114"/>
      <c r="AK216" s="108"/>
      <c r="AL216" s="115"/>
      <c r="AM216" s="116"/>
      <c r="AN216" s="116"/>
      <c r="AO216" s="116"/>
      <c r="AP216" s="108"/>
      <c r="AQ216" s="107"/>
      <c r="AR216" s="107"/>
      <c r="AS216" s="116"/>
      <c r="AT216" s="114">
        <f t="shared" si="16"/>
        <v>40.4</v>
      </c>
      <c r="AU216" s="114"/>
      <c r="AV216" s="108"/>
      <c r="AW216" s="108"/>
      <c r="AX216" s="108"/>
      <c r="AY216" s="108"/>
      <c r="AZ216" s="108"/>
      <c r="BA216" s="108"/>
      <c r="BB216" s="108"/>
      <c r="BC216" s="108"/>
      <c r="BD216" s="111"/>
      <c r="BE216" s="111">
        <f t="shared" si="17"/>
        <v>40.4</v>
      </c>
      <c r="BF216" s="111"/>
      <c r="BG216" s="111"/>
      <c r="BH216" s="111"/>
      <c r="BI216" s="111"/>
      <c r="BJ216" s="111"/>
      <c r="BK216" s="111"/>
      <c r="BL216" s="111"/>
      <c r="BM216" s="117"/>
      <c r="BN216" s="111"/>
      <c r="BO216" s="117"/>
      <c r="BP216" s="117">
        <f t="shared" si="18"/>
        <v>40.4</v>
      </c>
      <c r="BQ216" s="117"/>
      <c r="BR216" s="111"/>
      <c r="BS216" s="118"/>
      <c r="BT216" s="111"/>
      <c r="BU216" s="118"/>
      <c r="BV216" s="111"/>
      <c r="BW216" s="111"/>
      <c r="BX216" s="111"/>
      <c r="BY216" s="111"/>
      <c r="BZ216" s="111"/>
      <c r="CA216" s="111">
        <f t="shared" si="19"/>
        <v>40.4</v>
      </c>
      <c r="CB216" s="119"/>
      <c r="CC216" s="117"/>
      <c r="CD216" s="132"/>
      <c r="CE216" s="132"/>
      <c r="CF216" s="132"/>
      <c r="CG216" s="111"/>
      <c r="CH216" s="132"/>
      <c r="CI216" s="132"/>
      <c r="CJ216" s="111"/>
      <c r="CK216" s="132"/>
    </row>
    <row r="217" spans="1:89" ht="409.6">
      <c r="A217" s="106" t="s">
        <v>261</v>
      </c>
      <c r="B217" s="107">
        <f>3+1+3+2.5+1.5+3+3+2+4+0.25+0.25</f>
        <v>23.5</v>
      </c>
      <c r="C217" s="107">
        <v>25</v>
      </c>
      <c r="D217" s="107">
        <f>Tracker[[#This Row],[Estimated Hrs]]-Tracker[[#This Row],[Actual Efforts (Hrs)]]</f>
        <v>1.5</v>
      </c>
      <c r="E217" s="108"/>
      <c r="F217" s="108"/>
      <c r="G217" s="121"/>
      <c r="H217" s="109">
        <v>19658083</v>
      </c>
      <c r="I217" s="149">
        <f>Tracker[[#This Row],[DCR ID - PTC]]</f>
        <v>19658083</v>
      </c>
      <c r="J217" s="108" t="s">
        <v>1098</v>
      </c>
      <c r="K217" s="108" t="s">
        <v>118</v>
      </c>
      <c r="L217" s="108"/>
      <c r="M217" s="108"/>
      <c r="N217" s="110" t="s">
        <v>1099</v>
      </c>
      <c r="O217" s="111" t="s">
        <v>115</v>
      </c>
      <c r="P217" s="111"/>
      <c r="Q217" s="111"/>
      <c r="R217" s="111"/>
      <c r="S217" s="111"/>
      <c r="T217" s="111"/>
      <c r="U217" s="108"/>
      <c r="V217" s="108"/>
      <c r="W217" s="108"/>
      <c r="X217" s="108">
        <f t="shared" si="15"/>
        <v>40.4</v>
      </c>
      <c r="Y217" s="108"/>
      <c r="Z217" s="108"/>
      <c r="AA217" s="108"/>
      <c r="AB217" s="112"/>
      <c r="AC217" s="108"/>
      <c r="AD217" s="108"/>
      <c r="AE217" s="107"/>
      <c r="AF217" s="113"/>
      <c r="AG217" s="115"/>
      <c r="AH217" s="108"/>
      <c r="AI217" s="108"/>
      <c r="AJ217" s="114"/>
      <c r="AK217" s="108"/>
      <c r="AL217" s="115"/>
      <c r="AM217" s="116"/>
      <c r="AN217" s="116"/>
      <c r="AO217" s="116"/>
      <c r="AP217" s="108"/>
      <c r="AQ217" s="107"/>
      <c r="AR217" s="107"/>
      <c r="AS217" s="116"/>
      <c r="AT217" s="114">
        <f t="shared" si="16"/>
        <v>40.4</v>
      </c>
      <c r="AU217" s="114"/>
      <c r="AV217" s="108"/>
      <c r="AW217" s="108"/>
      <c r="AX217" s="108"/>
      <c r="AY217" s="108"/>
      <c r="AZ217" s="108"/>
      <c r="BA217" s="108"/>
      <c r="BB217" s="108"/>
      <c r="BC217" s="108"/>
      <c r="BD217" s="111"/>
      <c r="BE217" s="111">
        <f t="shared" si="17"/>
        <v>40.4</v>
      </c>
      <c r="BF217" s="111"/>
      <c r="BG217" s="111"/>
      <c r="BH217" s="111"/>
      <c r="BI217" s="111"/>
      <c r="BJ217" s="111"/>
      <c r="BK217" s="111"/>
      <c r="BL217" s="111"/>
      <c r="BM217" s="117"/>
      <c r="BN217" s="111"/>
      <c r="BO217" s="117"/>
      <c r="BP217" s="117">
        <f t="shared" si="18"/>
        <v>40.4</v>
      </c>
      <c r="BQ217" s="117"/>
      <c r="BR217" s="111"/>
      <c r="BS217" s="118"/>
      <c r="BT217" s="111"/>
      <c r="BU217" s="118"/>
      <c r="BV217" s="111"/>
      <c r="BW217" s="111"/>
      <c r="BX217" s="111"/>
      <c r="BY217" s="111"/>
      <c r="BZ217" s="111"/>
      <c r="CA217" s="111">
        <f t="shared" si="19"/>
        <v>40.4</v>
      </c>
      <c r="CB217" s="119"/>
      <c r="CC217" s="117"/>
      <c r="CD217" s="132"/>
      <c r="CE217" s="132"/>
      <c r="CF217" s="132"/>
      <c r="CG217" s="111"/>
      <c r="CH217" s="132"/>
      <c r="CI217" s="132"/>
      <c r="CJ217" s="111"/>
      <c r="CK217" s="132"/>
    </row>
    <row r="218" spans="1:89" ht="43.5">
      <c r="A218" s="106" t="s">
        <v>623</v>
      </c>
      <c r="B218" s="107">
        <v>122</v>
      </c>
      <c r="C218" s="107">
        <v>0</v>
      </c>
      <c r="D218" s="107">
        <f>Tracker[[#This Row],[Estimated Hrs]]-Tracker[[#This Row],[Actual Efforts (Hrs)]]</f>
        <v>-122</v>
      </c>
      <c r="E218" s="108"/>
      <c r="F218" s="108" t="s">
        <v>89</v>
      </c>
      <c r="G218" s="121"/>
      <c r="H218" s="151">
        <v>16070942</v>
      </c>
      <c r="I218" s="149">
        <f>Tracker[[#This Row],[DCR ID - PTC]]</f>
        <v>16070942</v>
      </c>
      <c r="J218" s="107" t="s">
        <v>624</v>
      </c>
      <c r="K218" s="108"/>
      <c r="L218" s="108" t="s">
        <v>131</v>
      </c>
      <c r="M218" s="108"/>
      <c r="N218" s="108"/>
      <c r="O218" s="111"/>
      <c r="P218" s="111"/>
      <c r="Q218" s="111"/>
      <c r="R218" s="111"/>
      <c r="S218" s="111"/>
      <c r="T218" s="111"/>
      <c r="U218" s="108"/>
      <c r="V218" s="108"/>
      <c r="W218" s="108"/>
      <c r="X218" s="108">
        <f t="shared" si="15"/>
        <v>40.4</v>
      </c>
      <c r="Y218" s="108"/>
      <c r="Z218" s="108"/>
      <c r="AA218" s="108" t="s">
        <v>92</v>
      </c>
      <c r="AB218" s="112"/>
      <c r="AC218" s="108" t="s">
        <v>131</v>
      </c>
      <c r="AD218" s="108" t="s">
        <v>93</v>
      </c>
      <c r="AE218" s="107"/>
      <c r="AF218" s="113"/>
      <c r="AG218" s="115">
        <v>45882.922696759262</v>
      </c>
      <c r="AH218" s="108" t="s">
        <v>94</v>
      </c>
      <c r="AI218" s="108" t="s">
        <v>95</v>
      </c>
      <c r="AJ218" s="114">
        <v>45869.395833333336</v>
      </c>
      <c r="AK218" s="108" t="s">
        <v>96</v>
      </c>
      <c r="AL218" s="115">
        <v>45743.85355324074</v>
      </c>
      <c r="AM218" s="116"/>
      <c r="AN218" s="116"/>
      <c r="AO218" s="116"/>
      <c r="AP218" s="108"/>
      <c r="AQ218" s="107"/>
      <c r="AR218" s="107"/>
      <c r="AS218" s="116"/>
      <c r="AT218" s="114">
        <f t="shared" si="16"/>
        <v>40.4</v>
      </c>
      <c r="AU218" s="114"/>
      <c r="AV218" s="108"/>
      <c r="AW218" s="108"/>
      <c r="AX218" s="108"/>
      <c r="AY218" s="108" t="s">
        <v>866</v>
      </c>
      <c r="AZ218" s="108"/>
      <c r="BA218" s="108"/>
      <c r="BB218" s="108"/>
      <c r="BC218" s="108"/>
      <c r="BD218" s="111"/>
      <c r="BE218" s="111">
        <f t="shared" si="17"/>
        <v>40.4</v>
      </c>
      <c r="BF218" s="111"/>
      <c r="BG218" s="111"/>
      <c r="BH218" s="111"/>
      <c r="BI218" s="111"/>
      <c r="BJ218" s="111"/>
      <c r="BK218" s="111"/>
      <c r="BL218" s="111"/>
      <c r="BM218" s="117"/>
      <c r="BN218" s="111"/>
      <c r="BO218" s="117"/>
      <c r="BP218" s="117">
        <f t="shared" si="18"/>
        <v>40.4</v>
      </c>
      <c r="BQ218" s="117"/>
      <c r="BR218" s="111"/>
      <c r="BS218" s="118"/>
      <c r="BT218" s="111"/>
      <c r="BU218" s="118"/>
      <c r="BV218" s="111"/>
      <c r="BW218" s="111"/>
      <c r="BX218" s="111"/>
      <c r="BY218" s="111"/>
      <c r="BZ218" s="111"/>
      <c r="CA218" s="111">
        <f t="shared" si="19"/>
        <v>40.4</v>
      </c>
      <c r="CB218" s="119"/>
      <c r="CC218" s="117"/>
      <c r="CD218" s="132" t="e">
        <v>#N/A</v>
      </c>
      <c r="CE218" s="132" t="e">
        <v>#N/A</v>
      </c>
      <c r="CF218" s="132" t="e">
        <v>#N/A</v>
      </c>
      <c r="CG218" s="111"/>
      <c r="CH218" s="132"/>
      <c r="CI218" s="132"/>
      <c r="CJ218" s="111"/>
      <c r="CK218" s="132"/>
    </row>
    <row r="219" spans="1:89" ht="29.1">
      <c r="A219" s="106" t="s">
        <v>964</v>
      </c>
      <c r="B219" s="107">
        <f>6+4+6+7.5+3+4</f>
        <v>30.5</v>
      </c>
      <c r="C219" s="107">
        <v>30</v>
      </c>
      <c r="D219" s="107">
        <f>Tracker[[#This Row],[Estimated Hrs]]-Tracker[[#This Row],[Actual Efforts (Hrs)]]</f>
        <v>-0.5</v>
      </c>
      <c r="E219" s="108"/>
      <c r="F219" s="108"/>
      <c r="G219" s="121"/>
      <c r="H219" s="109">
        <v>19671563</v>
      </c>
      <c r="I219" s="149">
        <f>Tracker[[#This Row],[DCR ID - PTC]]</f>
        <v>19671563</v>
      </c>
      <c r="J219" s="108" t="s">
        <v>1100</v>
      </c>
      <c r="K219" s="108" t="s">
        <v>118</v>
      </c>
      <c r="L219" s="108"/>
      <c r="M219" s="108"/>
      <c r="N219" s="108" t="s">
        <v>1101</v>
      </c>
      <c r="O219" s="111" t="s">
        <v>115</v>
      </c>
      <c r="P219" s="111"/>
      <c r="Q219" s="111"/>
      <c r="R219" s="111"/>
      <c r="S219" s="111"/>
      <c r="T219" s="111"/>
      <c r="U219" s="108"/>
      <c r="V219" s="108"/>
      <c r="W219" s="108"/>
      <c r="X219" s="108">
        <f t="shared" si="15"/>
        <v>40.4</v>
      </c>
      <c r="Y219" s="108"/>
      <c r="Z219" s="108"/>
      <c r="AA219" s="108"/>
      <c r="AB219" s="112"/>
      <c r="AC219" s="108"/>
      <c r="AD219" s="108"/>
      <c r="AE219" s="107"/>
      <c r="AF219" s="113"/>
      <c r="AG219" s="115"/>
      <c r="AH219" s="108"/>
      <c r="AI219" s="108"/>
      <c r="AJ219" s="114"/>
      <c r="AK219" s="108"/>
      <c r="AL219" s="115"/>
      <c r="AM219" s="116"/>
      <c r="AN219" s="116"/>
      <c r="AO219" s="116"/>
      <c r="AP219" s="108"/>
      <c r="AQ219" s="107"/>
      <c r="AR219" s="107"/>
      <c r="AS219" s="116"/>
      <c r="AT219" s="114">
        <f t="shared" si="16"/>
        <v>40.4</v>
      </c>
      <c r="AU219" s="114"/>
      <c r="AV219" s="108"/>
      <c r="AW219" s="108"/>
      <c r="AX219" s="108"/>
      <c r="AY219" s="108"/>
      <c r="AZ219" s="108"/>
      <c r="BA219" s="108"/>
      <c r="BB219" s="108"/>
      <c r="BC219" s="108"/>
      <c r="BD219" s="111"/>
      <c r="BE219" s="111">
        <f t="shared" si="17"/>
        <v>40.4</v>
      </c>
      <c r="BF219" s="111"/>
      <c r="BG219" s="111"/>
      <c r="BH219" s="111"/>
      <c r="BI219" s="111"/>
      <c r="BJ219" s="111"/>
      <c r="BK219" s="111"/>
      <c r="BL219" s="111"/>
      <c r="BM219" s="117"/>
      <c r="BN219" s="111"/>
      <c r="BO219" s="117"/>
      <c r="BP219" s="117">
        <f t="shared" si="18"/>
        <v>40.4</v>
      </c>
      <c r="BQ219" s="117"/>
      <c r="BR219" s="111"/>
      <c r="BS219" s="118"/>
      <c r="BT219" s="111"/>
      <c r="BU219" s="118"/>
      <c r="BV219" s="111"/>
      <c r="BW219" s="111"/>
      <c r="BX219" s="111"/>
      <c r="BY219" s="111"/>
      <c r="BZ219" s="111"/>
      <c r="CA219" s="111">
        <f t="shared" si="19"/>
        <v>40.4</v>
      </c>
      <c r="CB219" s="119"/>
      <c r="CC219" s="117"/>
      <c r="CD219" s="132"/>
      <c r="CE219" s="132"/>
      <c r="CF219" s="132"/>
      <c r="CG219" s="111"/>
      <c r="CH219" s="132"/>
      <c r="CI219" s="132"/>
      <c r="CJ219" s="111"/>
      <c r="CK219" s="132"/>
    </row>
    <row r="220" spans="1:89" ht="57.95">
      <c r="A220" s="106" t="s">
        <v>144</v>
      </c>
      <c r="B220" s="107">
        <v>0</v>
      </c>
      <c r="C220" s="107">
        <v>0</v>
      </c>
      <c r="D220" s="107">
        <f>Tracker[[#This Row],[Estimated Hrs]]-Tracker[[#This Row],[Actual Efforts (Hrs)]]</f>
        <v>0</v>
      </c>
      <c r="E220" s="108"/>
      <c r="F220" s="108" t="s">
        <v>867</v>
      </c>
      <c r="G220" s="121" t="s">
        <v>867</v>
      </c>
      <c r="H220" s="109">
        <v>18990465</v>
      </c>
      <c r="I220" s="149">
        <f>Tracker[[#This Row],[DCR ID - PTC]]</f>
        <v>18990465</v>
      </c>
      <c r="J220" s="110" t="s">
        <v>1102</v>
      </c>
      <c r="K220" s="108" t="s">
        <v>118</v>
      </c>
      <c r="L220" s="108"/>
      <c r="M220" s="108"/>
      <c r="N220" s="108"/>
      <c r="O220" s="111" t="s">
        <v>106</v>
      </c>
      <c r="P220" s="111"/>
      <c r="Q220" s="111"/>
      <c r="R220" s="111"/>
      <c r="S220" s="111"/>
      <c r="T220" s="111"/>
      <c r="U220" s="108"/>
      <c r="V220" s="108"/>
      <c r="W220" s="108"/>
      <c r="X220" s="108">
        <f t="shared" si="15"/>
        <v>40.4</v>
      </c>
      <c r="Y220" s="108"/>
      <c r="Z220" s="108"/>
      <c r="AA220" s="108"/>
      <c r="AB220" s="112"/>
      <c r="AC220" s="108"/>
      <c r="AD220" s="108"/>
      <c r="AE220" s="107"/>
      <c r="AF220" s="113"/>
      <c r="AG220" s="115">
        <v>46153</v>
      </c>
      <c r="AH220" s="108"/>
      <c r="AI220" s="108"/>
      <c r="AJ220" s="114"/>
      <c r="AK220" s="108"/>
      <c r="AL220" s="115"/>
      <c r="AM220" s="116"/>
      <c r="AN220" s="116"/>
      <c r="AO220" s="139">
        <v>46171</v>
      </c>
      <c r="AP220" s="108"/>
      <c r="AQ220" s="107"/>
      <c r="AR220" s="107"/>
      <c r="AS220" s="116">
        <v>46171</v>
      </c>
      <c r="AT220" s="114">
        <v>46162</v>
      </c>
      <c r="AU220" s="114">
        <v>46163</v>
      </c>
      <c r="AV220" s="108"/>
      <c r="AW220" s="108"/>
      <c r="AX220" s="108" t="s">
        <v>97</v>
      </c>
      <c r="AY220" s="108" t="s">
        <v>98</v>
      </c>
      <c r="AZ220" s="108"/>
      <c r="BA220" s="108"/>
      <c r="BB220" s="108"/>
      <c r="BC220" s="108"/>
      <c r="BD220" s="111"/>
      <c r="BE220" s="111">
        <f t="shared" si="17"/>
        <v>40.4</v>
      </c>
      <c r="BF220" s="111"/>
      <c r="BG220" s="111"/>
      <c r="BH220" s="111"/>
      <c r="BI220" s="111"/>
      <c r="BJ220" s="111"/>
      <c r="BK220" s="111"/>
      <c r="BL220" s="111"/>
      <c r="BM220" s="117"/>
      <c r="BN220" s="111"/>
      <c r="BO220" s="117"/>
      <c r="BP220" s="117">
        <f t="shared" si="18"/>
        <v>40.4</v>
      </c>
      <c r="BQ220" s="117"/>
      <c r="BR220" s="111"/>
      <c r="BS220" s="118"/>
      <c r="BT220" s="111"/>
      <c r="BU220" s="118"/>
      <c r="BV220" s="111"/>
      <c r="BW220" s="111"/>
      <c r="BX220" s="111"/>
      <c r="BY220" s="111"/>
      <c r="BZ220" s="111"/>
      <c r="CA220" s="111">
        <f t="shared" si="19"/>
        <v>40.4</v>
      </c>
      <c r="CB220" s="119">
        <v>1</v>
      </c>
      <c r="CC220" s="117"/>
      <c r="CD220" s="120" t="s">
        <v>997</v>
      </c>
      <c r="CE220" s="120" t="s">
        <v>998</v>
      </c>
      <c r="CF220" s="120" t="s">
        <v>917</v>
      </c>
      <c r="CG220" s="111"/>
      <c r="CH220" s="132"/>
      <c r="CI220" s="132"/>
      <c r="CJ220" s="111"/>
      <c r="CK220" s="132" t="s">
        <v>870</v>
      </c>
    </row>
    <row r="221" spans="1:89" ht="29.1">
      <c r="A221" s="106" t="s">
        <v>897</v>
      </c>
      <c r="B221" s="107"/>
      <c r="C221" s="107">
        <v>0</v>
      </c>
      <c r="D221" s="107">
        <f>Tracker[[#This Row],[Estimated Hrs]]-Tracker[[#This Row],[Actual Efforts (Hrs)]]</f>
        <v>0</v>
      </c>
      <c r="E221" s="108"/>
      <c r="F221" s="108"/>
      <c r="G221" s="121"/>
      <c r="H221" s="109">
        <v>19138223</v>
      </c>
      <c r="I221" s="149">
        <f>Tracker[[#This Row],[DCR ID - PTC]]</f>
        <v>19138223</v>
      </c>
      <c r="J221" s="108" t="s">
        <v>1103</v>
      </c>
      <c r="K221" s="108" t="s">
        <v>118</v>
      </c>
      <c r="L221" s="108"/>
      <c r="M221" s="108"/>
      <c r="N221" s="108"/>
      <c r="O221" s="111" t="s">
        <v>122</v>
      </c>
      <c r="P221" s="111"/>
      <c r="Q221" s="111"/>
      <c r="R221" s="111"/>
      <c r="S221" s="111"/>
      <c r="T221" s="111"/>
      <c r="U221" s="108"/>
      <c r="V221" s="108"/>
      <c r="W221" s="108"/>
      <c r="X221" s="108">
        <f t="shared" si="15"/>
        <v>40.4</v>
      </c>
      <c r="Y221" s="108"/>
      <c r="Z221" s="108"/>
      <c r="AA221" s="108"/>
      <c r="AB221" s="112"/>
      <c r="AC221" s="108"/>
      <c r="AD221" s="108"/>
      <c r="AE221" s="107"/>
      <c r="AF221" s="113"/>
      <c r="AG221" s="115"/>
      <c r="AH221" s="108"/>
      <c r="AI221" s="108"/>
      <c r="AJ221" s="114"/>
      <c r="AK221" s="108"/>
      <c r="AL221" s="115"/>
      <c r="AM221" s="116"/>
      <c r="AN221" s="116"/>
      <c r="AO221" s="116"/>
      <c r="AP221" s="108"/>
      <c r="AQ221" s="107"/>
      <c r="AR221" s="107"/>
      <c r="AS221" s="116"/>
      <c r="AT221" s="114">
        <f t="shared" si="16"/>
        <v>40.4</v>
      </c>
      <c r="AU221" s="114"/>
      <c r="AV221" s="108"/>
      <c r="AW221" s="108"/>
      <c r="AX221" s="108"/>
      <c r="AY221" s="108"/>
      <c r="AZ221" s="108"/>
      <c r="BA221" s="108"/>
      <c r="BB221" s="108"/>
      <c r="BC221" s="108"/>
      <c r="BD221" s="111"/>
      <c r="BE221" s="111">
        <f t="shared" si="17"/>
        <v>40.4</v>
      </c>
      <c r="BF221" s="111"/>
      <c r="BG221" s="111"/>
      <c r="BH221" s="111"/>
      <c r="BI221" s="111"/>
      <c r="BJ221" s="111"/>
      <c r="BK221" s="111"/>
      <c r="BL221" s="111"/>
      <c r="BM221" s="117"/>
      <c r="BN221" s="111"/>
      <c r="BO221" s="117"/>
      <c r="BP221" s="117">
        <f t="shared" si="18"/>
        <v>40.4</v>
      </c>
      <c r="BQ221" s="117"/>
      <c r="BR221" s="111"/>
      <c r="BS221" s="118"/>
      <c r="BT221" s="111"/>
      <c r="BU221" s="118"/>
      <c r="BV221" s="111"/>
      <c r="BW221" s="111"/>
      <c r="BX221" s="111"/>
      <c r="BY221" s="111"/>
      <c r="BZ221" s="111"/>
      <c r="CA221" s="111">
        <f t="shared" si="19"/>
        <v>40.4</v>
      </c>
      <c r="CB221" s="119"/>
      <c r="CC221" s="117"/>
      <c r="CD221" s="132"/>
      <c r="CE221" s="132"/>
      <c r="CF221" s="132"/>
      <c r="CG221" s="111"/>
      <c r="CH221" s="132"/>
      <c r="CI221" s="132"/>
      <c r="CJ221" s="111"/>
      <c r="CK221" s="132"/>
    </row>
    <row r="222" spans="1:89" ht="38.25" customHeight="1">
      <c r="A222" s="106" t="s">
        <v>1104</v>
      </c>
      <c r="B222" s="107">
        <f>4</f>
        <v>4</v>
      </c>
      <c r="C222" s="107">
        <v>70</v>
      </c>
      <c r="D222" s="107">
        <f>Tracker[[#This Row],[Estimated Hrs]]-Tracker[[#This Row],[Actual Efforts (Hrs)]]</f>
        <v>66</v>
      </c>
      <c r="E222" s="108"/>
      <c r="F222" s="108"/>
      <c r="G222" s="121"/>
      <c r="H222" s="109">
        <v>18922156</v>
      </c>
      <c r="I222" s="149">
        <f>Tracker[[#This Row],[DCR ID - PTC]]</f>
        <v>18922156</v>
      </c>
      <c r="J222" s="108" t="s">
        <v>1105</v>
      </c>
      <c r="K222" s="108" t="s">
        <v>118</v>
      </c>
      <c r="L222" s="108"/>
      <c r="M222" s="108"/>
      <c r="N222" s="108" t="s">
        <v>1106</v>
      </c>
      <c r="O222" s="111" t="s">
        <v>207</v>
      </c>
      <c r="P222" s="111"/>
      <c r="Q222" s="111"/>
      <c r="R222" s="111"/>
      <c r="S222" s="111"/>
      <c r="T222" s="111"/>
      <c r="U222" s="108"/>
      <c r="V222" s="108"/>
      <c r="W222" s="108"/>
      <c r="X222" s="108">
        <f t="shared" si="15"/>
        <v>40.4</v>
      </c>
      <c r="Y222" s="108"/>
      <c r="Z222" s="108"/>
      <c r="AA222" s="108"/>
      <c r="AB222" s="112"/>
      <c r="AC222" s="108"/>
      <c r="AD222" s="108"/>
      <c r="AE222" s="107"/>
      <c r="AF222" s="113"/>
      <c r="AG222" s="115"/>
      <c r="AH222" s="108"/>
      <c r="AI222" s="108"/>
      <c r="AJ222" s="114"/>
      <c r="AK222" s="108"/>
      <c r="AL222" s="115"/>
      <c r="AM222" s="116"/>
      <c r="AN222" s="116"/>
      <c r="AO222" s="116"/>
      <c r="AP222" s="108"/>
      <c r="AQ222" s="107"/>
      <c r="AR222" s="107"/>
      <c r="AS222" s="116"/>
      <c r="AT222" s="114">
        <f t="shared" si="16"/>
        <v>40.4</v>
      </c>
      <c r="AU222" s="114"/>
      <c r="AV222" s="108"/>
      <c r="AW222" s="108"/>
      <c r="AX222" s="108"/>
      <c r="AY222" s="108"/>
      <c r="AZ222" s="108"/>
      <c r="BA222" s="108"/>
      <c r="BB222" s="108"/>
      <c r="BC222" s="108"/>
      <c r="BD222" s="111"/>
      <c r="BE222" s="111">
        <f t="shared" si="17"/>
        <v>40.4</v>
      </c>
      <c r="BF222" s="111"/>
      <c r="BG222" s="111"/>
      <c r="BH222" s="111"/>
      <c r="BI222" s="111"/>
      <c r="BJ222" s="111"/>
      <c r="BK222" s="111"/>
      <c r="BL222" s="111"/>
      <c r="BM222" s="117"/>
      <c r="BN222" s="111"/>
      <c r="BO222" s="117"/>
      <c r="BP222" s="117">
        <f t="shared" si="18"/>
        <v>40.4</v>
      </c>
      <c r="BQ222" s="117"/>
      <c r="BR222" s="111"/>
      <c r="BS222" s="118"/>
      <c r="BT222" s="111"/>
      <c r="BU222" s="118"/>
      <c r="BV222" s="111"/>
      <c r="BW222" s="111"/>
      <c r="BX222" s="111"/>
      <c r="BY222" s="111"/>
      <c r="BZ222" s="111"/>
      <c r="CA222" s="111">
        <f t="shared" si="19"/>
        <v>40.4</v>
      </c>
      <c r="CB222" s="119"/>
      <c r="CC222" s="117"/>
      <c r="CD222" s="132"/>
      <c r="CE222" s="132"/>
      <c r="CF222" s="132"/>
      <c r="CG222" s="111"/>
      <c r="CH222" s="132"/>
      <c r="CI222" s="132"/>
      <c r="CJ222" s="111"/>
      <c r="CK222" s="132"/>
    </row>
    <row r="223" spans="1:89" ht="144.94999999999999">
      <c r="A223" s="106" t="s">
        <v>623</v>
      </c>
      <c r="B223" s="107">
        <f>6.25+5.5+5+5+4.5+1</f>
        <v>27.25</v>
      </c>
      <c r="C223" s="107">
        <v>80</v>
      </c>
      <c r="D223" s="107">
        <f>Tracker[[#This Row],[Estimated Hrs]]-Tracker[[#This Row],[Actual Efforts (Hrs)]]</f>
        <v>52.75</v>
      </c>
      <c r="E223" s="108"/>
      <c r="F223" s="108"/>
      <c r="G223" s="121"/>
      <c r="H223" s="109">
        <v>19828476</v>
      </c>
      <c r="I223" s="149">
        <f>Tracker[[#This Row],[DCR ID - PTC]]</f>
        <v>19828476</v>
      </c>
      <c r="J223" s="110" t="s">
        <v>1107</v>
      </c>
      <c r="K223" s="108" t="s">
        <v>104</v>
      </c>
      <c r="L223" s="108"/>
      <c r="M223" s="108"/>
      <c r="N223" s="108" t="s">
        <v>1108</v>
      </c>
      <c r="O223" s="111" t="s">
        <v>207</v>
      </c>
      <c r="P223" s="111"/>
      <c r="Q223" s="111"/>
      <c r="R223" s="111"/>
      <c r="S223" s="111"/>
      <c r="T223" s="111"/>
      <c r="U223" s="108"/>
      <c r="V223" s="108"/>
      <c r="W223" s="108"/>
      <c r="X223" s="108">
        <f t="shared" si="15"/>
        <v>40.4</v>
      </c>
      <c r="Y223" s="108"/>
      <c r="Z223" s="108"/>
      <c r="AA223" s="108"/>
      <c r="AB223" s="112"/>
      <c r="AC223" s="108"/>
      <c r="AD223" s="108"/>
      <c r="AE223" s="107"/>
      <c r="AF223" s="113"/>
      <c r="AG223" s="115"/>
      <c r="AH223" s="108"/>
      <c r="AI223" s="108"/>
      <c r="AJ223" s="114"/>
      <c r="AK223" s="108"/>
      <c r="AL223" s="115"/>
      <c r="AM223" s="116"/>
      <c r="AN223" s="116"/>
      <c r="AO223" s="116"/>
      <c r="AP223" s="108"/>
      <c r="AQ223" s="107"/>
      <c r="AR223" s="107"/>
      <c r="AS223" s="116"/>
      <c r="AT223" s="114">
        <f t="shared" si="16"/>
        <v>40.4</v>
      </c>
      <c r="AU223" s="114"/>
      <c r="AV223" s="108"/>
      <c r="AW223" s="108"/>
      <c r="AX223" s="108"/>
      <c r="AY223" s="108"/>
      <c r="AZ223" s="108"/>
      <c r="BA223" s="108"/>
      <c r="BB223" s="108"/>
      <c r="BC223" s="108"/>
      <c r="BD223" s="111"/>
      <c r="BE223" s="111">
        <f t="shared" si="17"/>
        <v>40.4</v>
      </c>
      <c r="BF223" s="111"/>
      <c r="BG223" s="111"/>
      <c r="BH223" s="111"/>
      <c r="BI223" s="111"/>
      <c r="BJ223" s="111"/>
      <c r="BK223" s="111"/>
      <c r="BL223" s="111"/>
      <c r="BM223" s="117"/>
      <c r="BN223" s="111"/>
      <c r="BO223" s="117"/>
      <c r="BP223" s="117">
        <f t="shared" si="18"/>
        <v>40.4</v>
      </c>
      <c r="BQ223" s="117"/>
      <c r="BR223" s="111"/>
      <c r="BS223" s="118"/>
      <c r="BT223" s="111"/>
      <c r="BU223" s="118"/>
      <c r="BV223" s="111"/>
      <c r="BW223" s="111"/>
      <c r="BX223" s="111"/>
      <c r="BY223" s="111"/>
      <c r="BZ223" s="111"/>
      <c r="CA223" s="111">
        <f t="shared" si="19"/>
        <v>40.4</v>
      </c>
      <c r="CB223" s="119"/>
      <c r="CC223" s="117"/>
      <c r="CD223" s="132"/>
      <c r="CE223" s="132"/>
      <c r="CF223" s="132"/>
      <c r="CG223" s="111"/>
      <c r="CH223" s="132"/>
      <c r="CI223" s="132"/>
      <c r="CJ223" s="111"/>
      <c r="CK223" s="132"/>
    </row>
    <row r="224" spans="1:89" ht="217.5">
      <c r="A224" s="106" t="s">
        <v>1109</v>
      </c>
      <c r="B224" s="107">
        <v>0</v>
      </c>
      <c r="C224" s="107">
        <v>0</v>
      </c>
      <c r="D224" s="107">
        <f>Tracker[[#This Row],[Estimated Hrs]]-Tracker[[#This Row],[Actual Efforts (Hrs)]]</f>
        <v>0</v>
      </c>
      <c r="E224" s="108"/>
      <c r="F224" s="108" t="s">
        <v>867</v>
      </c>
      <c r="G224" s="121" t="s">
        <v>867</v>
      </c>
      <c r="H224" s="109">
        <v>19661917</v>
      </c>
      <c r="I224" s="149">
        <f>Tracker[[#This Row],[DCR ID - PTC]]</f>
        <v>19661917</v>
      </c>
      <c r="J224" s="108" t="s">
        <v>1027</v>
      </c>
      <c r="K224" s="108" t="s">
        <v>104</v>
      </c>
      <c r="L224" s="108" t="s">
        <v>212</v>
      </c>
      <c r="M224" s="108">
        <f t="shared" ref="M224" si="20">4+8+8+8+10+0.25+0.15+2</f>
        <v>40.4</v>
      </c>
      <c r="N224" s="108" t="s">
        <v>1110</v>
      </c>
      <c r="O224" s="111" t="s">
        <v>106</v>
      </c>
      <c r="P224" s="111"/>
      <c r="Q224" s="111"/>
      <c r="R224" s="111"/>
      <c r="S224" s="117"/>
      <c r="T224" s="117"/>
      <c r="U224" s="108"/>
      <c r="V224" s="108"/>
      <c r="W224" s="108"/>
      <c r="X224" s="107"/>
      <c r="Y224" s="107"/>
      <c r="Z224" s="107"/>
      <c r="AA224" s="108"/>
      <c r="AB224" s="112"/>
      <c r="AC224" s="108"/>
      <c r="AD224" s="107"/>
      <c r="AE224" s="107"/>
      <c r="AF224" s="113"/>
      <c r="AG224" s="115">
        <v>46160</v>
      </c>
      <c r="AH224" s="108"/>
      <c r="AI224" s="107"/>
      <c r="AJ224" s="114"/>
      <c r="AK224" s="107"/>
      <c r="AL224" s="115"/>
      <c r="AM224" s="116"/>
      <c r="AN224" s="116"/>
      <c r="AO224" s="116">
        <v>46157</v>
      </c>
      <c r="AP224" s="107"/>
      <c r="AQ224" s="107" t="s">
        <v>1027</v>
      </c>
      <c r="AR224" s="107" t="s">
        <v>118</v>
      </c>
      <c r="AS224" s="116">
        <v>46161</v>
      </c>
      <c r="AT224" s="114">
        <v>46155</v>
      </c>
      <c r="AU224" s="114">
        <v>46156</v>
      </c>
      <c r="AV224" s="107"/>
      <c r="AW224" s="108"/>
      <c r="AX224" s="108" t="s">
        <v>97</v>
      </c>
      <c r="AY224" s="108" t="s">
        <v>98</v>
      </c>
      <c r="AZ224" s="107">
        <v>19661917</v>
      </c>
      <c r="BA224" s="107"/>
      <c r="BB224" s="108" t="s">
        <v>1027</v>
      </c>
      <c r="BC224" s="108" t="s">
        <v>118</v>
      </c>
      <c r="BD224" s="111" t="s">
        <v>212</v>
      </c>
      <c r="BE224" s="117">
        <f t="shared" ref="BE224" si="21">4+8+8+8+10+0.25+0.15+2</f>
        <v>40.4</v>
      </c>
      <c r="BF224" s="117">
        <v>22</v>
      </c>
      <c r="BG224" s="117"/>
      <c r="BH224" s="111"/>
      <c r="BI224" s="111"/>
      <c r="BJ224" s="111"/>
      <c r="BK224" s="117">
        <v>19661917</v>
      </c>
      <c r="BL224" s="117"/>
      <c r="BM224" s="111" t="s">
        <v>1027</v>
      </c>
      <c r="BN224" s="111" t="s">
        <v>118</v>
      </c>
      <c r="BO224" s="111" t="s">
        <v>212</v>
      </c>
      <c r="BP224" s="117">
        <f t="shared" ref="BP224" si="22">4+8+8+8+10+0.25+0.15+2</f>
        <v>40.4</v>
      </c>
      <c r="BQ224" s="117">
        <v>22</v>
      </c>
      <c r="BR224" s="117"/>
      <c r="BS224" s="111"/>
      <c r="BT224" s="111"/>
      <c r="BU224" s="111"/>
      <c r="BV224" s="117">
        <v>19661917</v>
      </c>
      <c r="BW224" s="117"/>
      <c r="BX224" s="111" t="s">
        <v>1027</v>
      </c>
      <c r="BY224" s="111" t="s">
        <v>118</v>
      </c>
      <c r="BZ224" s="111" t="s">
        <v>212</v>
      </c>
      <c r="CA224" s="117">
        <f t="shared" ref="CA224" si="23">4+8+8+8+10+0.25+0.15+2</f>
        <v>40.4</v>
      </c>
      <c r="CB224" s="119">
        <v>1</v>
      </c>
      <c r="CC224" s="117"/>
      <c r="CD224" s="132"/>
      <c r="CE224" s="132"/>
      <c r="CF224" s="132"/>
      <c r="CG224" s="111">
        <v>19661917</v>
      </c>
      <c r="CH224" s="132"/>
      <c r="CI224" s="132" t="s">
        <v>1027</v>
      </c>
      <c r="CJ224" s="111" t="s">
        <v>118</v>
      </c>
      <c r="CK224" s="586" t="s">
        <v>870</v>
      </c>
    </row>
    <row r="225" spans="1:89" ht="188.45">
      <c r="A225" s="106" t="s">
        <v>768</v>
      </c>
      <c r="B225" s="107">
        <f>4+5+7+4.5+4.5+4.5+7+6.5</f>
        <v>43</v>
      </c>
      <c r="C225" s="107">
        <v>39</v>
      </c>
      <c r="D225" s="107">
        <f>Tracker[[#This Row],[Estimated Hrs]]-Tracker[[#This Row],[Actual Efforts (Hrs)]]</f>
        <v>-4</v>
      </c>
      <c r="E225" s="108"/>
      <c r="F225" s="108"/>
      <c r="G225" s="121"/>
      <c r="H225" s="109">
        <v>19526069</v>
      </c>
      <c r="I225" s="149">
        <f>Tracker[[#This Row],[DCR ID - PTC]]</f>
        <v>19526069</v>
      </c>
      <c r="J225" s="108" t="s">
        <v>650</v>
      </c>
      <c r="K225" s="108" t="s">
        <v>104</v>
      </c>
      <c r="L225" s="108"/>
      <c r="M225" s="108"/>
      <c r="N225" s="108" t="s">
        <v>1111</v>
      </c>
      <c r="O225" s="111" t="s">
        <v>115</v>
      </c>
      <c r="P225" s="111"/>
      <c r="Q225" s="111"/>
      <c r="R225" s="111"/>
      <c r="S225" s="111"/>
      <c r="T225" s="111"/>
      <c r="U225" s="108"/>
      <c r="V225" s="108"/>
      <c r="W225" s="108"/>
      <c r="X225" s="107">
        <f t="shared" ref="X225:X239" si="24">4+8+8+8+10+0.25+0.15+2</f>
        <v>40.4</v>
      </c>
      <c r="Y225" s="108"/>
      <c r="Z225" s="108"/>
      <c r="AA225" s="108"/>
      <c r="AB225" s="112"/>
      <c r="AC225" s="108"/>
      <c r="AD225" s="108"/>
      <c r="AE225" s="107"/>
      <c r="AF225" s="113"/>
      <c r="AG225" s="115"/>
      <c r="AH225" s="108"/>
      <c r="AI225" s="108"/>
      <c r="AJ225" s="114"/>
      <c r="AK225" s="108"/>
      <c r="AL225" s="115"/>
      <c r="AM225" s="116"/>
      <c r="AN225" s="116"/>
      <c r="AO225" s="116"/>
      <c r="AP225" s="108"/>
      <c r="AQ225" s="107"/>
      <c r="AR225" s="107"/>
      <c r="AS225" s="116"/>
      <c r="AT225" s="114">
        <f t="shared" ref="AT225:AT239" si="25">4+8+8+8+10+0.25+0.15+2</f>
        <v>40.4</v>
      </c>
      <c r="AU225" s="114"/>
      <c r="AV225" s="108"/>
      <c r="AW225" s="108"/>
      <c r="AX225" s="108"/>
      <c r="AY225" s="108"/>
      <c r="AZ225" s="108"/>
      <c r="BA225" s="108"/>
      <c r="BB225" s="108"/>
      <c r="BC225" s="108"/>
      <c r="BD225" s="111"/>
      <c r="BE225" s="117">
        <f t="shared" ref="BE225:BE239" si="26">4+8+8+8+10+0.25+0.15+2</f>
        <v>40.4</v>
      </c>
      <c r="BF225" s="111"/>
      <c r="BG225" s="111"/>
      <c r="BH225" s="111"/>
      <c r="BI225" s="111"/>
      <c r="BJ225" s="111"/>
      <c r="BK225" s="111"/>
      <c r="BL225" s="111"/>
      <c r="BM225" s="117"/>
      <c r="BN225" s="111"/>
      <c r="BO225" s="117"/>
      <c r="BP225" s="117">
        <f t="shared" ref="BP225:BP239" si="27">4+8+8+8+10+0.25+0.15+2</f>
        <v>40.4</v>
      </c>
      <c r="BQ225" s="117"/>
      <c r="BR225" s="111"/>
      <c r="BS225" s="118"/>
      <c r="BT225" s="111"/>
      <c r="BU225" s="118"/>
      <c r="BV225" s="111"/>
      <c r="BW225" s="111"/>
      <c r="BX225" s="111"/>
      <c r="BY225" s="111"/>
      <c r="BZ225" s="111"/>
      <c r="CA225" s="117">
        <f t="shared" ref="CA225:CA239" si="28">4+8+8+8+10+0.25+0.15+2</f>
        <v>40.4</v>
      </c>
      <c r="CB225" s="119"/>
      <c r="CC225" s="117"/>
      <c r="CD225" s="132"/>
      <c r="CE225" s="132"/>
      <c r="CF225" s="132"/>
      <c r="CG225" s="111"/>
      <c r="CH225" s="132"/>
      <c r="CI225" s="132"/>
      <c r="CJ225" s="111"/>
      <c r="CK225" s="132"/>
    </row>
    <row r="226" spans="1:89" ht="43.5">
      <c r="A226" s="106" t="s">
        <v>768</v>
      </c>
      <c r="B226" s="107"/>
      <c r="C226" s="107">
        <v>71</v>
      </c>
      <c r="D226" s="107">
        <f>Tracker[[#This Row],[Estimated Hrs]]-Tracker[[#This Row],[Actual Efforts (Hrs)]]</f>
        <v>71</v>
      </c>
      <c r="E226" s="108"/>
      <c r="F226" s="108"/>
      <c r="G226" s="121"/>
      <c r="H226" s="109">
        <v>19526069</v>
      </c>
      <c r="I226" s="149">
        <f>Tracker[[#This Row],[DCR ID - PTC]]</f>
        <v>19526069</v>
      </c>
      <c r="J226" s="108" t="s">
        <v>650</v>
      </c>
      <c r="K226" s="108" t="s">
        <v>118</v>
      </c>
      <c r="L226" s="108"/>
      <c r="M226" s="108"/>
      <c r="N226" s="108"/>
      <c r="O226" s="111" t="s">
        <v>122</v>
      </c>
      <c r="P226" s="111"/>
      <c r="Q226" s="111"/>
      <c r="R226" s="111"/>
      <c r="S226" s="111"/>
      <c r="T226" s="111"/>
      <c r="U226" s="108"/>
      <c r="V226" s="108"/>
      <c r="W226" s="108"/>
      <c r="X226" s="107">
        <f t="shared" si="24"/>
        <v>40.4</v>
      </c>
      <c r="Y226" s="108"/>
      <c r="Z226" s="108"/>
      <c r="AA226" s="108"/>
      <c r="AB226" s="112"/>
      <c r="AC226" s="108"/>
      <c r="AD226" s="108"/>
      <c r="AE226" s="107"/>
      <c r="AF226" s="113"/>
      <c r="AG226" s="115"/>
      <c r="AH226" s="108"/>
      <c r="AI226" s="108"/>
      <c r="AJ226" s="114"/>
      <c r="AK226" s="108"/>
      <c r="AL226" s="115"/>
      <c r="AM226" s="116"/>
      <c r="AN226" s="116"/>
      <c r="AO226" s="116"/>
      <c r="AP226" s="108"/>
      <c r="AQ226" s="107"/>
      <c r="AR226" s="107"/>
      <c r="AS226" s="116"/>
      <c r="AT226" s="114">
        <f t="shared" si="25"/>
        <v>40.4</v>
      </c>
      <c r="AU226" s="114"/>
      <c r="AV226" s="108"/>
      <c r="AW226" s="108"/>
      <c r="AX226" s="108"/>
      <c r="AY226" s="108"/>
      <c r="AZ226" s="108"/>
      <c r="BA226" s="108"/>
      <c r="BB226" s="108"/>
      <c r="BC226" s="108"/>
      <c r="BD226" s="111"/>
      <c r="BE226" s="117">
        <f t="shared" si="26"/>
        <v>40.4</v>
      </c>
      <c r="BF226" s="111"/>
      <c r="BG226" s="111"/>
      <c r="BH226" s="111"/>
      <c r="BI226" s="111"/>
      <c r="BJ226" s="111"/>
      <c r="BK226" s="111"/>
      <c r="BL226" s="111"/>
      <c r="BM226" s="117"/>
      <c r="BN226" s="111"/>
      <c r="BO226" s="117"/>
      <c r="BP226" s="117">
        <f t="shared" si="27"/>
        <v>40.4</v>
      </c>
      <c r="BQ226" s="117"/>
      <c r="BR226" s="111"/>
      <c r="BS226" s="118"/>
      <c r="BT226" s="111"/>
      <c r="BU226" s="118"/>
      <c r="BV226" s="111"/>
      <c r="BW226" s="111"/>
      <c r="BX226" s="111"/>
      <c r="BY226" s="111"/>
      <c r="BZ226" s="111"/>
      <c r="CA226" s="117">
        <f t="shared" si="28"/>
        <v>40.4</v>
      </c>
      <c r="CB226" s="119"/>
      <c r="CC226" s="117"/>
      <c r="CD226" s="132"/>
      <c r="CE226" s="132"/>
      <c r="CF226" s="132"/>
      <c r="CG226" s="111"/>
      <c r="CH226" s="132"/>
      <c r="CI226" s="132"/>
      <c r="CJ226" s="111"/>
      <c r="CK226" s="132"/>
    </row>
    <row r="227" spans="1:89" ht="29.1">
      <c r="A227" s="106" t="s">
        <v>768</v>
      </c>
      <c r="B227" s="107">
        <f>7</f>
        <v>7</v>
      </c>
      <c r="C227" s="107">
        <v>44</v>
      </c>
      <c r="D227" s="107">
        <v>0</v>
      </c>
      <c r="E227" s="108"/>
      <c r="F227" s="108"/>
      <c r="G227" s="121"/>
      <c r="H227" s="109">
        <v>19023103</v>
      </c>
      <c r="I227" s="149">
        <f>Tracker[[#This Row],[DCR ID - PTC]]</f>
        <v>19023103</v>
      </c>
      <c r="J227" s="108" t="s">
        <v>648</v>
      </c>
      <c r="K227" s="108" t="s">
        <v>118</v>
      </c>
      <c r="L227" s="108"/>
      <c r="M227" s="108"/>
      <c r="N227" s="108" t="s">
        <v>1112</v>
      </c>
      <c r="O227" s="111" t="s">
        <v>231</v>
      </c>
      <c r="P227" s="111"/>
      <c r="Q227" s="111"/>
      <c r="R227" s="111"/>
      <c r="S227" s="111"/>
      <c r="T227" s="111"/>
      <c r="U227" s="108"/>
      <c r="V227" s="108"/>
      <c r="W227" s="108"/>
      <c r="X227" s="107">
        <f t="shared" si="24"/>
        <v>40.4</v>
      </c>
      <c r="Y227" s="108"/>
      <c r="Z227" s="108"/>
      <c r="AA227" s="108"/>
      <c r="AB227" s="112"/>
      <c r="AC227" s="108"/>
      <c r="AD227" s="108"/>
      <c r="AE227" s="107"/>
      <c r="AF227" s="113"/>
      <c r="AG227" s="115"/>
      <c r="AH227" s="108"/>
      <c r="AI227" s="108"/>
      <c r="AJ227" s="114"/>
      <c r="AK227" s="108"/>
      <c r="AL227" s="115"/>
      <c r="AM227" s="116"/>
      <c r="AN227" s="116"/>
      <c r="AO227" s="116"/>
      <c r="AP227" s="108"/>
      <c r="AQ227" s="107"/>
      <c r="AR227" s="107"/>
      <c r="AS227" s="116"/>
      <c r="AT227" s="114">
        <f t="shared" si="25"/>
        <v>40.4</v>
      </c>
      <c r="AU227" s="114"/>
      <c r="AV227" s="108"/>
      <c r="AW227" s="108"/>
      <c r="AX227" s="108"/>
      <c r="AY227" s="108"/>
      <c r="AZ227" s="108"/>
      <c r="BA227" s="108"/>
      <c r="BB227" s="108"/>
      <c r="BC227" s="108"/>
      <c r="BD227" s="111"/>
      <c r="BE227" s="117">
        <f t="shared" si="26"/>
        <v>40.4</v>
      </c>
      <c r="BF227" s="111"/>
      <c r="BG227" s="111"/>
      <c r="BH227" s="111"/>
      <c r="BI227" s="111"/>
      <c r="BJ227" s="111"/>
      <c r="BK227" s="111"/>
      <c r="BL227" s="111"/>
      <c r="BM227" s="117"/>
      <c r="BN227" s="111"/>
      <c r="BO227" s="117"/>
      <c r="BP227" s="117">
        <f t="shared" si="27"/>
        <v>40.4</v>
      </c>
      <c r="BQ227" s="117"/>
      <c r="BR227" s="111"/>
      <c r="BS227" s="118"/>
      <c r="BT227" s="111"/>
      <c r="BU227" s="118"/>
      <c r="BV227" s="111"/>
      <c r="BW227" s="111"/>
      <c r="BX227" s="111"/>
      <c r="BY227" s="111"/>
      <c r="BZ227" s="111"/>
      <c r="CA227" s="117">
        <f t="shared" si="28"/>
        <v>40.4</v>
      </c>
      <c r="CB227" s="119"/>
      <c r="CC227" s="117"/>
      <c r="CD227" s="132"/>
      <c r="CE227" s="132"/>
      <c r="CF227" s="132"/>
      <c r="CG227" s="111"/>
      <c r="CH227" s="132"/>
      <c r="CI227" s="132"/>
      <c r="CJ227" s="111"/>
      <c r="CK227" s="132"/>
    </row>
    <row r="228" spans="1:89" ht="29.1">
      <c r="A228" s="106" t="s">
        <v>964</v>
      </c>
      <c r="B228" s="107"/>
      <c r="C228" s="107">
        <v>0</v>
      </c>
      <c r="D228" s="107">
        <f>Tracker[[#This Row],[Estimated Hrs]]-Tracker[[#This Row],[Actual Efforts (Hrs)]]</f>
        <v>0</v>
      </c>
      <c r="E228" s="108"/>
      <c r="F228" s="108"/>
      <c r="G228" s="121"/>
      <c r="H228" s="109">
        <v>19656622</v>
      </c>
      <c r="I228" s="149">
        <f>Tracker[[#This Row],[DCR ID - PTC]]</f>
        <v>19656622</v>
      </c>
      <c r="J228" s="108" t="s">
        <v>1113</v>
      </c>
      <c r="K228" s="108" t="s">
        <v>104</v>
      </c>
      <c r="L228" s="108"/>
      <c r="M228" s="108"/>
      <c r="N228" s="108" t="s">
        <v>1114</v>
      </c>
      <c r="O228" s="111" t="s">
        <v>106</v>
      </c>
      <c r="P228" s="111"/>
      <c r="Q228" s="111"/>
      <c r="R228" s="111"/>
      <c r="S228" s="111"/>
      <c r="T228" s="111"/>
      <c r="U228" s="108"/>
      <c r="V228" s="108"/>
      <c r="W228" s="108"/>
      <c r="X228" s="107">
        <f t="shared" si="24"/>
        <v>40.4</v>
      </c>
      <c r="Y228" s="108"/>
      <c r="Z228" s="108"/>
      <c r="AA228" s="108"/>
      <c r="AB228" s="112"/>
      <c r="AC228" s="108"/>
      <c r="AD228" s="108"/>
      <c r="AE228" s="107"/>
      <c r="AF228" s="113"/>
      <c r="AG228" s="115"/>
      <c r="AH228" s="108"/>
      <c r="AI228" s="108"/>
      <c r="AJ228" s="114"/>
      <c r="AK228" s="108"/>
      <c r="AL228" s="115"/>
      <c r="AM228" s="116"/>
      <c r="AN228" s="116"/>
      <c r="AO228" s="116"/>
      <c r="AP228" s="108"/>
      <c r="AQ228" s="107"/>
      <c r="AR228" s="107"/>
      <c r="AS228" s="116"/>
      <c r="AT228" s="114">
        <f t="shared" si="25"/>
        <v>40.4</v>
      </c>
      <c r="AU228" s="114"/>
      <c r="AV228" s="108"/>
      <c r="AW228" s="108"/>
      <c r="AX228" s="108"/>
      <c r="AY228" s="108"/>
      <c r="AZ228" s="108"/>
      <c r="BA228" s="108"/>
      <c r="BB228" s="108"/>
      <c r="BC228" s="108"/>
      <c r="BD228" s="111"/>
      <c r="BE228" s="117">
        <f t="shared" si="26"/>
        <v>40.4</v>
      </c>
      <c r="BF228" s="111"/>
      <c r="BG228" s="111"/>
      <c r="BH228" s="111"/>
      <c r="BI228" s="111"/>
      <c r="BJ228" s="111"/>
      <c r="BK228" s="111"/>
      <c r="BL228" s="111"/>
      <c r="BM228" s="117"/>
      <c r="BN228" s="111"/>
      <c r="BO228" s="117"/>
      <c r="BP228" s="117">
        <f t="shared" si="27"/>
        <v>40.4</v>
      </c>
      <c r="BQ228" s="117"/>
      <c r="BR228" s="111"/>
      <c r="BS228" s="118"/>
      <c r="BT228" s="111"/>
      <c r="BU228" s="118"/>
      <c r="BV228" s="111"/>
      <c r="BW228" s="111"/>
      <c r="BX228" s="111"/>
      <c r="BY228" s="111"/>
      <c r="BZ228" s="111"/>
      <c r="CA228" s="117">
        <f t="shared" si="28"/>
        <v>40.4</v>
      </c>
      <c r="CB228" s="119"/>
      <c r="CC228" s="117"/>
      <c r="CD228" s="132"/>
      <c r="CE228" s="132"/>
      <c r="CF228" s="132"/>
      <c r="CG228" s="111"/>
      <c r="CH228" s="132"/>
      <c r="CI228" s="132"/>
      <c r="CJ228" s="111"/>
      <c r="CK228" s="132"/>
    </row>
    <row r="229" spans="1:89" ht="29.1">
      <c r="A229" s="106" t="s">
        <v>964</v>
      </c>
      <c r="B229" s="107"/>
      <c r="C229" s="107">
        <v>0</v>
      </c>
      <c r="D229" s="107">
        <f>Tracker[[#This Row],[Estimated Hrs]]-Tracker[[#This Row],[Actual Efforts (Hrs)]]</f>
        <v>0</v>
      </c>
      <c r="E229" s="108"/>
      <c r="F229" s="108"/>
      <c r="G229" s="121"/>
      <c r="H229" s="109">
        <v>19656622</v>
      </c>
      <c r="I229" s="149">
        <f>Tracker[[#This Row],[DCR ID - PTC]]</f>
        <v>19656622</v>
      </c>
      <c r="J229" s="108" t="s">
        <v>1113</v>
      </c>
      <c r="K229" s="108" t="s">
        <v>118</v>
      </c>
      <c r="L229" s="108"/>
      <c r="M229" s="108"/>
      <c r="N229" s="108" t="s">
        <v>1115</v>
      </c>
      <c r="O229" s="111" t="s">
        <v>115</v>
      </c>
      <c r="P229" s="111"/>
      <c r="Q229" s="111"/>
      <c r="R229" s="111"/>
      <c r="S229" s="111"/>
      <c r="T229" s="111"/>
      <c r="U229" s="108"/>
      <c r="V229" s="108"/>
      <c r="W229" s="108"/>
      <c r="X229" s="107">
        <f t="shared" si="24"/>
        <v>40.4</v>
      </c>
      <c r="Y229" s="108"/>
      <c r="Z229" s="108"/>
      <c r="AA229" s="108"/>
      <c r="AB229" s="112"/>
      <c r="AC229" s="108"/>
      <c r="AD229" s="108"/>
      <c r="AE229" s="107"/>
      <c r="AF229" s="113"/>
      <c r="AG229" s="115"/>
      <c r="AH229" s="108"/>
      <c r="AI229" s="108"/>
      <c r="AJ229" s="114"/>
      <c r="AK229" s="108"/>
      <c r="AL229" s="115"/>
      <c r="AM229" s="116"/>
      <c r="AN229" s="116"/>
      <c r="AO229" s="116"/>
      <c r="AP229" s="108"/>
      <c r="AQ229" s="107"/>
      <c r="AR229" s="107"/>
      <c r="AS229" s="116"/>
      <c r="AT229" s="114">
        <f t="shared" si="25"/>
        <v>40.4</v>
      </c>
      <c r="AU229" s="114"/>
      <c r="AV229" s="108"/>
      <c r="AW229" s="108"/>
      <c r="AX229" s="108"/>
      <c r="AY229" s="108"/>
      <c r="AZ229" s="108"/>
      <c r="BA229" s="108"/>
      <c r="BB229" s="108"/>
      <c r="BC229" s="108"/>
      <c r="BD229" s="111"/>
      <c r="BE229" s="117">
        <f t="shared" si="26"/>
        <v>40.4</v>
      </c>
      <c r="BF229" s="111"/>
      <c r="BG229" s="111"/>
      <c r="BH229" s="111"/>
      <c r="BI229" s="111"/>
      <c r="BJ229" s="111"/>
      <c r="BK229" s="111"/>
      <c r="BL229" s="111"/>
      <c r="BM229" s="117"/>
      <c r="BN229" s="111"/>
      <c r="BO229" s="117"/>
      <c r="BP229" s="117">
        <f t="shared" si="27"/>
        <v>40.4</v>
      </c>
      <c r="BQ229" s="117"/>
      <c r="BR229" s="111"/>
      <c r="BS229" s="118"/>
      <c r="BT229" s="111"/>
      <c r="BU229" s="118"/>
      <c r="BV229" s="111"/>
      <c r="BW229" s="111"/>
      <c r="BX229" s="111"/>
      <c r="BY229" s="111"/>
      <c r="BZ229" s="111"/>
      <c r="CA229" s="117">
        <f t="shared" si="28"/>
        <v>40.4</v>
      </c>
      <c r="CB229" s="119"/>
      <c r="CC229" s="117"/>
      <c r="CD229" s="132"/>
      <c r="CE229" s="132"/>
      <c r="CF229" s="132"/>
      <c r="CG229" s="111"/>
      <c r="CH229" s="132"/>
      <c r="CI229" s="132"/>
      <c r="CJ229" s="111"/>
      <c r="CK229" s="132"/>
    </row>
    <row r="230" spans="1:89" ht="29.1">
      <c r="A230" s="106" t="s">
        <v>964</v>
      </c>
      <c r="B230" s="107"/>
      <c r="C230" s="107">
        <v>45</v>
      </c>
      <c r="D230" s="107">
        <f>Tracker[[#This Row],[Estimated Hrs]]-Tracker[[#This Row],[Actual Efforts (Hrs)]]</f>
        <v>45</v>
      </c>
      <c r="E230" s="108"/>
      <c r="F230" s="108"/>
      <c r="G230" s="121"/>
      <c r="H230" s="109">
        <v>19577109</v>
      </c>
      <c r="I230" s="149">
        <f>Tracker[[#This Row],[DCR ID - PTC]]</f>
        <v>19577109</v>
      </c>
      <c r="J230" s="108" t="s">
        <v>1116</v>
      </c>
      <c r="K230" s="108" t="s">
        <v>104</v>
      </c>
      <c r="L230" s="108"/>
      <c r="M230" s="108"/>
      <c r="N230" s="108" t="s">
        <v>1114</v>
      </c>
      <c r="O230" s="111" t="s">
        <v>106</v>
      </c>
      <c r="P230" s="111"/>
      <c r="Q230" s="111"/>
      <c r="R230" s="111"/>
      <c r="S230" s="111"/>
      <c r="T230" s="111"/>
      <c r="U230" s="108"/>
      <c r="V230" s="108"/>
      <c r="W230" s="108"/>
      <c r="X230" s="107">
        <f t="shared" si="24"/>
        <v>40.4</v>
      </c>
      <c r="Y230" s="108"/>
      <c r="Z230" s="108"/>
      <c r="AA230" s="108"/>
      <c r="AB230" s="112"/>
      <c r="AC230" s="108"/>
      <c r="AD230" s="108"/>
      <c r="AE230" s="107"/>
      <c r="AF230" s="113"/>
      <c r="AG230" s="115"/>
      <c r="AH230" s="108"/>
      <c r="AI230" s="108"/>
      <c r="AJ230" s="114"/>
      <c r="AK230" s="108"/>
      <c r="AL230" s="115"/>
      <c r="AM230" s="116"/>
      <c r="AN230" s="116"/>
      <c r="AO230" s="116"/>
      <c r="AP230" s="108"/>
      <c r="AQ230" s="107"/>
      <c r="AR230" s="107"/>
      <c r="AS230" s="116"/>
      <c r="AT230" s="114">
        <f t="shared" si="25"/>
        <v>40.4</v>
      </c>
      <c r="AU230" s="114"/>
      <c r="AV230" s="108"/>
      <c r="AW230" s="108"/>
      <c r="AX230" s="108"/>
      <c r="AY230" s="108"/>
      <c r="AZ230" s="108"/>
      <c r="BA230" s="108"/>
      <c r="BB230" s="108"/>
      <c r="BC230" s="108"/>
      <c r="BD230" s="111"/>
      <c r="BE230" s="117">
        <f t="shared" si="26"/>
        <v>40.4</v>
      </c>
      <c r="BF230" s="111"/>
      <c r="BG230" s="111"/>
      <c r="BH230" s="111"/>
      <c r="BI230" s="111"/>
      <c r="BJ230" s="111"/>
      <c r="BK230" s="111"/>
      <c r="BL230" s="111"/>
      <c r="BM230" s="117"/>
      <c r="BN230" s="111"/>
      <c r="BO230" s="117"/>
      <c r="BP230" s="117">
        <f t="shared" si="27"/>
        <v>40.4</v>
      </c>
      <c r="BQ230" s="117"/>
      <c r="BR230" s="111"/>
      <c r="BS230" s="118"/>
      <c r="BT230" s="111"/>
      <c r="BU230" s="118"/>
      <c r="BV230" s="111"/>
      <c r="BW230" s="111"/>
      <c r="BX230" s="111"/>
      <c r="BY230" s="111"/>
      <c r="BZ230" s="111"/>
      <c r="CA230" s="117">
        <f t="shared" si="28"/>
        <v>40.4</v>
      </c>
      <c r="CB230" s="119"/>
      <c r="CC230" s="117"/>
      <c r="CD230" s="132"/>
      <c r="CE230" s="132"/>
      <c r="CF230" s="132"/>
      <c r="CG230" s="111"/>
      <c r="CH230" s="132"/>
      <c r="CI230" s="132"/>
      <c r="CJ230" s="111"/>
      <c r="CK230" s="132"/>
    </row>
    <row r="231" spans="1:89" ht="29.1">
      <c r="A231" s="106" t="s">
        <v>964</v>
      </c>
      <c r="B231" s="107"/>
      <c r="C231" s="107">
        <v>0</v>
      </c>
      <c r="D231" s="107">
        <f>Tracker[[#This Row],[Estimated Hrs]]-Tracker[[#This Row],[Actual Efforts (Hrs)]]</f>
        <v>0</v>
      </c>
      <c r="E231" s="108"/>
      <c r="F231" s="108"/>
      <c r="G231" s="121"/>
      <c r="H231" s="109">
        <v>19577109</v>
      </c>
      <c r="I231" s="149">
        <f>Tracker[[#This Row],[DCR ID - PTC]]</f>
        <v>19577109</v>
      </c>
      <c r="J231" s="108" t="s">
        <v>1116</v>
      </c>
      <c r="K231" s="108" t="s">
        <v>118</v>
      </c>
      <c r="L231" s="108"/>
      <c r="M231" s="108"/>
      <c r="N231" s="108" t="s">
        <v>1115</v>
      </c>
      <c r="O231" s="111" t="s">
        <v>115</v>
      </c>
      <c r="P231" s="111"/>
      <c r="Q231" s="111"/>
      <c r="R231" s="111"/>
      <c r="S231" s="111"/>
      <c r="T231" s="111"/>
      <c r="U231" s="108"/>
      <c r="V231" s="108"/>
      <c r="W231" s="108"/>
      <c r="X231" s="107">
        <f t="shared" si="24"/>
        <v>40.4</v>
      </c>
      <c r="Y231" s="108"/>
      <c r="Z231" s="108"/>
      <c r="AA231" s="108"/>
      <c r="AB231" s="112"/>
      <c r="AC231" s="108"/>
      <c r="AD231" s="108"/>
      <c r="AE231" s="107"/>
      <c r="AF231" s="113"/>
      <c r="AG231" s="115"/>
      <c r="AH231" s="108"/>
      <c r="AI231" s="108"/>
      <c r="AJ231" s="114"/>
      <c r="AK231" s="108"/>
      <c r="AL231" s="115"/>
      <c r="AM231" s="116"/>
      <c r="AN231" s="116"/>
      <c r="AO231" s="116"/>
      <c r="AP231" s="108"/>
      <c r="AQ231" s="107"/>
      <c r="AR231" s="107"/>
      <c r="AS231" s="116"/>
      <c r="AT231" s="114">
        <f t="shared" si="25"/>
        <v>40.4</v>
      </c>
      <c r="AU231" s="114"/>
      <c r="AV231" s="108"/>
      <c r="AW231" s="108"/>
      <c r="AX231" s="108"/>
      <c r="AY231" s="108"/>
      <c r="AZ231" s="108"/>
      <c r="BA231" s="108"/>
      <c r="BB231" s="108"/>
      <c r="BC231" s="108"/>
      <c r="BD231" s="111"/>
      <c r="BE231" s="117">
        <f t="shared" si="26"/>
        <v>40.4</v>
      </c>
      <c r="BF231" s="111"/>
      <c r="BG231" s="111"/>
      <c r="BH231" s="111"/>
      <c r="BI231" s="111"/>
      <c r="BJ231" s="111"/>
      <c r="BK231" s="111"/>
      <c r="BL231" s="111"/>
      <c r="BM231" s="117"/>
      <c r="BN231" s="111"/>
      <c r="BO231" s="117"/>
      <c r="BP231" s="117">
        <f t="shared" si="27"/>
        <v>40.4</v>
      </c>
      <c r="BQ231" s="117"/>
      <c r="BR231" s="111"/>
      <c r="BS231" s="118"/>
      <c r="BT231" s="111"/>
      <c r="BU231" s="118"/>
      <c r="BV231" s="111"/>
      <c r="BW231" s="111"/>
      <c r="BX231" s="111"/>
      <c r="BY231" s="111"/>
      <c r="BZ231" s="111"/>
      <c r="CA231" s="117">
        <f t="shared" si="28"/>
        <v>40.4</v>
      </c>
      <c r="CB231" s="119"/>
      <c r="CC231" s="117"/>
      <c r="CD231" s="132"/>
      <c r="CE231" s="132"/>
      <c r="CF231" s="132"/>
      <c r="CG231" s="111"/>
      <c r="CH231" s="132"/>
      <c r="CI231" s="132"/>
      <c r="CJ231" s="111"/>
      <c r="CK231" s="132"/>
    </row>
    <row r="232" spans="1:89" ht="43.5">
      <c r="A232" s="106" t="s">
        <v>554</v>
      </c>
      <c r="B232" s="107">
        <f>2.5+2.5</f>
        <v>5</v>
      </c>
      <c r="C232" s="107">
        <v>50</v>
      </c>
      <c r="D232" s="107">
        <f>Tracker[[#This Row],[Estimated Hrs]]-Tracker[[#This Row],[Actual Efforts (Hrs)]]</f>
        <v>45</v>
      </c>
      <c r="E232" s="108"/>
      <c r="F232" s="108"/>
      <c r="G232" s="121"/>
      <c r="H232" s="109">
        <v>18733228</v>
      </c>
      <c r="I232" s="149">
        <f>Tracker[[#This Row],[DCR ID - PTC]]</f>
        <v>18733228</v>
      </c>
      <c r="J232" s="110" t="s">
        <v>1063</v>
      </c>
      <c r="K232" s="108" t="s">
        <v>118</v>
      </c>
      <c r="L232" s="108"/>
      <c r="M232" s="108"/>
      <c r="N232" s="108" t="s">
        <v>1117</v>
      </c>
      <c r="O232" s="111" t="s">
        <v>231</v>
      </c>
      <c r="P232" s="111"/>
      <c r="Q232" s="111"/>
      <c r="R232" s="111"/>
      <c r="S232" s="111"/>
      <c r="T232" s="111"/>
      <c r="U232" s="108"/>
      <c r="V232" s="108"/>
      <c r="W232" s="108"/>
      <c r="X232" s="107">
        <f t="shared" si="24"/>
        <v>40.4</v>
      </c>
      <c r="Y232" s="108"/>
      <c r="Z232" s="108"/>
      <c r="AA232" s="108"/>
      <c r="AB232" s="112"/>
      <c r="AC232" s="108"/>
      <c r="AD232" s="108"/>
      <c r="AE232" s="107"/>
      <c r="AF232" s="113"/>
      <c r="AG232" s="115"/>
      <c r="AH232" s="108"/>
      <c r="AI232" s="108"/>
      <c r="AJ232" s="114"/>
      <c r="AK232" s="108"/>
      <c r="AL232" s="115"/>
      <c r="AM232" s="116"/>
      <c r="AN232" s="116"/>
      <c r="AO232" s="116">
        <v>46198</v>
      </c>
      <c r="AP232" s="108"/>
      <c r="AQ232" s="107"/>
      <c r="AR232" s="107"/>
      <c r="AS232" s="116"/>
      <c r="AT232" s="114">
        <f t="shared" si="25"/>
        <v>40.4</v>
      </c>
      <c r="AU232" s="114"/>
      <c r="AV232" s="108"/>
      <c r="AW232" s="108"/>
      <c r="AX232" s="108"/>
      <c r="AY232" s="108"/>
      <c r="AZ232" s="108"/>
      <c r="BA232" s="108"/>
      <c r="BB232" s="108"/>
      <c r="BC232" s="108"/>
      <c r="BD232" s="111"/>
      <c r="BE232" s="117">
        <f t="shared" si="26"/>
        <v>40.4</v>
      </c>
      <c r="BF232" s="111"/>
      <c r="BG232" s="111"/>
      <c r="BH232" s="111"/>
      <c r="BI232" s="111"/>
      <c r="BJ232" s="111"/>
      <c r="BK232" s="111"/>
      <c r="BL232" s="111"/>
      <c r="BM232" s="117"/>
      <c r="BN232" s="111"/>
      <c r="BO232" s="117"/>
      <c r="BP232" s="117">
        <f t="shared" si="27"/>
        <v>40.4</v>
      </c>
      <c r="BQ232" s="117"/>
      <c r="BR232" s="111"/>
      <c r="BS232" s="118"/>
      <c r="BT232" s="111"/>
      <c r="BU232" s="118"/>
      <c r="BV232" s="111"/>
      <c r="BW232" s="111"/>
      <c r="BX232" s="111"/>
      <c r="BY232" s="111"/>
      <c r="BZ232" s="111"/>
      <c r="CA232" s="117">
        <f t="shared" si="28"/>
        <v>40.4</v>
      </c>
      <c r="CB232" s="119"/>
      <c r="CC232" s="117"/>
      <c r="CD232" s="132"/>
      <c r="CE232" s="132"/>
      <c r="CF232" s="132"/>
      <c r="CG232" s="111"/>
      <c r="CH232" s="132"/>
      <c r="CI232" s="132"/>
      <c r="CJ232" s="111"/>
      <c r="CK232" s="132"/>
    </row>
    <row r="233" spans="1:89" ht="87">
      <c r="A233" s="106" t="s">
        <v>1073</v>
      </c>
      <c r="B233" s="107">
        <f>8+7+8+0.75</f>
        <v>23.75</v>
      </c>
      <c r="C233" s="107">
        <v>30</v>
      </c>
      <c r="D233" s="107">
        <f>Tracker[[#This Row],[Estimated Hrs]]-Tracker[[#This Row],[Actual Efforts (Hrs)]]</f>
        <v>6.25</v>
      </c>
      <c r="E233" s="108"/>
      <c r="F233" s="108"/>
      <c r="G233" s="121"/>
      <c r="H233" s="135">
        <v>18802806</v>
      </c>
      <c r="I233" s="149">
        <f>Tracker[[#This Row],[DCR ID - PTC]]</f>
        <v>18802806</v>
      </c>
      <c r="J233" s="108" t="s">
        <v>1074</v>
      </c>
      <c r="K233" s="108" t="s">
        <v>118</v>
      </c>
      <c r="L233" s="108"/>
      <c r="M233" s="108"/>
      <c r="N233" s="108" t="s">
        <v>1118</v>
      </c>
      <c r="O233" s="111" t="s">
        <v>115</v>
      </c>
      <c r="P233" s="111"/>
      <c r="Q233" s="111"/>
      <c r="R233" s="111"/>
      <c r="S233" s="111"/>
      <c r="T233" s="111"/>
      <c r="U233" s="108"/>
      <c r="V233" s="108"/>
      <c r="W233" s="108"/>
      <c r="X233" s="107">
        <f t="shared" si="24"/>
        <v>40.4</v>
      </c>
      <c r="Y233" s="108"/>
      <c r="Z233" s="108"/>
      <c r="AA233" s="108"/>
      <c r="AB233" s="112"/>
      <c r="AC233" s="108"/>
      <c r="AD233" s="108"/>
      <c r="AE233" s="107"/>
      <c r="AF233" s="113"/>
      <c r="AG233" s="115"/>
      <c r="AH233" s="108"/>
      <c r="AI233" s="108"/>
      <c r="AJ233" s="114"/>
      <c r="AK233" s="108"/>
      <c r="AL233" s="115"/>
      <c r="AM233" s="116"/>
      <c r="AN233" s="116"/>
      <c r="AO233" s="116"/>
      <c r="AP233" s="108"/>
      <c r="AQ233" s="107"/>
      <c r="AR233" s="107"/>
      <c r="AS233" s="116"/>
      <c r="AT233" s="114">
        <f t="shared" si="25"/>
        <v>40.4</v>
      </c>
      <c r="AU233" s="114"/>
      <c r="AV233" s="108"/>
      <c r="AW233" s="108"/>
      <c r="AX233" s="108"/>
      <c r="AY233" s="108"/>
      <c r="AZ233" s="108"/>
      <c r="BA233" s="108"/>
      <c r="BB233" s="108"/>
      <c r="BC233" s="108"/>
      <c r="BD233" s="111"/>
      <c r="BE233" s="117">
        <f t="shared" si="26"/>
        <v>40.4</v>
      </c>
      <c r="BF233" s="111"/>
      <c r="BG233" s="111"/>
      <c r="BH233" s="111"/>
      <c r="BI233" s="111"/>
      <c r="BJ233" s="111"/>
      <c r="BK233" s="111"/>
      <c r="BL233" s="111"/>
      <c r="BM233" s="117"/>
      <c r="BN233" s="111"/>
      <c r="BO233" s="117"/>
      <c r="BP233" s="117">
        <f t="shared" si="27"/>
        <v>40.4</v>
      </c>
      <c r="BQ233" s="117"/>
      <c r="BR233" s="111"/>
      <c r="BS233" s="118"/>
      <c r="BT233" s="111"/>
      <c r="BU233" s="118"/>
      <c r="BV233" s="111"/>
      <c r="BW233" s="111"/>
      <c r="BX233" s="111"/>
      <c r="BY233" s="111"/>
      <c r="BZ233" s="111"/>
      <c r="CA233" s="117">
        <f t="shared" si="28"/>
        <v>40.4</v>
      </c>
      <c r="CB233" s="119"/>
      <c r="CC233" s="117"/>
      <c r="CD233" s="132"/>
      <c r="CE233" s="132"/>
      <c r="CF233" s="132"/>
      <c r="CG233" s="111"/>
      <c r="CH233" s="132"/>
      <c r="CI233" s="132"/>
      <c r="CJ233" s="111"/>
      <c r="CK233" s="132"/>
    </row>
    <row r="234" spans="1:89" ht="43.5">
      <c r="A234" s="106" t="s">
        <v>1073</v>
      </c>
      <c r="B234" s="107">
        <f>8</f>
        <v>8</v>
      </c>
      <c r="C234" s="107">
        <v>30</v>
      </c>
      <c r="D234" s="107">
        <f>Tracker[[#This Row],[Estimated Hrs]]-Tracker[[#This Row],[Actual Efforts (Hrs)]]</f>
        <v>22</v>
      </c>
      <c r="E234" s="108"/>
      <c r="F234" s="108"/>
      <c r="G234" s="121"/>
      <c r="H234" s="135">
        <v>18802865</v>
      </c>
      <c r="I234" s="149">
        <f>Tracker[[#This Row],[DCR ID - PTC]]</f>
        <v>18802865</v>
      </c>
      <c r="J234" s="108" t="s">
        <v>1076</v>
      </c>
      <c r="K234" s="108" t="s">
        <v>118</v>
      </c>
      <c r="L234" s="108"/>
      <c r="M234" s="108"/>
      <c r="N234" s="108" t="s">
        <v>1119</v>
      </c>
      <c r="O234" s="111" t="s">
        <v>115</v>
      </c>
      <c r="P234" s="111"/>
      <c r="Q234" s="111"/>
      <c r="R234" s="111"/>
      <c r="S234" s="111"/>
      <c r="T234" s="111"/>
      <c r="U234" s="108"/>
      <c r="V234" s="108"/>
      <c r="W234" s="108"/>
      <c r="X234" s="107">
        <f t="shared" si="24"/>
        <v>40.4</v>
      </c>
      <c r="Y234" s="108"/>
      <c r="Z234" s="108"/>
      <c r="AA234" s="108"/>
      <c r="AB234" s="112"/>
      <c r="AC234" s="108"/>
      <c r="AD234" s="108"/>
      <c r="AE234" s="107"/>
      <c r="AF234" s="113"/>
      <c r="AG234" s="115"/>
      <c r="AH234" s="108"/>
      <c r="AI234" s="108"/>
      <c r="AJ234" s="114"/>
      <c r="AK234" s="108"/>
      <c r="AL234" s="115"/>
      <c r="AM234" s="116"/>
      <c r="AN234" s="116"/>
      <c r="AO234" s="116"/>
      <c r="AP234" s="108"/>
      <c r="AQ234" s="107"/>
      <c r="AR234" s="107"/>
      <c r="AS234" s="116"/>
      <c r="AT234" s="114">
        <f t="shared" si="25"/>
        <v>40.4</v>
      </c>
      <c r="AU234" s="114"/>
      <c r="AV234" s="108"/>
      <c r="AW234" s="108"/>
      <c r="AX234" s="108"/>
      <c r="AY234" s="108"/>
      <c r="AZ234" s="108"/>
      <c r="BA234" s="108"/>
      <c r="BB234" s="108"/>
      <c r="BC234" s="108"/>
      <c r="BD234" s="111"/>
      <c r="BE234" s="117">
        <f t="shared" si="26"/>
        <v>40.4</v>
      </c>
      <c r="BF234" s="111"/>
      <c r="BG234" s="111"/>
      <c r="BH234" s="111"/>
      <c r="BI234" s="111"/>
      <c r="BJ234" s="111"/>
      <c r="BK234" s="111"/>
      <c r="BL234" s="111"/>
      <c r="BM234" s="117"/>
      <c r="BN234" s="111"/>
      <c r="BO234" s="117"/>
      <c r="BP234" s="117">
        <f t="shared" si="27"/>
        <v>40.4</v>
      </c>
      <c r="BQ234" s="117"/>
      <c r="BR234" s="111"/>
      <c r="BS234" s="118"/>
      <c r="BT234" s="111"/>
      <c r="BU234" s="118"/>
      <c r="BV234" s="111"/>
      <c r="BW234" s="111"/>
      <c r="BX234" s="111"/>
      <c r="BY234" s="111"/>
      <c r="BZ234" s="111"/>
      <c r="CA234" s="117">
        <f t="shared" si="28"/>
        <v>40.4</v>
      </c>
      <c r="CB234" s="119"/>
      <c r="CC234" s="117"/>
      <c r="CD234" s="132"/>
      <c r="CE234" s="132"/>
      <c r="CF234" s="132"/>
      <c r="CG234" s="111"/>
      <c r="CH234" s="132"/>
      <c r="CI234" s="132"/>
      <c r="CJ234" s="111"/>
      <c r="CK234" s="132"/>
    </row>
    <row r="235" spans="1:89" ht="261">
      <c r="A235" s="106" t="s">
        <v>1120</v>
      </c>
      <c r="B235" s="107">
        <f>2+5.5+5.5+5+1+0.5</f>
        <v>19.5</v>
      </c>
      <c r="C235" s="107">
        <v>40</v>
      </c>
      <c r="D235" s="107">
        <f>Tracker[[#This Row],[Estimated Hrs]]-Tracker[[#This Row],[Actual Efforts (Hrs)]]</f>
        <v>20.5</v>
      </c>
      <c r="E235" s="108"/>
      <c r="F235" s="108"/>
      <c r="G235" s="121"/>
      <c r="H235" s="109">
        <v>13753424</v>
      </c>
      <c r="I235" s="149">
        <f>Tracker[[#This Row],[DCR ID - PTC]]</f>
        <v>13753424</v>
      </c>
      <c r="J235" s="108" t="s">
        <v>1121</v>
      </c>
      <c r="K235" s="108" t="s">
        <v>104</v>
      </c>
      <c r="L235" s="108"/>
      <c r="M235" s="108"/>
      <c r="N235" s="108" t="s">
        <v>1122</v>
      </c>
      <c r="O235" s="111" t="s">
        <v>231</v>
      </c>
      <c r="P235" s="111"/>
      <c r="Q235" s="111"/>
      <c r="R235" s="111"/>
      <c r="S235" s="111"/>
      <c r="T235" s="111"/>
      <c r="U235" s="108"/>
      <c r="V235" s="108"/>
      <c r="W235" s="108"/>
      <c r="X235" s="107">
        <f t="shared" si="24"/>
        <v>40.4</v>
      </c>
      <c r="Y235" s="108"/>
      <c r="Z235" s="108"/>
      <c r="AA235" s="108"/>
      <c r="AB235" s="112"/>
      <c r="AC235" s="108"/>
      <c r="AD235" s="108"/>
      <c r="AE235" s="107"/>
      <c r="AF235" s="113"/>
      <c r="AG235" s="115"/>
      <c r="AH235" s="108"/>
      <c r="AI235" s="108"/>
      <c r="AJ235" s="114"/>
      <c r="AK235" s="108"/>
      <c r="AL235" s="115"/>
      <c r="AM235" s="116"/>
      <c r="AN235" s="116"/>
      <c r="AO235" s="116"/>
      <c r="AP235" s="108"/>
      <c r="AQ235" s="107"/>
      <c r="AR235" s="107"/>
      <c r="AS235" s="116"/>
      <c r="AT235" s="114">
        <f t="shared" si="25"/>
        <v>40.4</v>
      </c>
      <c r="AU235" s="114"/>
      <c r="AV235" s="108"/>
      <c r="AW235" s="108"/>
      <c r="AX235" s="108"/>
      <c r="AY235" s="108"/>
      <c r="AZ235" s="108"/>
      <c r="BA235" s="108"/>
      <c r="BB235" s="108"/>
      <c r="BC235" s="108"/>
      <c r="BD235" s="111"/>
      <c r="BE235" s="117">
        <f t="shared" si="26"/>
        <v>40.4</v>
      </c>
      <c r="BF235" s="111"/>
      <c r="BG235" s="111"/>
      <c r="BH235" s="111"/>
      <c r="BI235" s="111"/>
      <c r="BJ235" s="111"/>
      <c r="BK235" s="111"/>
      <c r="BL235" s="111"/>
      <c r="BM235" s="117"/>
      <c r="BN235" s="111"/>
      <c r="BO235" s="117"/>
      <c r="BP235" s="117">
        <f t="shared" si="27"/>
        <v>40.4</v>
      </c>
      <c r="BQ235" s="117"/>
      <c r="BR235" s="111"/>
      <c r="BS235" s="118"/>
      <c r="BT235" s="111"/>
      <c r="BU235" s="118"/>
      <c r="BV235" s="111"/>
      <c r="BW235" s="111"/>
      <c r="BX235" s="111"/>
      <c r="BY235" s="111"/>
      <c r="BZ235" s="111"/>
      <c r="CA235" s="117">
        <f t="shared" si="28"/>
        <v>40.4</v>
      </c>
      <c r="CB235" s="119"/>
      <c r="CC235" s="117"/>
      <c r="CD235" s="132"/>
      <c r="CE235" s="132"/>
      <c r="CF235" s="132"/>
      <c r="CG235" s="111"/>
      <c r="CH235" s="132"/>
      <c r="CI235" s="132"/>
      <c r="CJ235" s="111"/>
      <c r="CK235" s="132"/>
    </row>
    <row r="236" spans="1:89" ht="116.1">
      <c r="A236" s="106" t="s">
        <v>1120</v>
      </c>
      <c r="B236" s="107">
        <f>8+5+6</f>
        <v>19</v>
      </c>
      <c r="C236" s="107">
        <v>40</v>
      </c>
      <c r="D236" s="107">
        <f>Tracker[[#This Row],[Estimated Hrs]]-Tracker[[#This Row],[Actual Efforts (Hrs)]]</f>
        <v>21</v>
      </c>
      <c r="E236" s="108"/>
      <c r="F236" s="108"/>
      <c r="G236" s="121"/>
      <c r="H236" s="109">
        <v>13753424</v>
      </c>
      <c r="I236" s="149">
        <f>Tracker[[#This Row],[DCR ID - PTC]]</f>
        <v>13753424</v>
      </c>
      <c r="J236" s="108" t="s">
        <v>1121</v>
      </c>
      <c r="K236" s="108" t="s">
        <v>118</v>
      </c>
      <c r="L236" s="108"/>
      <c r="M236" s="108"/>
      <c r="N236" s="108" t="s">
        <v>1123</v>
      </c>
      <c r="O236" s="111" t="s">
        <v>231</v>
      </c>
      <c r="P236" s="111"/>
      <c r="Q236" s="111"/>
      <c r="R236" s="111"/>
      <c r="S236" s="111"/>
      <c r="T236" s="111"/>
      <c r="U236" s="108"/>
      <c r="V236" s="108"/>
      <c r="W236" s="108"/>
      <c r="X236" s="107">
        <f t="shared" si="24"/>
        <v>40.4</v>
      </c>
      <c r="Y236" s="108"/>
      <c r="Z236" s="108"/>
      <c r="AA236" s="108"/>
      <c r="AB236" s="112"/>
      <c r="AC236" s="108"/>
      <c r="AD236" s="108"/>
      <c r="AE236" s="107"/>
      <c r="AF236" s="113"/>
      <c r="AG236" s="115"/>
      <c r="AH236" s="108"/>
      <c r="AI236" s="108"/>
      <c r="AJ236" s="114"/>
      <c r="AK236" s="108"/>
      <c r="AL236" s="115"/>
      <c r="AM236" s="116"/>
      <c r="AN236" s="116"/>
      <c r="AO236" s="116"/>
      <c r="AP236" s="108"/>
      <c r="AQ236" s="107"/>
      <c r="AR236" s="107"/>
      <c r="AS236" s="116"/>
      <c r="AT236" s="114">
        <f t="shared" si="25"/>
        <v>40.4</v>
      </c>
      <c r="AU236" s="114"/>
      <c r="AV236" s="108"/>
      <c r="AW236" s="108"/>
      <c r="AX236" s="108"/>
      <c r="AY236" s="108"/>
      <c r="AZ236" s="108"/>
      <c r="BA236" s="108"/>
      <c r="BB236" s="108"/>
      <c r="BC236" s="108"/>
      <c r="BD236" s="111"/>
      <c r="BE236" s="117">
        <f t="shared" si="26"/>
        <v>40.4</v>
      </c>
      <c r="BF236" s="111"/>
      <c r="BG236" s="111"/>
      <c r="BH236" s="111"/>
      <c r="BI236" s="111"/>
      <c r="BJ236" s="111"/>
      <c r="BK236" s="111"/>
      <c r="BL236" s="111"/>
      <c r="BM236" s="117"/>
      <c r="BN236" s="111"/>
      <c r="BO236" s="117"/>
      <c r="BP236" s="117">
        <f t="shared" si="27"/>
        <v>40.4</v>
      </c>
      <c r="BQ236" s="117"/>
      <c r="BR236" s="111"/>
      <c r="BS236" s="118"/>
      <c r="BT236" s="111"/>
      <c r="BU236" s="118"/>
      <c r="BV236" s="111"/>
      <c r="BW236" s="111"/>
      <c r="BX236" s="111"/>
      <c r="BY236" s="111"/>
      <c r="BZ236" s="111"/>
      <c r="CA236" s="117">
        <f t="shared" si="28"/>
        <v>40.4</v>
      </c>
      <c r="CB236" s="119"/>
      <c r="CC236" s="117"/>
      <c r="CD236" s="132"/>
      <c r="CE236" s="132"/>
      <c r="CF236" s="132"/>
      <c r="CG236" s="111"/>
      <c r="CH236" s="132"/>
      <c r="CI236" s="132"/>
      <c r="CJ236" s="111"/>
      <c r="CK236" s="132"/>
    </row>
    <row r="237" spans="1:89" ht="29.1">
      <c r="A237" s="106" t="s">
        <v>1104</v>
      </c>
      <c r="B237" s="107"/>
      <c r="C237" s="107">
        <v>15</v>
      </c>
      <c r="D237" s="107">
        <f>Tracker[[#This Row],[Estimated Hrs]]-Tracker[[#This Row],[Actual Efforts (Hrs)]]</f>
        <v>15</v>
      </c>
      <c r="E237" s="108"/>
      <c r="F237" s="108"/>
      <c r="G237" s="121"/>
      <c r="H237" s="135">
        <v>14391784</v>
      </c>
      <c r="I237" s="149">
        <f>Tracker[[#This Row],[DCR ID - PTC]]</f>
        <v>14391784</v>
      </c>
      <c r="J237" s="108" t="s">
        <v>1071</v>
      </c>
      <c r="K237" s="108" t="s">
        <v>118</v>
      </c>
      <c r="L237" s="108"/>
      <c r="M237" s="108"/>
      <c r="N237" s="108"/>
      <c r="O237" s="111" t="s">
        <v>122</v>
      </c>
      <c r="P237" s="111"/>
      <c r="Q237" s="111"/>
      <c r="R237" s="111"/>
      <c r="S237" s="111"/>
      <c r="T237" s="111"/>
      <c r="U237" s="108"/>
      <c r="V237" s="108"/>
      <c r="W237" s="108"/>
      <c r="X237" s="107">
        <f t="shared" si="24"/>
        <v>40.4</v>
      </c>
      <c r="Y237" s="108"/>
      <c r="Z237" s="108"/>
      <c r="AA237" s="108"/>
      <c r="AB237" s="112"/>
      <c r="AC237" s="108"/>
      <c r="AD237" s="108"/>
      <c r="AE237" s="107"/>
      <c r="AF237" s="113"/>
      <c r="AG237" s="115"/>
      <c r="AH237" s="108"/>
      <c r="AI237" s="108"/>
      <c r="AJ237" s="114"/>
      <c r="AK237" s="108"/>
      <c r="AL237" s="115"/>
      <c r="AM237" s="116"/>
      <c r="AN237" s="116"/>
      <c r="AO237" s="116"/>
      <c r="AP237" s="108"/>
      <c r="AQ237" s="107"/>
      <c r="AR237" s="107"/>
      <c r="AS237" s="116"/>
      <c r="AT237" s="114">
        <f t="shared" si="25"/>
        <v>40.4</v>
      </c>
      <c r="AU237" s="114"/>
      <c r="AV237" s="108"/>
      <c r="AW237" s="108"/>
      <c r="AX237" s="108"/>
      <c r="AY237" s="108"/>
      <c r="AZ237" s="108"/>
      <c r="BA237" s="108"/>
      <c r="BB237" s="108"/>
      <c r="BC237" s="108"/>
      <c r="BD237" s="111"/>
      <c r="BE237" s="117">
        <f t="shared" si="26"/>
        <v>40.4</v>
      </c>
      <c r="BF237" s="111"/>
      <c r="BG237" s="111"/>
      <c r="BH237" s="111"/>
      <c r="BI237" s="111"/>
      <c r="BJ237" s="111"/>
      <c r="BK237" s="111"/>
      <c r="BL237" s="111"/>
      <c r="BM237" s="117"/>
      <c r="BN237" s="111"/>
      <c r="BO237" s="117"/>
      <c r="BP237" s="117">
        <f t="shared" si="27"/>
        <v>40.4</v>
      </c>
      <c r="BQ237" s="117"/>
      <c r="BR237" s="111"/>
      <c r="BS237" s="118"/>
      <c r="BT237" s="111"/>
      <c r="BU237" s="118"/>
      <c r="BV237" s="111"/>
      <c r="BW237" s="111"/>
      <c r="BX237" s="111"/>
      <c r="BY237" s="111"/>
      <c r="BZ237" s="111"/>
      <c r="CA237" s="117">
        <f t="shared" si="28"/>
        <v>40.4</v>
      </c>
      <c r="CB237" s="119"/>
      <c r="CC237" s="117"/>
      <c r="CD237" s="132"/>
      <c r="CE237" s="132"/>
      <c r="CF237" s="132"/>
      <c r="CG237" s="111"/>
      <c r="CH237" s="132"/>
      <c r="CI237" s="132"/>
      <c r="CJ237" s="111"/>
      <c r="CK237" s="132"/>
    </row>
    <row r="238" spans="1:89" ht="261">
      <c r="A238" s="106" t="s">
        <v>510</v>
      </c>
      <c r="B238" s="107">
        <f>5.5+6+1.5+5+0.5+1+1.5+0.25</f>
        <v>21.25</v>
      </c>
      <c r="C238" s="107">
        <v>20</v>
      </c>
      <c r="D238" s="107">
        <f>Tracker[[#This Row],[Estimated Hrs]]-Tracker[[#This Row],[Actual Efforts (Hrs)]]</f>
        <v>-1.25</v>
      </c>
      <c r="E238" s="108"/>
      <c r="F238" s="108"/>
      <c r="G238" s="121"/>
      <c r="H238" s="109">
        <v>19673670</v>
      </c>
      <c r="I238" s="149">
        <f>Tracker[[#This Row],[DCR ID - PTC]]</f>
        <v>19673670</v>
      </c>
      <c r="J238" s="110" t="s">
        <v>1124</v>
      </c>
      <c r="K238" s="108" t="s">
        <v>104</v>
      </c>
      <c r="L238" s="108"/>
      <c r="M238" s="108"/>
      <c r="N238" s="108" t="s">
        <v>1125</v>
      </c>
      <c r="O238" s="111" t="s">
        <v>115</v>
      </c>
      <c r="P238" s="111"/>
      <c r="Q238" s="111"/>
      <c r="R238" s="111"/>
      <c r="S238" s="111"/>
      <c r="T238" s="111"/>
      <c r="U238" s="108"/>
      <c r="V238" s="108"/>
      <c r="W238" s="108"/>
      <c r="X238" s="107">
        <f t="shared" si="24"/>
        <v>40.4</v>
      </c>
      <c r="Y238" s="108"/>
      <c r="Z238" s="108"/>
      <c r="AA238" s="108"/>
      <c r="AB238" s="112"/>
      <c r="AC238" s="108"/>
      <c r="AD238" s="108"/>
      <c r="AE238" s="107"/>
      <c r="AF238" s="113"/>
      <c r="AG238" s="115"/>
      <c r="AH238" s="108"/>
      <c r="AI238" s="108"/>
      <c r="AJ238" s="114"/>
      <c r="AK238" s="108"/>
      <c r="AL238" s="115"/>
      <c r="AM238" s="116"/>
      <c r="AN238" s="116"/>
      <c r="AO238" s="116"/>
      <c r="AP238" s="108"/>
      <c r="AQ238" s="107"/>
      <c r="AR238" s="107"/>
      <c r="AS238" s="116"/>
      <c r="AT238" s="114">
        <f t="shared" si="25"/>
        <v>40.4</v>
      </c>
      <c r="AU238" s="114"/>
      <c r="AV238" s="108"/>
      <c r="AW238" s="108"/>
      <c r="AX238" s="108"/>
      <c r="AY238" s="108"/>
      <c r="AZ238" s="108"/>
      <c r="BA238" s="108"/>
      <c r="BB238" s="108"/>
      <c r="BC238" s="108"/>
      <c r="BD238" s="111"/>
      <c r="BE238" s="117">
        <f t="shared" si="26"/>
        <v>40.4</v>
      </c>
      <c r="BF238" s="111"/>
      <c r="BG238" s="111"/>
      <c r="BH238" s="111"/>
      <c r="BI238" s="111"/>
      <c r="BJ238" s="111"/>
      <c r="BK238" s="111"/>
      <c r="BL238" s="111"/>
      <c r="BM238" s="117"/>
      <c r="BN238" s="111"/>
      <c r="BO238" s="117"/>
      <c r="BP238" s="117">
        <f t="shared" si="27"/>
        <v>40.4</v>
      </c>
      <c r="BQ238" s="117"/>
      <c r="BR238" s="111"/>
      <c r="BS238" s="118"/>
      <c r="BT238" s="111"/>
      <c r="BU238" s="118"/>
      <c r="BV238" s="111"/>
      <c r="BW238" s="111"/>
      <c r="BX238" s="111"/>
      <c r="BY238" s="111"/>
      <c r="BZ238" s="111"/>
      <c r="CA238" s="117">
        <f t="shared" si="28"/>
        <v>40.4</v>
      </c>
      <c r="CB238" s="119"/>
      <c r="CC238" s="117"/>
      <c r="CD238" s="132"/>
      <c r="CE238" s="132"/>
      <c r="CF238" s="132"/>
      <c r="CG238" s="111"/>
      <c r="CH238" s="132"/>
      <c r="CI238" s="132"/>
      <c r="CJ238" s="111"/>
      <c r="CK238" s="132"/>
    </row>
    <row r="239" spans="1:89" ht="45.75">
      <c r="A239" s="106" t="s">
        <v>510</v>
      </c>
      <c r="B239" s="107">
        <f>1</f>
        <v>1</v>
      </c>
      <c r="C239" s="107">
        <v>40</v>
      </c>
      <c r="D239" s="107">
        <f>Tracker[[#This Row],[Estimated Hrs]]-Tracker[[#This Row],[Actual Efforts (Hrs)]]</f>
        <v>39</v>
      </c>
      <c r="E239" s="108"/>
      <c r="F239" s="108"/>
      <c r="G239" s="121"/>
      <c r="H239" s="109">
        <v>19673670</v>
      </c>
      <c r="I239" s="149">
        <f>Tracker[[#This Row],[DCR ID - PTC]]</f>
        <v>19673670</v>
      </c>
      <c r="J239" s="110" t="s">
        <v>1124</v>
      </c>
      <c r="K239" s="108" t="s">
        <v>118</v>
      </c>
      <c r="L239" s="108"/>
      <c r="M239" s="108"/>
      <c r="N239" s="108" t="s">
        <v>1126</v>
      </c>
      <c r="O239" s="111" t="s">
        <v>122</v>
      </c>
      <c r="P239" s="111"/>
      <c r="Q239" s="111"/>
      <c r="R239" s="111"/>
      <c r="S239" s="111"/>
      <c r="T239" s="111"/>
      <c r="U239" s="108"/>
      <c r="V239" s="108"/>
      <c r="W239" s="108"/>
      <c r="X239" s="107">
        <f t="shared" si="24"/>
        <v>40.4</v>
      </c>
      <c r="Y239" s="108"/>
      <c r="Z239" s="108"/>
      <c r="AA239" s="108"/>
      <c r="AB239" s="112"/>
      <c r="AC239" s="108"/>
      <c r="AD239" s="108"/>
      <c r="AE239" s="107"/>
      <c r="AF239" s="113"/>
      <c r="AG239" s="115"/>
      <c r="AH239" s="108"/>
      <c r="AI239" s="108"/>
      <c r="AJ239" s="114"/>
      <c r="AK239" s="108"/>
      <c r="AL239" s="115"/>
      <c r="AM239" s="116"/>
      <c r="AN239" s="116"/>
      <c r="AO239" s="116"/>
      <c r="AP239" s="108"/>
      <c r="AQ239" s="107"/>
      <c r="AR239" s="107"/>
      <c r="AS239" s="116"/>
      <c r="AT239" s="114">
        <f t="shared" si="25"/>
        <v>40.4</v>
      </c>
      <c r="AU239" s="114"/>
      <c r="AV239" s="108"/>
      <c r="AW239" s="108"/>
      <c r="AX239" s="108"/>
      <c r="AY239" s="108"/>
      <c r="AZ239" s="108"/>
      <c r="BA239" s="108"/>
      <c r="BB239" s="108"/>
      <c r="BC239" s="108"/>
      <c r="BD239" s="111"/>
      <c r="BE239" s="117">
        <f t="shared" si="26"/>
        <v>40.4</v>
      </c>
      <c r="BF239" s="111"/>
      <c r="BG239" s="111"/>
      <c r="BH239" s="111"/>
      <c r="BI239" s="111"/>
      <c r="BJ239" s="111"/>
      <c r="BK239" s="111"/>
      <c r="BL239" s="111"/>
      <c r="BM239" s="117"/>
      <c r="BN239" s="111"/>
      <c r="BO239" s="117"/>
      <c r="BP239" s="117">
        <f t="shared" si="27"/>
        <v>40.4</v>
      </c>
      <c r="BQ239" s="117"/>
      <c r="BR239" s="111"/>
      <c r="BS239" s="118"/>
      <c r="BT239" s="111"/>
      <c r="BU239" s="118"/>
      <c r="BV239" s="111"/>
      <c r="BW239" s="111"/>
      <c r="BX239" s="111"/>
      <c r="BY239" s="111"/>
      <c r="BZ239" s="111"/>
      <c r="CA239" s="117">
        <f t="shared" si="28"/>
        <v>40.4</v>
      </c>
      <c r="CB239" s="119"/>
      <c r="CC239" s="117"/>
      <c r="CD239" s="132"/>
      <c r="CE239" s="132"/>
      <c r="CF239" s="132"/>
      <c r="CG239" s="111"/>
      <c r="CH239" s="132"/>
      <c r="CI239" s="132"/>
      <c r="CJ239" s="111"/>
      <c r="CK239" s="132"/>
    </row>
    <row r="240" spans="1:89" ht="409.6">
      <c r="A240" s="106" t="s">
        <v>261</v>
      </c>
      <c r="B240" s="107">
        <f>2+1.5+0.25+1+0.25</f>
        <v>5</v>
      </c>
      <c r="C240" s="107">
        <v>0</v>
      </c>
      <c r="D240" s="107">
        <f>Tracker[[#This Row],[Estimated Hrs]]-Tracker[[#This Row],[Actual Efforts (Hrs)]]</f>
        <v>-5</v>
      </c>
      <c r="E240" s="108"/>
      <c r="F240" s="108"/>
      <c r="G240" s="121"/>
      <c r="H240" s="109">
        <v>19864244</v>
      </c>
      <c r="I240" s="149">
        <f>Tracker[[#This Row],[DCR ID - PTC]]</f>
        <v>19864244</v>
      </c>
      <c r="J240" s="108" t="s">
        <v>1127</v>
      </c>
      <c r="K240" s="108" t="s">
        <v>179</v>
      </c>
      <c r="L240" s="108"/>
      <c r="M240" s="108"/>
      <c r="N240" s="108" t="s">
        <v>1128</v>
      </c>
      <c r="O240" s="111" t="s">
        <v>106</v>
      </c>
      <c r="P240" s="111"/>
      <c r="Q240" s="111"/>
      <c r="R240" s="111"/>
      <c r="S240" s="111"/>
      <c r="T240" s="111"/>
      <c r="U240" s="108"/>
      <c r="V240" s="108"/>
      <c r="W240" s="108"/>
      <c r="X240" s="107">
        <f t="shared" ref="X240:X246" si="29">4+8+8+8+10+0.25+0.15+2</f>
        <v>40.4</v>
      </c>
      <c r="Y240" s="108"/>
      <c r="Z240" s="108"/>
      <c r="AA240" s="108"/>
      <c r="AB240" s="112"/>
      <c r="AC240" s="108"/>
      <c r="AD240" s="108"/>
      <c r="AE240" s="107"/>
      <c r="AF240" s="113"/>
      <c r="AG240" s="115"/>
      <c r="AH240" s="108"/>
      <c r="AI240" s="108"/>
      <c r="AJ240" s="114"/>
      <c r="AK240" s="108"/>
      <c r="AL240" s="115"/>
      <c r="AM240" s="116"/>
      <c r="AN240" s="116"/>
      <c r="AO240" s="116"/>
      <c r="AP240" s="108"/>
      <c r="AQ240" s="107"/>
      <c r="AR240" s="107"/>
      <c r="AS240" s="116"/>
      <c r="AT240" s="114">
        <f t="shared" ref="AT240:AT246" si="30">4+8+8+8+10+0.25+0.15+2</f>
        <v>40.4</v>
      </c>
      <c r="AU240" s="114"/>
      <c r="AV240" s="108"/>
      <c r="AW240" s="108"/>
      <c r="AX240" s="108"/>
      <c r="AY240" s="108"/>
      <c r="AZ240" s="108"/>
      <c r="BA240" s="108"/>
      <c r="BB240" s="108"/>
      <c r="BC240" s="108"/>
      <c r="BD240" s="111"/>
      <c r="BE240" s="117">
        <f t="shared" ref="BE240:BE246" si="31">4+8+8+8+10+0.25+0.15+2</f>
        <v>40.4</v>
      </c>
      <c r="BF240" s="111"/>
      <c r="BG240" s="111"/>
      <c r="BH240" s="111"/>
      <c r="BI240" s="111"/>
      <c r="BJ240" s="111"/>
      <c r="BK240" s="111"/>
      <c r="BL240" s="111"/>
      <c r="BM240" s="117"/>
      <c r="BN240" s="111"/>
      <c r="BO240" s="117"/>
      <c r="BP240" s="117">
        <f t="shared" ref="BP240:BP246" si="32">4+8+8+8+10+0.25+0.15+2</f>
        <v>40.4</v>
      </c>
      <c r="BQ240" s="117"/>
      <c r="BR240" s="111"/>
      <c r="BS240" s="118"/>
      <c r="BT240" s="111"/>
      <c r="BU240" s="118"/>
      <c r="BV240" s="111"/>
      <c r="BW240" s="111"/>
      <c r="BX240" s="111"/>
      <c r="BY240" s="111"/>
      <c r="BZ240" s="111"/>
      <c r="CA240" s="117">
        <f t="shared" ref="CA240:CA246" si="33">4+8+8+8+10+0.25+0.15+2</f>
        <v>40.4</v>
      </c>
      <c r="CB240" s="119"/>
      <c r="CC240" s="117"/>
      <c r="CD240" s="132"/>
      <c r="CE240" s="132"/>
      <c r="CF240" s="132"/>
      <c r="CG240" s="111"/>
      <c r="CH240" s="132"/>
      <c r="CI240" s="132"/>
      <c r="CJ240" s="111"/>
      <c r="CK240" s="132"/>
    </row>
    <row r="241" spans="1:89" ht="304.5">
      <c r="A241" s="106" t="s">
        <v>365</v>
      </c>
      <c r="B241" s="107">
        <f>5+4.5+5+6.5+2.5+6.5</f>
        <v>30</v>
      </c>
      <c r="C241" s="107">
        <v>40</v>
      </c>
      <c r="D241" s="107">
        <f>Tracker[[#This Row],[Estimated Hrs]]-Tracker[[#This Row],[Actual Efforts (Hrs)]]</f>
        <v>10</v>
      </c>
      <c r="E241" s="108"/>
      <c r="F241" s="108"/>
      <c r="G241" s="121"/>
      <c r="H241" s="109">
        <v>19515992</v>
      </c>
      <c r="I241" s="127">
        <f>Tracker[[#This Row],[DCR ID - PTC]]</f>
        <v>19515992</v>
      </c>
      <c r="J241" s="108" t="s">
        <v>1083</v>
      </c>
      <c r="K241" s="108" t="s">
        <v>179</v>
      </c>
      <c r="L241" s="108"/>
      <c r="M241" s="108"/>
      <c r="N241" s="110" t="s">
        <v>1129</v>
      </c>
      <c r="O241" s="111" t="s">
        <v>115</v>
      </c>
      <c r="P241" s="111"/>
      <c r="Q241" s="111"/>
      <c r="R241" s="111"/>
      <c r="S241" s="111"/>
      <c r="T241" s="111"/>
      <c r="U241" s="108"/>
      <c r="V241" s="108"/>
      <c r="W241" s="108"/>
      <c r="X241" s="107">
        <f t="shared" si="29"/>
        <v>40.4</v>
      </c>
      <c r="Y241" s="108"/>
      <c r="Z241" s="108"/>
      <c r="AA241" s="108"/>
      <c r="AB241" s="112"/>
      <c r="AC241" s="108"/>
      <c r="AD241" s="108"/>
      <c r="AE241" s="107"/>
      <c r="AF241" s="113"/>
      <c r="AG241" s="115"/>
      <c r="AH241" s="108"/>
      <c r="AI241" s="108"/>
      <c r="AJ241" s="114"/>
      <c r="AK241" s="108"/>
      <c r="AL241" s="115"/>
      <c r="AM241" s="116"/>
      <c r="AN241" s="116"/>
      <c r="AO241" s="116"/>
      <c r="AP241" s="108"/>
      <c r="AQ241" s="107"/>
      <c r="AR241" s="107"/>
      <c r="AS241" s="116"/>
      <c r="AT241" s="114">
        <f t="shared" si="30"/>
        <v>40.4</v>
      </c>
      <c r="AU241" s="114"/>
      <c r="AV241" s="108"/>
      <c r="AW241" s="108"/>
      <c r="AX241" s="108"/>
      <c r="AY241" s="108"/>
      <c r="AZ241" s="108"/>
      <c r="BA241" s="108"/>
      <c r="BB241" s="108"/>
      <c r="BC241" s="108"/>
      <c r="BD241" s="111"/>
      <c r="BE241" s="117">
        <f t="shared" si="31"/>
        <v>40.4</v>
      </c>
      <c r="BF241" s="111"/>
      <c r="BG241" s="111"/>
      <c r="BH241" s="111"/>
      <c r="BI241" s="111"/>
      <c r="BJ241" s="111"/>
      <c r="BK241" s="111"/>
      <c r="BL241" s="111"/>
      <c r="BM241" s="117"/>
      <c r="BN241" s="111"/>
      <c r="BO241" s="117"/>
      <c r="BP241" s="117">
        <f t="shared" si="32"/>
        <v>40.4</v>
      </c>
      <c r="BQ241" s="117"/>
      <c r="BR241" s="111"/>
      <c r="BS241" s="118"/>
      <c r="BT241" s="111"/>
      <c r="BU241" s="118"/>
      <c r="BV241" s="111"/>
      <c r="BW241" s="111"/>
      <c r="BX241" s="111"/>
      <c r="BY241" s="111"/>
      <c r="BZ241" s="111"/>
      <c r="CA241" s="117">
        <f t="shared" si="33"/>
        <v>40.4</v>
      </c>
      <c r="CB241" s="119"/>
      <c r="CC241" s="117"/>
      <c r="CD241" s="132"/>
      <c r="CE241" s="132"/>
      <c r="CF241" s="132"/>
      <c r="CG241" s="111"/>
      <c r="CH241" s="132"/>
      <c r="CI241" s="132"/>
      <c r="CJ241" s="111"/>
      <c r="CK241" s="132"/>
    </row>
    <row r="242" spans="1:89" ht="409.6">
      <c r="A242" s="106" t="s">
        <v>1130</v>
      </c>
      <c r="B242" s="107">
        <f>4.5+2.5+5.5+6+6+7+1.75+2</f>
        <v>35.25</v>
      </c>
      <c r="C242" s="107">
        <v>80</v>
      </c>
      <c r="D242" s="107">
        <f>Tracker[[#This Row],[Estimated Hrs]]-Tracker[[#This Row],[Actual Efforts (Hrs)]]</f>
        <v>44.75</v>
      </c>
      <c r="E242" s="108"/>
      <c r="F242" s="108"/>
      <c r="G242" s="121"/>
      <c r="H242" s="109" t="s">
        <v>1131</v>
      </c>
      <c r="I242" s="127" t="str">
        <f>Tracker[[#This Row],[DCR ID - PTC]]</f>
        <v>20071796
20071718</v>
      </c>
      <c r="J242" s="108" t="s">
        <v>1083</v>
      </c>
      <c r="K242" s="108" t="s">
        <v>179</v>
      </c>
      <c r="L242" s="108"/>
      <c r="M242" s="108"/>
      <c r="N242" s="110" t="s">
        <v>1132</v>
      </c>
      <c r="O242" s="111" t="s">
        <v>115</v>
      </c>
      <c r="P242" s="111"/>
      <c r="Q242" s="111"/>
      <c r="R242" s="111"/>
      <c r="S242" s="111"/>
      <c r="T242" s="111"/>
      <c r="U242" s="108"/>
      <c r="V242" s="108"/>
      <c r="W242" s="108"/>
      <c r="X242" s="107">
        <f t="shared" si="29"/>
        <v>40.4</v>
      </c>
      <c r="Y242" s="108"/>
      <c r="Z242" s="108"/>
      <c r="AA242" s="108"/>
      <c r="AB242" s="112"/>
      <c r="AC242" s="108"/>
      <c r="AD242" s="108"/>
      <c r="AE242" s="107"/>
      <c r="AF242" s="113"/>
      <c r="AG242" s="115"/>
      <c r="AH242" s="108"/>
      <c r="AI242" s="108"/>
      <c r="AJ242" s="114"/>
      <c r="AK242" s="108"/>
      <c r="AL242" s="115"/>
      <c r="AM242" s="116"/>
      <c r="AN242" s="116"/>
      <c r="AO242" s="116"/>
      <c r="AP242" s="108"/>
      <c r="AQ242" s="107"/>
      <c r="AR242" s="107"/>
      <c r="AS242" s="116"/>
      <c r="AT242" s="114">
        <f t="shared" si="30"/>
        <v>40.4</v>
      </c>
      <c r="AU242" s="114"/>
      <c r="AV242" s="108"/>
      <c r="AW242" s="108"/>
      <c r="AX242" s="108"/>
      <c r="AY242" s="108"/>
      <c r="AZ242" s="108"/>
      <c r="BA242" s="108"/>
      <c r="BB242" s="108"/>
      <c r="BC242" s="108"/>
      <c r="BD242" s="111"/>
      <c r="BE242" s="117">
        <f t="shared" si="31"/>
        <v>40.4</v>
      </c>
      <c r="BF242" s="111"/>
      <c r="BG242" s="111"/>
      <c r="BH242" s="111"/>
      <c r="BI242" s="111"/>
      <c r="BJ242" s="111"/>
      <c r="BK242" s="111"/>
      <c r="BL242" s="111"/>
      <c r="BM242" s="117"/>
      <c r="BN242" s="111"/>
      <c r="BO242" s="117"/>
      <c r="BP242" s="117">
        <f t="shared" si="32"/>
        <v>40.4</v>
      </c>
      <c r="BQ242" s="117"/>
      <c r="BR242" s="111"/>
      <c r="BS242" s="118"/>
      <c r="BT242" s="111"/>
      <c r="BU242" s="118"/>
      <c r="BV242" s="111"/>
      <c r="BW242" s="111"/>
      <c r="BX242" s="111"/>
      <c r="BY242" s="111"/>
      <c r="BZ242" s="111"/>
      <c r="CA242" s="117">
        <f t="shared" si="33"/>
        <v>40.4</v>
      </c>
      <c r="CB242" s="119"/>
      <c r="CC242" s="117"/>
      <c r="CD242" s="132"/>
      <c r="CE242" s="132"/>
      <c r="CF242" s="132"/>
      <c r="CG242" s="111"/>
      <c r="CH242" s="132"/>
      <c r="CI242" s="132"/>
      <c r="CJ242" s="111"/>
      <c r="CK242" s="132"/>
    </row>
    <row r="243" spans="1:89" ht="409.6">
      <c r="A243" s="106" t="s">
        <v>457</v>
      </c>
      <c r="B243" s="107">
        <f>5+5.25+5.5+5+7+2+4+6+3.25+4</f>
        <v>47</v>
      </c>
      <c r="C243" s="107">
        <v>45</v>
      </c>
      <c r="D243" s="107">
        <f>Tracker[[#This Row],[Estimated Hrs]]-Tracker[[#This Row],[Actual Efforts (Hrs)]]</f>
        <v>-2</v>
      </c>
      <c r="E243" s="108"/>
      <c r="F243" s="108"/>
      <c r="G243" s="121"/>
      <c r="H243" s="109">
        <v>19682810</v>
      </c>
      <c r="I243" s="127">
        <f>Tracker[[#This Row],[DCR ID - PTC]]</f>
        <v>19682810</v>
      </c>
      <c r="J243" s="108" t="s">
        <v>1133</v>
      </c>
      <c r="K243" s="108" t="s">
        <v>104</v>
      </c>
      <c r="L243" s="108"/>
      <c r="M243" s="108"/>
      <c r="N243" s="110" t="s">
        <v>1134</v>
      </c>
      <c r="O243" s="111" t="s">
        <v>115</v>
      </c>
      <c r="P243" s="111"/>
      <c r="Q243" s="111"/>
      <c r="R243" s="111"/>
      <c r="S243" s="111"/>
      <c r="T243" s="111"/>
      <c r="U243" s="108"/>
      <c r="V243" s="108"/>
      <c r="W243" s="108"/>
      <c r="X243" s="107">
        <f t="shared" si="29"/>
        <v>40.4</v>
      </c>
      <c r="Y243" s="108"/>
      <c r="Z243" s="108"/>
      <c r="AA243" s="108"/>
      <c r="AB243" s="112"/>
      <c r="AC243" s="108"/>
      <c r="AD243" s="108"/>
      <c r="AE243" s="107"/>
      <c r="AF243" s="113"/>
      <c r="AG243" s="115"/>
      <c r="AH243" s="108"/>
      <c r="AI243" s="108"/>
      <c r="AJ243" s="114"/>
      <c r="AK243" s="108"/>
      <c r="AL243" s="115"/>
      <c r="AM243" s="116"/>
      <c r="AN243" s="116"/>
      <c r="AO243" s="116"/>
      <c r="AP243" s="108"/>
      <c r="AQ243" s="107"/>
      <c r="AR243" s="107"/>
      <c r="AS243" s="116"/>
      <c r="AT243" s="114">
        <f t="shared" si="30"/>
        <v>40.4</v>
      </c>
      <c r="AU243" s="114"/>
      <c r="AV243" s="108"/>
      <c r="AW243" s="108"/>
      <c r="AX243" s="108"/>
      <c r="AY243" s="108"/>
      <c r="AZ243" s="108"/>
      <c r="BA243" s="108"/>
      <c r="BB243" s="108"/>
      <c r="BC243" s="108"/>
      <c r="BD243" s="111"/>
      <c r="BE243" s="117">
        <f t="shared" si="31"/>
        <v>40.4</v>
      </c>
      <c r="BF243" s="111"/>
      <c r="BG243" s="111"/>
      <c r="BH243" s="111"/>
      <c r="BI243" s="111"/>
      <c r="BJ243" s="111"/>
      <c r="BK243" s="111"/>
      <c r="BL243" s="111"/>
      <c r="BM243" s="117"/>
      <c r="BN243" s="111"/>
      <c r="BO243" s="117"/>
      <c r="BP243" s="117">
        <f t="shared" si="32"/>
        <v>40.4</v>
      </c>
      <c r="BQ243" s="117"/>
      <c r="BR243" s="111"/>
      <c r="BS243" s="118"/>
      <c r="BT243" s="111"/>
      <c r="BU243" s="118"/>
      <c r="BV243" s="111"/>
      <c r="BW243" s="111"/>
      <c r="BX243" s="111"/>
      <c r="BY243" s="111"/>
      <c r="BZ243" s="111"/>
      <c r="CA243" s="117">
        <f t="shared" si="33"/>
        <v>40.4</v>
      </c>
      <c r="CB243" s="119"/>
      <c r="CC243" s="117"/>
      <c r="CD243" s="132"/>
      <c r="CE243" s="132"/>
      <c r="CF243" s="132"/>
      <c r="CG243" s="111"/>
      <c r="CH243" s="132"/>
      <c r="CI243" s="132"/>
      <c r="CJ243" s="111"/>
      <c r="CK243" s="132"/>
    </row>
    <row r="244" spans="1:89" ht="29.1">
      <c r="A244" s="106" t="s">
        <v>457</v>
      </c>
      <c r="B244" s="107">
        <v>0</v>
      </c>
      <c r="C244" s="107">
        <v>0</v>
      </c>
      <c r="D244" s="107">
        <f>Tracker[[#This Row],[Estimated Hrs]]-Tracker[[#This Row],[Actual Efforts (Hrs)]]</f>
        <v>0</v>
      </c>
      <c r="E244" s="108"/>
      <c r="F244" s="108"/>
      <c r="G244" s="121"/>
      <c r="H244" s="109">
        <v>19682810</v>
      </c>
      <c r="I244" s="127">
        <f>Tracker[[#This Row],[DCR ID - PTC]]</f>
        <v>19682810</v>
      </c>
      <c r="J244" s="416" t="s">
        <v>1133</v>
      </c>
      <c r="K244" s="108" t="s">
        <v>118</v>
      </c>
      <c r="L244" s="108"/>
      <c r="M244" s="108"/>
      <c r="N244" s="108"/>
      <c r="O244" s="111" t="s">
        <v>122</v>
      </c>
      <c r="P244" s="111"/>
      <c r="Q244" s="111"/>
      <c r="R244" s="111"/>
      <c r="S244" s="111"/>
      <c r="T244" s="111"/>
      <c r="U244" s="108"/>
      <c r="V244" s="108"/>
      <c r="W244" s="108"/>
      <c r="X244" s="107">
        <f t="shared" si="29"/>
        <v>40.4</v>
      </c>
      <c r="Y244" s="108"/>
      <c r="Z244" s="108"/>
      <c r="AA244" s="108"/>
      <c r="AB244" s="112"/>
      <c r="AC244" s="108"/>
      <c r="AD244" s="108"/>
      <c r="AE244" s="107"/>
      <c r="AF244" s="113"/>
      <c r="AG244" s="115"/>
      <c r="AH244" s="108"/>
      <c r="AI244" s="108"/>
      <c r="AJ244" s="114"/>
      <c r="AK244" s="108"/>
      <c r="AL244" s="115"/>
      <c r="AM244" s="116"/>
      <c r="AN244" s="116"/>
      <c r="AO244" s="116"/>
      <c r="AP244" s="108"/>
      <c r="AQ244" s="107"/>
      <c r="AR244" s="107"/>
      <c r="AS244" s="116"/>
      <c r="AT244" s="114">
        <f t="shared" si="30"/>
        <v>40.4</v>
      </c>
      <c r="AU244" s="114"/>
      <c r="AV244" s="108"/>
      <c r="AW244" s="108"/>
      <c r="AX244" s="108"/>
      <c r="AY244" s="108"/>
      <c r="AZ244" s="108"/>
      <c r="BA244" s="108"/>
      <c r="BB244" s="108"/>
      <c r="BC244" s="108"/>
      <c r="BD244" s="111"/>
      <c r="BE244" s="117">
        <f t="shared" si="31"/>
        <v>40.4</v>
      </c>
      <c r="BF244" s="111"/>
      <c r="BG244" s="111"/>
      <c r="BH244" s="111"/>
      <c r="BI244" s="111"/>
      <c r="BJ244" s="111"/>
      <c r="BK244" s="111"/>
      <c r="BL244" s="111"/>
      <c r="BM244" s="117"/>
      <c r="BN244" s="111"/>
      <c r="BO244" s="117"/>
      <c r="BP244" s="117">
        <f t="shared" si="32"/>
        <v>40.4</v>
      </c>
      <c r="BQ244" s="117"/>
      <c r="BR244" s="111"/>
      <c r="BS244" s="118"/>
      <c r="BT244" s="111"/>
      <c r="BU244" s="118"/>
      <c r="BV244" s="111"/>
      <c r="BW244" s="111"/>
      <c r="BX244" s="111"/>
      <c r="BY244" s="111"/>
      <c r="BZ244" s="111"/>
      <c r="CA244" s="117">
        <f t="shared" si="33"/>
        <v>40.4</v>
      </c>
      <c r="CB244" s="119"/>
      <c r="CC244" s="117"/>
      <c r="CD244" s="132"/>
      <c r="CE244" s="132"/>
      <c r="CF244" s="132"/>
      <c r="CG244" s="111"/>
      <c r="CH244" s="132"/>
      <c r="CI244" s="132"/>
      <c r="CJ244" s="111"/>
      <c r="CK244" s="132"/>
    </row>
    <row r="245" spans="1:89" ht="351">
      <c r="A245" s="106" t="s">
        <v>1135</v>
      </c>
      <c r="B245" s="107">
        <f>(3+3)+7+4+8+2+2+3.5</f>
        <v>32.5</v>
      </c>
      <c r="C245" s="107">
        <f>30</f>
        <v>30</v>
      </c>
      <c r="D245" s="107">
        <f>Tracker[[#This Row],[Estimated Hrs]]-Tracker[[#This Row],[Actual Efforts (Hrs)]]</f>
        <v>-2.5</v>
      </c>
      <c r="E245" s="108"/>
      <c r="F245" s="108"/>
      <c r="G245" s="121"/>
      <c r="H245" s="109">
        <v>19682373</v>
      </c>
      <c r="I245" s="127">
        <f>Tracker[[#This Row],[DCR ID - PTC]]</f>
        <v>19682373</v>
      </c>
      <c r="J245" s="108" t="s">
        <v>1136</v>
      </c>
      <c r="K245" s="108" t="s">
        <v>104</v>
      </c>
      <c r="L245" s="108"/>
      <c r="M245" s="108"/>
      <c r="N245" s="108" t="s">
        <v>1137</v>
      </c>
      <c r="O245" s="111" t="s">
        <v>115</v>
      </c>
      <c r="P245" s="111"/>
      <c r="Q245" s="111"/>
      <c r="R245" s="111"/>
      <c r="S245" s="111"/>
      <c r="T245" s="111"/>
      <c r="U245" s="108"/>
      <c r="V245" s="108"/>
      <c r="W245" s="108"/>
      <c r="X245" s="107">
        <f t="shared" si="29"/>
        <v>40.4</v>
      </c>
      <c r="Y245" s="108"/>
      <c r="Z245" s="108"/>
      <c r="AA245" s="108"/>
      <c r="AB245" s="112"/>
      <c r="AC245" s="108"/>
      <c r="AD245" s="108"/>
      <c r="AE245" s="107"/>
      <c r="AF245" s="113"/>
      <c r="AG245" s="115"/>
      <c r="AH245" s="108"/>
      <c r="AI245" s="108"/>
      <c r="AJ245" s="114"/>
      <c r="AK245" s="108"/>
      <c r="AL245" s="115"/>
      <c r="AM245" s="116"/>
      <c r="AN245" s="116"/>
      <c r="AO245" s="116"/>
      <c r="AP245" s="108"/>
      <c r="AQ245" s="107"/>
      <c r="AR245" s="107"/>
      <c r="AS245" s="116"/>
      <c r="AT245" s="114"/>
      <c r="AU245" s="114"/>
      <c r="AV245" s="108"/>
      <c r="AW245" s="108"/>
      <c r="AX245" s="108"/>
      <c r="AY245" s="108"/>
      <c r="AZ245" s="108"/>
      <c r="BA245" s="108"/>
      <c r="BB245" s="108"/>
      <c r="BC245" s="108"/>
      <c r="BD245" s="111"/>
      <c r="BE245" s="117">
        <f t="shared" si="31"/>
        <v>40.4</v>
      </c>
      <c r="BF245" s="111"/>
      <c r="BG245" s="111"/>
      <c r="BH245" s="111"/>
      <c r="BI245" s="111"/>
      <c r="BJ245" s="111"/>
      <c r="BK245" s="111"/>
      <c r="BL245" s="111"/>
      <c r="BM245" s="117"/>
      <c r="BN245" s="111"/>
      <c r="BO245" s="117"/>
      <c r="BP245" s="117">
        <f t="shared" si="32"/>
        <v>40.4</v>
      </c>
      <c r="BQ245" s="117"/>
      <c r="BR245" s="111"/>
      <c r="BS245" s="118"/>
      <c r="BT245" s="111"/>
      <c r="BU245" s="118"/>
      <c r="BV245" s="111"/>
      <c r="BW245" s="111"/>
      <c r="BX245" s="111"/>
      <c r="BY245" s="111"/>
      <c r="BZ245" s="111"/>
      <c r="CA245" s="117">
        <f t="shared" si="33"/>
        <v>40.4</v>
      </c>
      <c r="CB245" s="119"/>
      <c r="CC245" s="117"/>
      <c r="CD245" s="132"/>
      <c r="CE245" s="132"/>
      <c r="CF245" s="132"/>
      <c r="CG245" s="111"/>
      <c r="CH245" s="132"/>
      <c r="CI245" s="132"/>
      <c r="CJ245" s="111"/>
      <c r="CK245" s="132"/>
    </row>
    <row r="246" spans="1:89" ht="14.45">
      <c r="A246" s="106" t="s">
        <v>1104</v>
      </c>
      <c r="B246" s="107"/>
      <c r="C246" s="107">
        <f>30</f>
        <v>30</v>
      </c>
      <c r="D246" s="107">
        <f>Tracker[[#This Row],[Estimated Hrs]]-Tracker[[#This Row],[Actual Efforts (Hrs)]]</f>
        <v>30</v>
      </c>
      <c r="E246" s="108"/>
      <c r="F246" s="108"/>
      <c r="G246" s="121"/>
      <c r="H246" s="109">
        <v>19682373</v>
      </c>
      <c r="I246" s="127">
        <f>Tracker[[#This Row],[DCR ID - PTC]]</f>
        <v>19682373</v>
      </c>
      <c r="J246" s="125" t="s">
        <v>1136</v>
      </c>
      <c r="K246" s="108" t="s">
        <v>118</v>
      </c>
      <c r="L246" s="108"/>
      <c r="M246" s="108"/>
      <c r="N246" s="108"/>
      <c r="O246" s="111" t="s">
        <v>122</v>
      </c>
      <c r="P246" s="111"/>
      <c r="Q246" s="111"/>
      <c r="R246" s="111"/>
      <c r="S246" s="111"/>
      <c r="T246" s="111"/>
      <c r="U246" s="108"/>
      <c r="V246" s="108"/>
      <c r="W246" s="108"/>
      <c r="X246" s="107">
        <f t="shared" si="29"/>
        <v>40.4</v>
      </c>
      <c r="Y246" s="108"/>
      <c r="Z246" s="108"/>
      <c r="AA246" s="108"/>
      <c r="AB246" s="112"/>
      <c r="AC246" s="108"/>
      <c r="AD246" s="108"/>
      <c r="AE246" s="107"/>
      <c r="AF246" s="113"/>
      <c r="AG246" s="115"/>
      <c r="AH246" s="108"/>
      <c r="AI246" s="108"/>
      <c r="AJ246" s="114"/>
      <c r="AK246" s="108"/>
      <c r="AL246" s="115"/>
      <c r="AM246" s="116"/>
      <c r="AN246" s="116"/>
      <c r="AO246" s="116"/>
      <c r="AP246" s="108"/>
      <c r="AQ246" s="107"/>
      <c r="AR246" s="107"/>
      <c r="AS246" s="116"/>
      <c r="AT246" s="114">
        <f t="shared" si="30"/>
        <v>40.4</v>
      </c>
      <c r="AU246" s="114"/>
      <c r="AV246" s="108"/>
      <c r="AW246" s="108"/>
      <c r="AX246" s="108"/>
      <c r="AY246" s="108"/>
      <c r="AZ246" s="108"/>
      <c r="BA246" s="108"/>
      <c r="BB246" s="108"/>
      <c r="BC246" s="108"/>
      <c r="BD246" s="111"/>
      <c r="BE246" s="117">
        <f t="shared" si="31"/>
        <v>40.4</v>
      </c>
      <c r="BF246" s="111"/>
      <c r="BG246" s="111"/>
      <c r="BH246" s="111"/>
      <c r="BI246" s="111"/>
      <c r="BJ246" s="111"/>
      <c r="BK246" s="111"/>
      <c r="BL246" s="111"/>
      <c r="BM246" s="117"/>
      <c r="BN246" s="111"/>
      <c r="BO246" s="117"/>
      <c r="BP246" s="117">
        <f t="shared" si="32"/>
        <v>40.4</v>
      </c>
      <c r="BQ246" s="117"/>
      <c r="BR246" s="111"/>
      <c r="BS246" s="118"/>
      <c r="BT246" s="111"/>
      <c r="BU246" s="118"/>
      <c r="BV246" s="111"/>
      <c r="BW246" s="111"/>
      <c r="BX246" s="111"/>
      <c r="BY246" s="111"/>
      <c r="BZ246" s="111"/>
      <c r="CA246" s="117">
        <f t="shared" si="33"/>
        <v>40.4</v>
      </c>
      <c r="CB246" s="119"/>
      <c r="CC246" s="117"/>
      <c r="CD246" s="132"/>
      <c r="CE246" s="132"/>
      <c r="CF246" s="132"/>
      <c r="CG246" s="111"/>
      <c r="CH246" s="132"/>
      <c r="CI246" s="132"/>
      <c r="CJ246" s="111"/>
      <c r="CK246" s="132"/>
    </row>
    <row r="247" spans="1:89" ht="198">
      <c r="A247" s="106" t="s">
        <v>365</v>
      </c>
      <c r="B247" s="107">
        <f>0.75+6.5+4.75+6.25</f>
        <v>18.25</v>
      </c>
      <c r="C247" s="107">
        <v>40</v>
      </c>
      <c r="D247" s="107">
        <f>Tracker[[#This Row],[Estimated Hrs]]-Tracker[[#This Row],[Actual Efforts (Hrs)]]</f>
        <v>21.75</v>
      </c>
      <c r="E247" s="108"/>
      <c r="F247" s="108"/>
      <c r="G247" s="121"/>
      <c r="H247" s="109">
        <v>19515992</v>
      </c>
      <c r="I247" s="127">
        <f>Tracker[[#This Row],[DCR ID - PTC]]</f>
        <v>19515992</v>
      </c>
      <c r="J247" s="108" t="s">
        <v>1083</v>
      </c>
      <c r="K247" s="108" t="s">
        <v>179</v>
      </c>
      <c r="L247" s="108"/>
      <c r="M247" s="108"/>
      <c r="N247" s="108" t="s">
        <v>1138</v>
      </c>
      <c r="O247" s="111" t="s">
        <v>122</v>
      </c>
      <c r="P247" s="111"/>
      <c r="Q247" s="111"/>
      <c r="R247" s="111"/>
      <c r="S247" s="111"/>
      <c r="T247" s="111"/>
      <c r="U247" s="108"/>
      <c r="V247" s="108"/>
      <c r="W247" s="108"/>
      <c r="X247" s="107">
        <f t="shared" ref="X247:X252" si="34">4+8+8+8+10+0.25+0.15+2</f>
        <v>40.4</v>
      </c>
      <c r="Y247" s="108"/>
      <c r="Z247" s="108"/>
      <c r="AA247" s="108"/>
      <c r="AB247" s="112"/>
      <c r="AC247" s="108"/>
      <c r="AD247" s="108"/>
      <c r="AE247" s="107"/>
      <c r="AF247" s="113"/>
      <c r="AG247" s="115"/>
      <c r="AH247" s="108"/>
      <c r="AI247" s="108"/>
      <c r="AJ247" s="114"/>
      <c r="AK247" s="108"/>
      <c r="AL247" s="115"/>
      <c r="AM247" s="116"/>
      <c r="AN247" s="116"/>
      <c r="AO247" s="116"/>
      <c r="AP247" s="108"/>
      <c r="AQ247" s="107"/>
      <c r="AR247" s="107"/>
      <c r="AS247" s="116"/>
      <c r="AT247" s="114">
        <f>4+8+8+8+10+0.25+0.15+2</f>
        <v>40.4</v>
      </c>
      <c r="AU247" s="114"/>
      <c r="AV247" s="108"/>
      <c r="AW247" s="108"/>
      <c r="AX247" s="108"/>
      <c r="AY247" s="108"/>
      <c r="AZ247" s="108"/>
      <c r="BA247" s="108"/>
      <c r="BB247" s="108"/>
      <c r="BC247" s="108"/>
      <c r="BD247" s="111"/>
      <c r="BE247" s="117">
        <f t="shared" ref="BE247:BE252" si="35">4+8+8+8+10+0.25+0.15+2</f>
        <v>40.4</v>
      </c>
      <c r="BF247" s="111"/>
      <c r="BG247" s="111"/>
      <c r="BH247" s="111"/>
      <c r="BI247" s="111"/>
      <c r="BJ247" s="111"/>
      <c r="BK247" s="111"/>
      <c r="BL247" s="111"/>
      <c r="BM247" s="117"/>
      <c r="BN247" s="111"/>
      <c r="BO247" s="117"/>
      <c r="BP247" s="117">
        <f t="shared" ref="BP247:BP252" si="36">4+8+8+8+10+0.25+0.15+2</f>
        <v>40.4</v>
      </c>
      <c r="BQ247" s="117"/>
      <c r="BR247" s="111"/>
      <c r="BS247" s="118"/>
      <c r="BT247" s="111"/>
      <c r="BU247" s="118"/>
      <c r="BV247" s="111"/>
      <c r="BW247" s="111"/>
      <c r="BX247" s="111"/>
      <c r="BY247" s="111"/>
      <c r="BZ247" s="111"/>
      <c r="CA247" s="117">
        <f t="shared" ref="CA247:CA252" si="37">4+8+8+8+10+0.25+0.15+2</f>
        <v>40.4</v>
      </c>
      <c r="CB247" s="119"/>
      <c r="CC247" s="117"/>
      <c r="CD247" s="132"/>
      <c r="CE247" s="132"/>
      <c r="CF247" s="132"/>
      <c r="CG247" s="111"/>
      <c r="CH247" s="132"/>
      <c r="CI247" s="132"/>
      <c r="CJ247" s="111"/>
      <c r="CK247" s="132"/>
    </row>
    <row r="248" spans="1:89" ht="116.1">
      <c r="A248" s="106" t="s">
        <v>1139</v>
      </c>
      <c r="B248" s="107">
        <f>(5.5+4.5+8)</f>
        <v>18</v>
      </c>
      <c r="C248" s="107">
        <v>0</v>
      </c>
      <c r="D248" s="107">
        <f>Tracker[[#This Row],[Estimated Hrs]]-Tracker[[#This Row],[Actual Efforts (Hrs)]]</f>
        <v>-18</v>
      </c>
      <c r="E248" s="108"/>
      <c r="F248" s="108"/>
      <c r="G248" s="121"/>
      <c r="H248" s="109">
        <v>19817158</v>
      </c>
      <c r="I248" s="127">
        <f>Tracker[[#This Row],[DCR ID - PTC]]</f>
        <v>19817158</v>
      </c>
      <c r="J248" s="108" t="s">
        <v>1140</v>
      </c>
      <c r="K248" s="108" t="s">
        <v>104</v>
      </c>
      <c r="L248" s="108"/>
      <c r="M248" s="108"/>
      <c r="N248" s="108" t="s">
        <v>1141</v>
      </c>
      <c r="O248" s="111" t="s">
        <v>115</v>
      </c>
      <c r="P248" s="111"/>
      <c r="Q248" s="111"/>
      <c r="R248" s="111"/>
      <c r="S248" s="111"/>
      <c r="T248" s="111"/>
      <c r="U248" s="108"/>
      <c r="V248" s="108"/>
      <c r="W248" s="108"/>
      <c r="X248" s="107">
        <f t="shared" si="34"/>
        <v>40.4</v>
      </c>
      <c r="Y248" s="108"/>
      <c r="Z248" s="108"/>
      <c r="AA248" s="108"/>
      <c r="AB248" s="112"/>
      <c r="AC248" s="108"/>
      <c r="AD248" s="108"/>
      <c r="AE248" s="107"/>
      <c r="AF248" s="113"/>
      <c r="AG248" s="115"/>
      <c r="AH248" s="108"/>
      <c r="AI248" s="108"/>
      <c r="AJ248" s="114"/>
      <c r="AK248" s="108"/>
      <c r="AL248" s="115"/>
      <c r="AM248" s="116"/>
      <c r="AN248" s="116"/>
      <c r="AO248" s="116"/>
      <c r="AP248" s="108"/>
      <c r="AQ248" s="107"/>
      <c r="AR248" s="107"/>
      <c r="AS248" s="116"/>
      <c r="AT248" s="114">
        <f>4+8+8+8+10+0.25+0.15+2</f>
        <v>40.4</v>
      </c>
      <c r="AU248" s="114"/>
      <c r="AV248" s="108"/>
      <c r="AW248" s="108"/>
      <c r="AX248" s="108"/>
      <c r="AY248" s="108"/>
      <c r="AZ248" s="108"/>
      <c r="BA248" s="108"/>
      <c r="BB248" s="108"/>
      <c r="BC248" s="108"/>
      <c r="BD248" s="111"/>
      <c r="BE248" s="117">
        <f t="shared" si="35"/>
        <v>40.4</v>
      </c>
      <c r="BF248" s="111"/>
      <c r="BG248" s="111"/>
      <c r="BH248" s="111"/>
      <c r="BI248" s="111"/>
      <c r="BJ248" s="111"/>
      <c r="BK248" s="111"/>
      <c r="BL248" s="111"/>
      <c r="BM248" s="117"/>
      <c r="BN248" s="111"/>
      <c r="BO248" s="117"/>
      <c r="BP248" s="117">
        <f t="shared" si="36"/>
        <v>40.4</v>
      </c>
      <c r="BQ248" s="117"/>
      <c r="BR248" s="111"/>
      <c r="BS248" s="118"/>
      <c r="BT248" s="111"/>
      <c r="BU248" s="118"/>
      <c r="BV248" s="111"/>
      <c r="BW248" s="111"/>
      <c r="BX248" s="111"/>
      <c r="BY248" s="111"/>
      <c r="BZ248" s="111"/>
      <c r="CA248" s="117">
        <f t="shared" si="37"/>
        <v>40.4</v>
      </c>
      <c r="CB248" s="119"/>
      <c r="CC248" s="117"/>
      <c r="CD248" s="132"/>
      <c r="CE248" s="132"/>
      <c r="CF248" s="132"/>
      <c r="CG248" s="111"/>
      <c r="CH248" s="132"/>
      <c r="CI248" s="132"/>
      <c r="CJ248" s="111"/>
      <c r="CK248" s="132"/>
    </row>
    <row r="249" spans="1:89" ht="15" customHeight="1">
      <c r="A249" s="106" t="s">
        <v>1142</v>
      </c>
      <c r="B249" s="107">
        <v>0</v>
      </c>
      <c r="C249" s="107">
        <v>0</v>
      </c>
      <c r="D249" s="107">
        <f>Tracker[[#This Row],[Estimated Hrs]]-Tracker[[#This Row],[Actual Efforts (Hrs)]]</f>
        <v>0</v>
      </c>
      <c r="E249" s="108"/>
      <c r="F249" s="108"/>
      <c r="G249" s="121"/>
      <c r="H249" s="109">
        <v>19817158</v>
      </c>
      <c r="I249" s="127">
        <f>Tracker[[#This Row],[DCR ID - PTC]]</f>
        <v>19817158</v>
      </c>
      <c r="J249" s="108" t="s">
        <v>1140</v>
      </c>
      <c r="K249" s="108" t="s">
        <v>118</v>
      </c>
      <c r="L249" s="108"/>
      <c r="M249" s="108"/>
      <c r="N249" s="416" t="s">
        <v>1143</v>
      </c>
      <c r="O249" s="111" t="s">
        <v>122</v>
      </c>
      <c r="P249" s="111"/>
      <c r="Q249" s="111"/>
      <c r="R249" s="111"/>
      <c r="S249" s="111"/>
      <c r="T249" s="111"/>
      <c r="U249" s="108"/>
      <c r="V249" s="108"/>
      <c r="W249" s="108"/>
      <c r="X249" s="107">
        <f t="shared" si="34"/>
        <v>40.4</v>
      </c>
      <c r="Y249" s="108"/>
      <c r="Z249" s="108"/>
      <c r="AA249" s="108"/>
      <c r="AB249" s="112"/>
      <c r="AC249" s="108"/>
      <c r="AD249" s="108"/>
      <c r="AE249" s="107"/>
      <c r="AF249" s="113"/>
      <c r="AG249" s="115"/>
      <c r="AH249" s="108"/>
      <c r="AI249" s="108"/>
      <c r="AJ249" s="114"/>
      <c r="AK249" s="108"/>
      <c r="AL249" s="115"/>
      <c r="AM249" s="116"/>
      <c r="AN249" s="116"/>
      <c r="AO249" s="116"/>
      <c r="AP249" s="108"/>
      <c r="AQ249" s="107"/>
      <c r="AR249" s="107"/>
      <c r="AS249" s="116"/>
      <c r="AT249" s="114">
        <f>4+8+8+8+10+0.25+0.15+2</f>
        <v>40.4</v>
      </c>
      <c r="AU249" s="114"/>
      <c r="AV249" s="108"/>
      <c r="AW249" s="108"/>
      <c r="AX249" s="108"/>
      <c r="AY249" s="108"/>
      <c r="AZ249" s="108"/>
      <c r="BA249" s="108"/>
      <c r="BB249" s="108"/>
      <c r="BC249" s="108"/>
      <c r="BD249" s="111"/>
      <c r="BE249" s="117">
        <f t="shared" si="35"/>
        <v>40.4</v>
      </c>
      <c r="BF249" s="111"/>
      <c r="BG249" s="111"/>
      <c r="BH249" s="111"/>
      <c r="BI249" s="111"/>
      <c r="BJ249" s="111"/>
      <c r="BK249" s="111"/>
      <c r="BL249" s="111"/>
      <c r="BM249" s="117"/>
      <c r="BN249" s="111"/>
      <c r="BO249" s="117"/>
      <c r="BP249" s="117">
        <f t="shared" si="36"/>
        <v>40.4</v>
      </c>
      <c r="BQ249" s="117"/>
      <c r="BR249" s="111"/>
      <c r="BS249" s="118"/>
      <c r="BT249" s="111"/>
      <c r="BU249" s="118"/>
      <c r="BV249" s="111"/>
      <c r="BW249" s="111"/>
      <c r="BX249" s="111"/>
      <c r="BY249" s="111"/>
      <c r="BZ249" s="111"/>
      <c r="CA249" s="117">
        <f t="shared" si="37"/>
        <v>40.4</v>
      </c>
      <c r="CB249" s="119"/>
      <c r="CC249" s="117"/>
      <c r="CD249" s="132"/>
      <c r="CE249" s="132"/>
      <c r="CF249" s="132"/>
      <c r="CG249" s="111"/>
      <c r="CH249" s="132"/>
      <c r="CI249" s="132"/>
      <c r="CJ249" s="111"/>
      <c r="CK249" s="132"/>
    </row>
    <row r="250" spans="1:89" ht="38.450000000000003" customHeight="1">
      <c r="A250" s="106" t="s">
        <v>1142</v>
      </c>
      <c r="B250" s="107"/>
      <c r="C250" s="107"/>
      <c r="D250" s="107"/>
      <c r="E250" s="108"/>
      <c r="F250" s="108"/>
      <c r="G250" s="121"/>
      <c r="H250" s="109">
        <v>19868102</v>
      </c>
      <c r="I250" s="127">
        <f>Tracker[[#This Row],[DCR ID - PTC]]</f>
        <v>19868102</v>
      </c>
      <c r="J250" s="108" t="s">
        <v>1144</v>
      </c>
      <c r="K250" s="108" t="s">
        <v>104</v>
      </c>
      <c r="L250" s="108"/>
      <c r="M250" s="108"/>
      <c r="N250" s="416" t="s">
        <v>1145</v>
      </c>
      <c r="O250" s="111" t="s">
        <v>115</v>
      </c>
      <c r="P250" s="111"/>
      <c r="Q250" s="111"/>
      <c r="R250" s="111"/>
      <c r="S250" s="111"/>
      <c r="T250" s="111"/>
      <c r="U250" s="108"/>
      <c r="V250" s="108"/>
      <c r="W250" s="108"/>
      <c r="X250" s="107">
        <f t="shared" si="34"/>
        <v>40.4</v>
      </c>
      <c r="Y250" s="108"/>
      <c r="Z250" s="108"/>
      <c r="AA250" s="108"/>
      <c r="AB250" s="112"/>
      <c r="AC250" s="108"/>
      <c r="AD250" s="108"/>
      <c r="AE250" s="107"/>
      <c r="AF250" s="113"/>
      <c r="AG250" s="115"/>
      <c r="AH250" s="108"/>
      <c r="AI250" s="108"/>
      <c r="AJ250" s="114"/>
      <c r="AK250" s="108"/>
      <c r="AL250" s="115"/>
      <c r="AM250" s="116"/>
      <c r="AN250" s="116"/>
      <c r="AO250" s="116"/>
      <c r="AP250" s="108"/>
      <c r="AQ250" s="107"/>
      <c r="AR250" s="107"/>
      <c r="AS250" s="116"/>
      <c r="AT250" s="114">
        <f>4+8+8+8+10+0.25+0.15+2</f>
        <v>40.4</v>
      </c>
      <c r="AU250" s="114"/>
      <c r="AV250" s="108"/>
      <c r="AW250" s="108"/>
      <c r="AX250" s="108"/>
      <c r="AY250" s="108"/>
      <c r="AZ250" s="108"/>
      <c r="BA250" s="108"/>
      <c r="BB250" s="108"/>
      <c r="BC250" s="108"/>
      <c r="BD250" s="111"/>
      <c r="BE250" s="117">
        <f t="shared" si="35"/>
        <v>40.4</v>
      </c>
      <c r="BF250" s="111"/>
      <c r="BG250" s="111"/>
      <c r="BH250" s="111"/>
      <c r="BI250" s="111"/>
      <c r="BJ250" s="111"/>
      <c r="BK250" s="111"/>
      <c r="BL250" s="111"/>
      <c r="BM250" s="117"/>
      <c r="BN250" s="111"/>
      <c r="BO250" s="117"/>
      <c r="BP250" s="117">
        <f t="shared" si="36"/>
        <v>40.4</v>
      </c>
      <c r="BQ250" s="117"/>
      <c r="BR250" s="111"/>
      <c r="BS250" s="118"/>
      <c r="BT250" s="111"/>
      <c r="BU250" s="118"/>
      <c r="BV250" s="111"/>
      <c r="BW250" s="111"/>
      <c r="BX250" s="111"/>
      <c r="BY250" s="111"/>
      <c r="BZ250" s="111"/>
      <c r="CA250" s="117">
        <f t="shared" si="37"/>
        <v>40.4</v>
      </c>
      <c r="CB250" s="119"/>
      <c r="CC250" s="117"/>
      <c r="CD250" s="132"/>
      <c r="CE250" s="132"/>
      <c r="CF250" s="132"/>
      <c r="CG250" s="111"/>
      <c r="CH250" s="132"/>
      <c r="CI250" s="132"/>
      <c r="CJ250" s="111"/>
      <c r="CK250" s="132"/>
    </row>
    <row r="251" spans="1:89" ht="30.95" customHeight="1">
      <c r="A251" s="106" t="s">
        <v>1142</v>
      </c>
      <c r="B251" s="107"/>
      <c r="C251" s="107"/>
      <c r="D251" s="107"/>
      <c r="E251" s="108"/>
      <c r="F251" s="108"/>
      <c r="G251" s="121"/>
      <c r="H251" s="109">
        <v>19868102</v>
      </c>
      <c r="I251" s="127">
        <f>Tracker[[#This Row],[DCR ID - PTC]]</f>
        <v>19868102</v>
      </c>
      <c r="J251" s="108" t="s">
        <v>1144</v>
      </c>
      <c r="K251" s="108" t="s">
        <v>118</v>
      </c>
      <c r="L251" s="108"/>
      <c r="M251" s="108"/>
      <c r="N251" s="416" t="s">
        <v>1143</v>
      </c>
      <c r="O251" s="111" t="s">
        <v>122</v>
      </c>
      <c r="P251" s="111"/>
      <c r="Q251" s="111"/>
      <c r="R251" s="111"/>
      <c r="S251" s="111"/>
      <c r="T251" s="111"/>
      <c r="U251" s="108"/>
      <c r="V251" s="108"/>
      <c r="W251" s="108"/>
      <c r="X251" s="107">
        <f t="shared" si="34"/>
        <v>40.4</v>
      </c>
      <c r="Y251" s="108"/>
      <c r="Z251" s="108"/>
      <c r="AA251" s="108"/>
      <c r="AB251" s="112"/>
      <c r="AC251" s="108"/>
      <c r="AD251" s="108"/>
      <c r="AE251" s="107"/>
      <c r="AF251" s="113"/>
      <c r="AG251" s="115"/>
      <c r="AH251" s="108"/>
      <c r="AI251" s="108"/>
      <c r="AJ251" s="114"/>
      <c r="AK251" s="108"/>
      <c r="AL251" s="115"/>
      <c r="AM251" s="116"/>
      <c r="AN251" s="116"/>
      <c r="AO251" s="116"/>
      <c r="AP251" s="108"/>
      <c r="AQ251" s="107"/>
      <c r="AR251" s="107"/>
      <c r="AS251" s="116"/>
      <c r="AT251" s="114"/>
      <c r="AU251" s="114"/>
      <c r="AV251" s="108"/>
      <c r="AW251" s="108"/>
      <c r="AX251" s="108"/>
      <c r="AY251" s="108"/>
      <c r="AZ251" s="108"/>
      <c r="BA251" s="108"/>
      <c r="BB251" s="108"/>
      <c r="BC251" s="108"/>
      <c r="BD251" s="111"/>
      <c r="BE251" s="117">
        <f t="shared" si="35"/>
        <v>40.4</v>
      </c>
      <c r="BF251" s="111"/>
      <c r="BG251" s="111"/>
      <c r="BH251" s="111"/>
      <c r="BI251" s="111"/>
      <c r="BJ251" s="111"/>
      <c r="BK251" s="111"/>
      <c r="BL251" s="111"/>
      <c r="BM251" s="117"/>
      <c r="BN251" s="111"/>
      <c r="BO251" s="117"/>
      <c r="BP251" s="117">
        <f t="shared" si="36"/>
        <v>40.4</v>
      </c>
      <c r="BQ251" s="117"/>
      <c r="BR251" s="111"/>
      <c r="BS251" s="118"/>
      <c r="BT251" s="111"/>
      <c r="BU251" s="118"/>
      <c r="BV251" s="111"/>
      <c r="BW251" s="111"/>
      <c r="BX251" s="111"/>
      <c r="BY251" s="111"/>
      <c r="BZ251" s="111"/>
      <c r="CA251" s="117">
        <f t="shared" si="37"/>
        <v>40.4</v>
      </c>
      <c r="CB251" s="119"/>
      <c r="CC251" s="117"/>
      <c r="CD251" s="132"/>
      <c r="CE251" s="132"/>
      <c r="CF251" s="132"/>
      <c r="CG251" s="111"/>
      <c r="CH251" s="132"/>
      <c r="CI251" s="132"/>
      <c r="CJ251" s="111"/>
      <c r="CK251" s="132"/>
    </row>
    <row r="252" spans="1:89" ht="116.1">
      <c r="A252" s="106" t="s">
        <v>623</v>
      </c>
      <c r="B252" s="107">
        <f>7.5+1.5+5+7+8+6.5+6</f>
        <v>41.5</v>
      </c>
      <c r="C252" s="107"/>
      <c r="D252" s="107">
        <f>Tracker[[#This Row],[Estimated Hrs]]-Tracker[[#This Row],[Actual Efforts (Hrs)]]</f>
        <v>-41.5</v>
      </c>
      <c r="E252" s="108"/>
      <c r="F252" s="108"/>
      <c r="G252" s="121"/>
      <c r="H252" s="109">
        <v>19935596</v>
      </c>
      <c r="I252" s="127">
        <f>Tracker[[#This Row],[DCR ID - PTC]]</f>
        <v>19935596</v>
      </c>
      <c r="J252" s="108" t="s">
        <v>1107</v>
      </c>
      <c r="K252" s="108" t="s">
        <v>104</v>
      </c>
      <c r="L252" s="108"/>
      <c r="M252" s="108"/>
      <c r="N252" s="108" t="s">
        <v>1146</v>
      </c>
      <c r="O252" s="111" t="s">
        <v>115</v>
      </c>
      <c r="P252" s="111"/>
      <c r="Q252" s="111"/>
      <c r="R252" s="111"/>
      <c r="S252" s="111"/>
      <c r="T252" s="111"/>
      <c r="U252" s="108"/>
      <c r="V252" s="108"/>
      <c r="W252" s="108"/>
      <c r="X252" s="107">
        <f t="shared" si="34"/>
        <v>40.4</v>
      </c>
      <c r="Y252" s="108"/>
      <c r="Z252" s="108"/>
      <c r="AA252" s="108"/>
      <c r="AB252" s="112"/>
      <c r="AC252" s="108"/>
      <c r="AD252" s="108"/>
      <c r="AE252" s="107"/>
      <c r="AF252" s="113"/>
      <c r="AG252" s="115"/>
      <c r="AH252" s="108"/>
      <c r="AI252" s="108"/>
      <c r="AJ252" s="114"/>
      <c r="AK252" s="108"/>
      <c r="AL252" s="115"/>
      <c r="AM252" s="116"/>
      <c r="AN252" s="116"/>
      <c r="AO252" s="116"/>
      <c r="AP252" s="108"/>
      <c r="AQ252" s="107"/>
      <c r="AR252" s="107"/>
      <c r="AS252" s="116"/>
      <c r="AT252" s="114"/>
      <c r="AU252" s="114"/>
      <c r="AV252" s="108"/>
      <c r="AW252" s="108"/>
      <c r="AX252" s="108"/>
      <c r="AY252" s="108"/>
      <c r="AZ252" s="108"/>
      <c r="BA252" s="108"/>
      <c r="BB252" s="108"/>
      <c r="BC252" s="108"/>
      <c r="BD252" s="111"/>
      <c r="BE252" s="117">
        <f t="shared" si="35"/>
        <v>40.4</v>
      </c>
      <c r="BF252" s="111"/>
      <c r="BG252" s="111"/>
      <c r="BH252" s="111"/>
      <c r="BI252" s="111"/>
      <c r="BJ252" s="111"/>
      <c r="BK252" s="111"/>
      <c r="BL252" s="111"/>
      <c r="BM252" s="117"/>
      <c r="BN252" s="111"/>
      <c r="BO252" s="117"/>
      <c r="BP252" s="117">
        <f t="shared" si="36"/>
        <v>40.4</v>
      </c>
      <c r="BQ252" s="117"/>
      <c r="BR252" s="111"/>
      <c r="BS252" s="118"/>
      <c r="BT252" s="111"/>
      <c r="BU252" s="118"/>
      <c r="BV252" s="111"/>
      <c r="BW252" s="111"/>
      <c r="BX252" s="111"/>
      <c r="BY252" s="111"/>
      <c r="BZ252" s="111"/>
      <c r="CA252" s="117">
        <f t="shared" si="37"/>
        <v>40.4</v>
      </c>
      <c r="CB252" s="119"/>
      <c r="CC252" s="117"/>
      <c r="CD252" s="132"/>
      <c r="CE252" s="132"/>
      <c r="CF252" s="132"/>
      <c r="CG252" s="111"/>
      <c r="CH252" s="132"/>
      <c r="CI252" s="132"/>
      <c r="CJ252" s="111"/>
      <c r="CK252" s="132"/>
    </row>
    <row r="253" spans="1:89" ht="213">
      <c r="A253" s="106" t="s">
        <v>401</v>
      </c>
      <c r="B253" s="107">
        <f>3+5+5+3+2.5+2</f>
        <v>20.5</v>
      </c>
      <c r="C253" s="107">
        <v>12</v>
      </c>
      <c r="D253" s="107">
        <f>Tracker[[#This Row],[Estimated Hrs]]-Tracker[[#This Row],[Actual Efforts (Hrs)]]</f>
        <v>-8.5</v>
      </c>
      <c r="E253" s="108"/>
      <c r="F253" s="108"/>
      <c r="G253" s="121"/>
      <c r="H253" s="109">
        <v>19824310</v>
      </c>
      <c r="I253" s="127">
        <f>Tracker[[#This Row],[DCR ID - PTC]]</f>
        <v>19824310</v>
      </c>
      <c r="J253" s="108" t="s">
        <v>1147</v>
      </c>
      <c r="K253" s="108" t="s">
        <v>104</v>
      </c>
      <c r="L253" s="108"/>
      <c r="M253" s="108"/>
      <c r="N253" s="108" t="s">
        <v>1148</v>
      </c>
      <c r="O253" s="111" t="s">
        <v>106</v>
      </c>
      <c r="P253" s="111"/>
      <c r="Q253" s="111"/>
      <c r="R253" s="111"/>
      <c r="S253" s="111"/>
      <c r="T253" s="111"/>
      <c r="U253" s="108"/>
      <c r="V253" s="108"/>
      <c r="W253" s="108"/>
      <c r="X253" s="107">
        <f t="shared" ref="X253:X259" si="38">4+8+8+8+10+0.25+0.15+2</f>
        <v>40.4</v>
      </c>
      <c r="Y253" s="108"/>
      <c r="Z253" s="108"/>
      <c r="AA253" s="108"/>
      <c r="AB253" s="112"/>
      <c r="AC253" s="108"/>
      <c r="AD253" s="108"/>
      <c r="AE253" s="107"/>
      <c r="AF253" s="113"/>
      <c r="AG253" s="115"/>
      <c r="AH253" s="108"/>
      <c r="AI253" s="108"/>
      <c r="AJ253" s="114"/>
      <c r="AK253" s="108"/>
      <c r="AL253" s="115"/>
      <c r="AM253" s="116"/>
      <c r="AN253" s="116"/>
      <c r="AO253" s="116"/>
      <c r="AP253" s="108"/>
      <c r="AQ253" s="107"/>
      <c r="AR253" s="107"/>
      <c r="AS253" s="116"/>
      <c r="AT253" s="114"/>
      <c r="AU253" s="114"/>
      <c r="AV253" s="108"/>
      <c r="AW253" s="108"/>
      <c r="AX253" s="108"/>
      <c r="AY253" s="108"/>
      <c r="AZ253" s="108"/>
      <c r="BA253" s="108"/>
      <c r="BB253" s="108"/>
      <c r="BC253" s="108"/>
      <c r="BD253" s="111"/>
      <c r="BE253" s="117">
        <f t="shared" ref="BE253:BE259" si="39">4+8+8+8+10+0.25+0.15+2</f>
        <v>40.4</v>
      </c>
      <c r="BF253" s="111"/>
      <c r="BG253" s="111"/>
      <c r="BH253" s="111"/>
      <c r="BI253" s="111"/>
      <c r="BJ253" s="111"/>
      <c r="BK253" s="111"/>
      <c r="BL253" s="111"/>
      <c r="BM253" s="117"/>
      <c r="BN253" s="111"/>
      <c r="BO253" s="117"/>
      <c r="BP253" s="117">
        <f t="shared" ref="BP253:BP259" si="40">4+8+8+8+10+0.25+0.15+2</f>
        <v>40.4</v>
      </c>
      <c r="BQ253" s="117"/>
      <c r="BR253" s="111"/>
      <c r="BS253" s="118"/>
      <c r="BT253" s="111"/>
      <c r="BU253" s="118"/>
      <c r="BV253" s="111"/>
      <c r="BW253" s="111"/>
      <c r="BX253" s="111"/>
      <c r="BY253" s="111"/>
      <c r="BZ253" s="111"/>
      <c r="CA253" s="117">
        <f t="shared" ref="CA253:CA259" si="41">4+8+8+8+10+0.25+0.15+2</f>
        <v>40.4</v>
      </c>
      <c r="CB253" s="119"/>
      <c r="CC253" s="117"/>
      <c r="CD253" s="132"/>
      <c r="CE253" s="132"/>
      <c r="CF253" s="132"/>
      <c r="CG253" s="111"/>
      <c r="CH253" s="132"/>
      <c r="CI253" s="132"/>
      <c r="CJ253" s="111"/>
      <c r="CK253" s="132"/>
    </row>
    <row r="254" spans="1:89" ht="203.1">
      <c r="A254" s="106" t="s">
        <v>1149</v>
      </c>
      <c r="B254" s="107">
        <f>6.75+3+7.75+3</f>
        <v>20.5</v>
      </c>
      <c r="C254" s="107">
        <v>32</v>
      </c>
      <c r="D254" s="107">
        <f>Tracker[[#This Row],[Estimated Hrs]]-Tracker[[#This Row],[Actual Efforts (Hrs)]]</f>
        <v>11.5</v>
      </c>
      <c r="E254" s="108"/>
      <c r="F254" s="108"/>
      <c r="G254" s="121"/>
      <c r="H254" s="109">
        <v>19824310</v>
      </c>
      <c r="I254" s="127">
        <f>Tracker[[#This Row],[DCR ID - PTC]]</f>
        <v>19824310</v>
      </c>
      <c r="J254" s="108" t="s">
        <v>1147</v>
      </c>
      <c r="K254" s="108" t="s">
        <v>118</v>
      </c>
      <c r="L254" s="108"/>
      <c r="M254" s="108"/>
      <c r="N254" s="108" t="s">
        <v>1150</v>
      </c>
      <c r="O254" s="111" t="s">
        <v>115</v>
      </c>
      <c r="P254" s="111"/>
      <c r="Q254" s="111"/>
      <c r="R254" s="111"/>
      <c r="S254" s="111"/>
      <c r="T254" s="111"/>
      <c r="U254" s="108"/>
      <c r="V254" s="108"/>
      <c r="W254" s="108"/>
      <c r="X254" s="107">
        <f t="shared" si="38"/>
        <v>40.4</v>
      </c>
      <c r="Y254" s="108"/>
      <c r="Z254" s="108"/>
      <c r="AA254" s="108"/>
      <c r="AB254" s="112"/>
      <c r="AC254" s="108"/>
      <c r="AD254" s="108"/>
      <c r="AE254" s="107"/>
      <c r="AF254" s="113"/>
      <c r="AG254" s="115"/>
      <c r="AH254" s="108"/>
      <c r="AI254" s="108"/>
      <c r="AJ254" s="114"/>
      <c r="AK254" s="108"/>
      <c r="AL254" s="115"/>
      <c r="AM254" s="116"/>
      <c r="AN254" s="116"/>
      <c r="AO254" s="116"/>
      <c r="AP254" s="108"/>
      <c r="AQ254" s="107"/>
      <c r="AR254" s="107"/>
      <c r="AS254" s="116"/>
      <c r="AT254" s="114"/>
      <c r="AU254" s="114"/>
      <c r="AV254" s="108"/>
      <c r="AW254" s="108"/>
      <c r="AX254" s="108"/>
      <c r="AY254" s="108"/>
      <c r="AZ254" s="108"/>
      <c r="BA254" s="108"/>
      <c r="BB254" s="108"/>
      <c r="BC254" s="108"/>
      <c r="BD254" s="111"/>
      <c r="BE254" s="117">
        <f t="shared" si="39"/>
        <v>40.4</v>
      </c>
      <c r="BF254" s="111"/>
      <c r="BG254" s="111"/>
      <c r="BH254" s="111"/>
      <c r="BI254" s="111"/>
      <c r="BJ254" s="111"/>
      <c r="BK254" s="111"/>
      <c r="BL254" s="111"/>
      <c r="BM254" s="117"/>
      <c r="BN254" s="111"/>
      <c r="BO254" s="117"/>
      <c r="BP254" s="117">
        <f t="shared" si="40"/>
        <v>40.4</v>
      </c>
      <c r="BQ254" s="117"/>
      <c r="BR254" s="111"/>
      <c r="BS254" s="118"/>
      <c r="BT254" s="111"/>
      <c r="BU254" s="118"/>
      <c r="BV254" s="111"/>
      <c r="BW254" s="111"/>
      <c r="BX254" s="111"/>
      <c r="BY254" s="111"/>
      <c r="BZ254" s="111"/>
      <c r="CA254" s="117">
        <f t="shared" si="41"/>
        <v>40.4</v>
      </c>
      <c r="CB254" s="119"/>
      <c r="CC254" s="117"/>
      <c r="CD254" s="132"/>
      <c r="CE254" s="132"/>
      <c r="CF254" s="132"/>
      <c r="CG254" s="111"/>
      <c r="CH254" s="132"/>
      <c r="CI254" s="132"/>
      <c r="CJ254" s="111"/>
      <c r="CK254" s="132"/>
    </row>
    <row r="255" spans="1:89" ht="15" customHeight="1">
      <c r="A255" s="106" t="s">
        <v>612</v>
      </c>
      <c r="B255" s="107">
        <f>4</f>
        <v>4</v>
      </c>
      <c r="C255" s="107">
        <v>0</v>
      </c>
      <c r="D255" s="107">
        <f>Tracker[[#This Row],[Estimated Hrs]]-Tracker[[#This Row],[Actual Efforts (Hrs)]]</f>
        <v>-4</v>
      </c>
      <c r="E255" s="108"/>
      <c r="F255" s="146" t="s">
        <v>867</v>
      </c>
      <c r="G255" s="146" t="s">
        <v>867</v>
      </c>
      <c r="H255" s="109">
        <v>19579019</v>
      </c>
      <c r="I255" s="127">
        <f>Tracker[[#This Row],[DCR ID - PTC]]</f>
        <v>19579019</v>
      </c>
      <c r="J255" s="107" t="s">
        <v>877</v>
      </c>
      <c r="K255" s="108" t="s">
        <v>101</v>
      </c>
      <c r="L255" s="108"/>
      <c r="M255" s="108"/>
      <c r="N255" s="108" t="s">
        <v>1151</v>
      </c>
      <c r="O255" s="111" t="s">
        <v>115</v>
      </c>
      <c r="P255" s="111"/>
      <c r="Q255" s="111"/>
      <c r="R255" s="111"/>
      <c r="S255" s="111"/>
      <c r="T255" s="111"/>
      <c r="U255" s="108"/>
      <c r="V255" s="108"/>
      <c r="W255" s="108"/>
      <c r="X255" s="107">
        <f t="shared" si="38"/>
        <v>40.4</v>
      </c>
      <c r="Y255" s="108"/>
      <c r="Z255" s="108"/>
      <c r="AA255" s="108"/>
      <c r="AB255" s="112"/>
      <c r="AC255" s="108"/>
      <c r="AD255" s="108"/>
      <c r="AE255" s="107"/>
      <c r="AF255" s="113"/>
      <c r="AG255" s="115"/>
      <c r="AH255" s="108"/>
      <c r="AI255" s="108"/>
      <c r="AJ255" s="114"/>
      <c r="AK255" s="108"/>
      <c r="AL255" s="115"/>
      <c r="AM255" s="116"/>
      <c r="AN255" s="116"/>
      <c r="AO255" s="116" t="str">
        <f>N257</f>
        <v>18-06:Done interface sheet changes and created branch-0.5hrs</v>
      </c>
      <c r="AP255" s="108"/>
      <c r="AQ255" s="107"/>
      <c r="AR255" s="107"/>
      <c r="AS255" s="116"/>
      <c r="AT255" s="114">
        <f>4+8+8+8+10+0.25+0.15+2</f>
        <v>40.4</v>
      </c>
      <c r="AU255" s="114"/>
      <c r="AV255" s="108"/>
      <c r="AW255" s="108"/>
      <c r="AX255" s="108"/>
      <c r="AY255" s="108"/>
      <c r="AZ255" s="108"/>
      <c r="BA255" s="108"/>
      <c r="BB255" s="108"/>
      <c r="BC255" s="108"/>
      <c r="BD255" s="111"/>
      <c r="BE255" s="117">
        <f t="shared" si="39"/>
        <v>40.4</v>
      </c>
      <c r="BF255" s="111"/>
      <c r="BG255" s="111"/>
      <c r="BH255" s="111"/>
      <c r="BI255" s="111"/>
      <c r="BJ255" s="111"/>
      <c r="BK255" s="111"/>
      <c r="BL255" s="111"/>
      <c r="BM255" s="117"/>
      <c r="BN255" s="111"/>
      <c r="BO255" s="117"/>
      <c r="BP255" s="117">
        <f t="shared" si="40"/>
        <v>40.4</v>
      </c>
      <c r="BQ255" s="117"/>
      <c r="BR255" s="111"/>
      <c r="BS255" s="118"/>
      <c r="BT255" s="111"/>
      <c r="BU255" s="118"/>
      <c r="BV255" s="111"/>
      <c r="BW255" s="111"/>
      <c r="BX255" s="111"/>
      <c r="BY255" s="111"/>
      <c r="BZ255" s="111"/>
      <c r="CA255" s="117">
        <f t="shared" si="41"/>
        <v>40.4</v>
      </c>
      <c r="CB255" s="119"/>
      <c r="CC255" s="117"/>
      <c r="CD255" s="132"/>
      <c r="CE255" s="132"/>
      <c r="CF255" s="132"/>
      <c r="CG255" s="111"/>
      <c r="CH255" s="132"/>
      <c r="CI255" s="132"/>
      <c r="CJ255" s="111"/>
      <c r="CK255" s="132"/>
    </row>
    <row r="256" spans="1:89" ht="15" customHeight="1">
      <c r="A256" s="416" t="s">
        <v>1142</v>
      </c>
      <c r="B256" s="107">
        <f>0.5</f>
        <v>0.5</v>
      </c>
      <c r="C256" s="107">
        <v>10</v>
      </c>
      <c r="D256" s="107">
        <f>Tracker[[#This Row],[Estimated Hrs]]-Tracker[[#This Row],[Actual Efforts (Hrs)]]</f>
        <v>9.5</v>
      </c>
      <c r="E256" s="108"/>
      <c r="F256" s="108"/>
      <c r="G256" s="121"/>
      <c r="H256" s="109">
        <v>19772668</v>
      </c>
      <c r="I256" s="127">
        <f>Tracker[[#This Row],[DCR ID - PTC]]</f>
        <v>19772668</v>
      </c>
      <c r="J256" s="108" t="s">
        <v>1152</v>
      </c>
      <c r="K256" s="108" t="s">
        <v>104</v>
      </c>
      <c r="L256" s="108"/>
      <c r="M256" s="108"/>
      <c r="N256" s="108" t="s">
        <v>1153</v>
      </c>
      <c r="O256" s="111" t="s">
        <v>106</v>
      </c>
      <c r="P256" s="111"/>
      <c r="Q256" s="111"/>
      <c r="R256" s="111"/>
      <c r="S256" s="111"/>
      <c r="T256" s="111"/>
      <c r="U256" s="108"/>
      <c r="V256" s="108"/>
      <c r="W256" s="108"/>
      <c r="X256" s="107">
        <f t="shared" si="38"/>
        <v>40.4</v>
      </c>
      <c r="Y256" s="108"/>
      <c r="Z256" s="108"/>
      <c r="AA256" s="108"/>
      <c r="AB256" s="112"/>
      <c r="AC256" s="108"/>
      <c r="AD256" s="108"/>
      <c r="AE256" s="107"/>
      <c r="AF256" s="113"/>
      <c r="AG256" s="115"/>
      <c r="AH256" s="108"/>
      <c r="AI256" s="108"/>
      <c r="AJ256" s="114"/>
      <c r="AK256" s="108"/>
      <c r="AL256" s="115"/>
      <c r="AM256" s="116"/>
      <c r="AN256" s="116"/>
      <c r="AO256" s="116" t="str">
        <f>N258</f>
        <v>25-06:Confirmed Yue regarding all the changes, I will share the MOM for the same.&amp; She only wants simulation result for eval so we can complete eval in 27hr &amp; and for implementation 30hr &amp; Yesterday checked for proposed Model if we are having any issue in MA, Polyspace, Codegen with latest toolbox(installed it on Lavanya's WS as in my system Polyspase toolbox is not available) we are not having any checks.(4.5hr) &amp; Discussion and support(3hr)
24-06:working on defect DCR, after doing complete analysis only we can proceed further as we did completed testing for this logic and now for DAF they are facing issue so need to check that and also need to do simulation testing.(4hr)
22-06:New Eval DCR, started with model analysis(4hrs)</v>
      </c>
      <c r="AP256" s="108"/>
      <c r="AQ256" s="107"/>
      <c r="AR256" s="107"/>
      <c r="AS256" s="116"/>
      <c r="AT256" s="114">
        <f>4+8+8+8+10+0.25+0.15+2</f>
        <v>40.4</v>
      </c>
      <c r="AU256" s="114"/>
      <c r="AV256" s="108"/>
      <c r="AW256" s="108"/>
      <c r="AX256" s="108"/>
      <c r="AY256" s="108"/>
      <c r="AZ256" s="108"/>
      <c r="BA256" s="108"/>
      <c r="BB256" s="108"/>
      <c r="BC256" s="108"/>
      <c r="BD256" s="111"/>
      <c r="BE256" s="117">
        <f t="shared" si="39"/>
        <v>40.4</v>
      </c>
      <c r="BF256" s="111"/>
      <c r="BG256" s="111"/>
      <c r="BH256" s="111"/>
      <c r="BI256" s="111"/>
      <c r="BJ256" s="111"/>
      <c r="BK256" s="111"/>
      <c r="BL256" s="111"/>
      <c r="BM256" s="117"/>
      <c r="BN256" s="111"/>
      <c r="BO256" s="117"/>
      <c r="BP256" s="117">
        <f t="shared" si="40"/>
        <v>40.4</v>
      </c>
      <c r="BQ256" s="117"/>
      <c r="BR256" s="111"/>
      <c r="BS256" s="118"/>
      <c r="BT256" s="111"/>
      <c r="BU256" s="118"/>
      <c r="BV256" s="111"/>
      <c r="BW256" s="111"/>
      <c r="BX256" s="111"/>
      <c r="BY256" s="111"/>
      <c r="BZ256" s="111"/>
      <c r="CA256" s="117">
        <f t="shared" si="41"/>
        <v>40.4</v>
      </c>
      <c r="CB256" s="119"/>
      <c r="CC256" s="117"/>
      <c r="CD256" s="132"/>
      <c r="CE256" s="132"/>
      <c r="CF256" s="132"/>
      <c r="CG256" s="111"/>
      <c r="CH256" s="132"/>
      <c r="CI256" s="132"/>
      <c r="CJ256" s="111"/>
      <c r="CK256" s="132"/>
    </row>
    <row r="257" spans="1:89" ht="15" customHeight="1">
      <c r="A257" s="106" t="s">
        <v>1142</v>
      </c>
      <c r="B257" s="107">
        <f>0.5</f>
        <v>0.5</v>
      </c>
      <c r="C257" s="107">
        <v>10</v>
      </c>
      <c r="D257" s="107">
        <f>Tracker[[#This Row],[Estimated Hrs]]-Tracker[[#This Row],[Actual Efforts (Hrs)]]</f>
        <v>9.5</v>
      </c>
      <c r="E257" s="108"/>
      <c r="F257" s="108"/>
      <c r="G257" s="121"/>
      <c r="H257" s="109">
        <v>19772668</v>
      </c>
      <c r="I257" s="127">
        <f>Tracker[[#This Row],[DCR ID - PTC]]</f>
        <v>19772668</v>
      </c>
      <c r="J257" s="108" t="s">
        <v>1152</v>
      </c>
      <c r="K257" s="108" t="s">
        <v>118</v>
      </c>
      <c r="L257" s="108"/>
      <c r="M257" s="108"/>
      <c r="N257" s="108" t="s">
        <v>1154</v>
      </c>
      <c r="O257" s="111" t="s">
        <v>115</v>
      </c>
      <c r="P257" s="111"/>
      <c r="Q257" s="111"/>
      <c r="R257" s="111"/>
      <c r="S257" s="111"/>
      <c r="T257" s="111"/>
      <c r="U257" s="108"/>
      <c r="V257" s="108"/>
      <c r="W257" s="108"/>
      <c r="X257" s="107">
        <f t="shared" si="38"/>
        <v>40.4</v>
      </c>
      <c r="Y257" s="108"/>
      <c r="Z257" s="108"/>
      <c r="AA257" s="108"/>
      <c r="AB257" s="112"/>
      <c r="AC257" s="108"/>
      <c r="AD257" s="108"/>
      <c r="AE257" s="107"/>
      <c r="AF257" s="113"/>
      <c r="AG257" s="115"/>
      <c r="AH257" s="108"/>
      <c r="AI257" s="108"/>
      <c r="AJ257" s="114"/>
      <c r="AK257" s="108"/>
      <c r="AL257" s="115"/>
      <c r="AM257" s="116"/>
      <c r="AN257" s="116"/>
      <c r="AO257" s="116">
        <f>N259</f>
        <v>0</v>
      </c>
      <c r="AP257" s="108"/>
      <c r="AQ257" s="107"/>
      <c r="AR257" s="107"/>
      <c r="AS257" s="116"/>
      <c r="AT257" s="114">
        <f>4+8+8+8+10+0.25+0.15+2</f>
        <v>40.4</v>
      </c>
      <c r="AU257" s="114"/>
      <c r="AV257" s="108"/>
      <c r="AW257" s="108"/>
      <c r="AX257" s="108"/>
      <c r="AY257" s="108"/>
      <c r="AZ257" s="108"/>
      <c r="BA257" s="108"/>
      <c r="BB257" s="108"/>
      <c r="BC257" s="108"/>
      <c r="BD257" s="111"/>
      <c r="BE257" s="117">
        <f t="shared" si="39"/>
        <v>40.4</v>
      </c>
      <c r="BF257" s="111"/>
      <c r="BG257" s="111"/>
      <c r="BH257" s="111"/>
      <c r="BI257" s="111"/>
      <c r="BJ257" s="111"/>
      <c r="BK257" s="111"/>
      <c r="BL257" s="111"/>
      <c r="BM257" s="117"/>
      <c r="BN257" s="111"/>
      <c r="BO257" s="117"/>
      <c r="BP257" s="117">
        <f t="shared" si="40"/>
        <v>40.4</v>
      </c>
      <c r="BQ257" s="117"/>
      <c r="BR257" s="111"/>
      <c r="BS257" s="118"/>
      <c r="BT257" s="111"/>
      <c r="BU257" s="118"/>
      <c r="BV257" s="111"/>
      <c r="BW257" s="111"/>
      <c r="BX257" s="111"/>
      <c r="BY257" s="111"/>
      <c r="BZ257" s="111"/>
      <c r="CA257" s="117">
        <f t="shared" si="41"/>
        <v>40.4</v>
      </c>
      <c r="CB257" s="119"/>
      <c r="CC257" s="117"/>
      <c r="CD257" s="132"/>
      <c r="CE257" s="132"/>
      <c r="CF257" s="132"/>
      <c r="CG257" s="111"/>
      <c r="CH257" s="132"/>
      <c r="CI257" s="132"/>
      <c r="CJ257" s="111"/>
      <c r="CK257" s="132"/>
    </row>
    <row r="258" spans="1:89" ht="305.25">
      <c r="A258" s="106" t="s">
        <v>1104</v>
      </c>
      <c r="B258" s="107">
        <f>4+4+4.5</f>
        <v>12.5</v>
      </c>
      <c r="C258" s="107">
        <v>45</v>
      </c>
      <c r="D258" s="107">
        <f>Tracker[[#This Row],[Estimated Hrs]]-Tracker[[#This Row],[Actual Efforts (Hrs)]]</f>
        <v>32.5</v>
      </c>
      <c r="E258" s="108"/>
      <c r="F258" s="108"/>
      <c r="G258" s="121"/>
      <c r="H258" s="109">
        <v>20132126</v>
      </c>
      <c r="I258" s="127">
        <f>Tracker[[#This Row],[DCR ID - PTC]]</f>
        <v>20132126</v>
      </c>
      <c r="J258" s="108" t="s">
        <v>1155</v>
      </c>
      <c r="K258" s="108" t="s">
        <v>104</v>
      </c>
      <c r="L258" s="108"/>
      <c r="M258" s="108"/>
      <c r="N258" s="108" t="s">
        <v>1156</v>
      </c>
      <c r="O258" s="108" t="s">
        <v>115</v>
      </c>
      <c r="P258" s="111"/>
      <c r="Q258" s="111"/>
      <c r="R258" s="111"/>
      <c r="S258" s="111"/>
      <c r="T258" s="111"/>
      <c r="U258" s="108"/>
      <c r="V258" s="108"/>
      <c r="W258" s="108"/>
      <c r="X258" s="107">
        <f t="shared" si="38"/>
        <v>40.4</v>
      </c>
      <c r="Y258" s="108"/>
      <c r="Z258" s="108"/>
      <c r="AA258" s="108"/>
      <c r="AB258" s="112"/>
      <c r="AC258" s="108"/>
      <c r="AD258" s="108"/>
      <c r="AE258" s="107"/>
      <c r="AF258" s="113"/>
      <c r="AG258" s="115"/>
      <c r="AH258" s="108"/>
      <c r="AI258" s="108"/>
      <c r="AJ258" s="114"/>
      <c r="AK258" s="108"/>
      <c r="AL258" s="115"/>
      <c r="AM258" s="116"/>
      <c r="AN258" s="116"/>
      <c r="AO258" s="116">
        <f>N260</f>
        <v>0</v>
      </c>
      <c r="AP258" s="108"/>
      <c r="AQ258" s="107"/>
      <c r="AR258" s="107"/>
      <c r="AS258" s="116"/>
      <c r="AT258" s="114">
        <f>4+8+8+8+10+0.25+0.15+2</f>
        <v>40.4</v>
      </c>
      <c r="AU258" s="114"/>
      <c r="AV258" s="108"/>
      <c r="AW258" s="108"/>
      <c r="AX258" s="108"/>
      <c r="AY258" s="108"/>
      <c r="AZ258" s="108"/>
      <c r="BA258" s="108"/>
      <c r="BB258" s="108"/>
      <c r="BC258" s="108"/>
      <c r="BD258" s="111"/>
      <c r="BE258" s="117">
        <f t="shared" si="39"/>
        <v>40.4</v>
      </c>
      <c r="BF258" s="111"/>
      <c r="BG258" s="111"/>
      <c r="BH258" s="111"/>
      <c r="BI258" s="111"/>
      <c r="BJ258" s="111"/>
      <c r="BK258" s="111"/>
      <c r="BL258" s="111"/>
      <c r="BM258" s="117"/>
      <c r="BN258" s="111"/>
      <c r="BO258" s="117"/>
      <c r="BP258" s="117">
        <f t="shared" si="40"/>
        <v>40.4</v>
      </c>
      <c r="BQ258" s="117"/>
      <c r="BR258" s="111"/>
      <c r="BS258" s="118"/>
      <c r="BT258" s="111"/>
      <c r="BU258" s="118"/>
      <c r="BV258" s="111"/>
      <c r="BW258" s="111"/>
      <c r="BX258" s="111"/>
      <c r="BY258" s="111"/>
      <c r="BZ258" s="111"/>
      <c r="CA258" s="117">
        <f t="shared" si="41"/>
        <v>40.4</v>
      </c>
      <c r="CB258" s="598"/>
      <c r="CC258" s="107"/>
      <c r="CD258" s="131"/>
      <c r="CE258" s="131"/>
      <c r="CF258" s="131"/>
      <c r="CG258" s="108"/>
      <c r="CH258" s="131"/>
      <c r="CI258" s="131"/>
      <c r="CJ258" s="108"/>
      <c r="CK258" s="131"/>
    </row>
    <row r="259" spans="1:89" ht="29.1">
      <c r="A259" s="106" t="s">
        <v>1104</v>
      </c>
      <c r="B259" s="107"/>
      <c r="C259" s="107">
        <v>0</v>
      </c>
      <c r="D259" s="107">
        <f>Tracker[[#This Row],[Estimated Hrs]]-Tracker[[#This Row],[Actual Efforts (Hrs)]]</f>
        <v>0</v>
      </c>
      <c r="E259" s="108"/>
      <c r="F259" s="108"/>
      <c r="G259" s="121"/>
      <c r="H259" s="109">
        <v>20132126</v>
      </c>
      <c r="I259" s="127">
        <f>Tracker[[#This Row],[DCR ID - PTC]]</f>
        <v>20132126</v>
      </c>
      <c r="J259" s="108" t="s">
        <v>1155</v>
      </c>
      <c r="K259" s="108" t="s">
        <v>118</v>
      </c>
      <c r="L259" s="108"/>
      <c r="M259" s="108"/>
      <c r="N259" s="108"/>
      <c r="O259" s="111" t="s">
        <v>122</v>
      </c>
      <c r="P259" s="111"/>
      <c r="Q259" s="111"/>
      <c r="R259" s="111"/>
      <c r="S259" s="111"/>
      <c r="T259" s="111"/>
      <c r="U259" s="108"/>
      <c r="V259" s="108"/>
      <c r="W259" s="108"/>
      <c r="X259" s="107">
        <f t="shared" si="38"/>
        <v>40.4</v>
      </c>
      <c r="Y259" s="108"/>
      <c r="Z259" s="108"/>
      <c r="AA259" s="108"/>
      <c r="AB259" s="112"/>
      <c r="AC259" s="108"/>
      <c r="AD259" s="108"/>
      <c r="AE259" s="107"/>
      <c r="AF259" s="113"/>
      <c r="AG259" s="115"/>
      <c r="AH259" s="108"/>
      <c r="AI259" s="108"/>
      <c r="AJ259" s="114"/>
      <c r="AK259" s="108"/>
      <c r="AL259" s="115"/>
      <c r="AM259" s="116"/>
      <c r="AN259" s="116"/>
      <c r="AO259" s="116">
        <f>N261</f>
        <v>0</v>
      </c>
      <c r="AP259" s="108"/>
      <c r="AQ259" s="107"/>
      <c r="AR259" s="107"/>
      <c r="AS259" s="116"/>
      <c r="AT259" s="114">
        <f>4+8+8+8+10+0.25+0.15+2</f>
        <v>40.4</v>
      </c>
      <c r="AU259" s="114"/>
      <c r="AV259" s="108"/>
      <c r="AW259" s="108"/>
      <c r="AX259" s="108"/>
      <c r="AY259" s="108"/>
      <c r="AZ259" s="108"/>
      <c r="BA259" s="108"/>
      <c r="BB259" s="108"/>
      <c r="BC259" s="108"/>
      <c r="BD259" s="111"/>
      <c r="BE259" s="117">
        <f t="shared" si="39"/>
        <v>40.4</v>
      </c>
      <c r="BF259" s="111"/>
      <c r="BG259" s="111"/>
      <c r="BH259" s="111"/>
      <c r="BI259" s="111"/>
      <c r="BJ259" s="111"/>
      <c r="BK259" s="111"/>
      <c r="BL259" s="111"/>
      <c r="BM259" s="117"/>
      <c r="BN259" s="111"/>
      <c r="BO259" s="117"/>
      <c r="BP259" s="117">
        <f t="shared" si="40"/>
        <v>40.4</v>
      </c>
      <c r="BQ259" s="117"/>
      <c r="BR259" s="111"/>
      <c r="BS259" s="118"/>
      <c r="BT259" s="111"/>
      <c r="BU259" s="118"/>
      <c r="BV259" s="111"/>
      <c r="BW259" s="111"/>
      <c r="BX259" s="111"/>
      <c r="BY259" s="111"/>
      <c r="BZ259" s="111"/>
      <c r="CA259" s="117">
        <f t="shared" si="41"/>
        <v>40.4</v>
      </c>
      <c r="CB259" s="119"/>
      <c r="CC259" s="117"/>
      <c r="CD259" s="132"/>
      <c r="CE259" s="132"/>
      <c r="CF259" s="132"/>
      <c r="CG259" s="111"/>
      <c r="CH259" s="132"/>
      <c r="CI259" s="132"/>
      <c r="CJ259" s="111"/>
      <c r="CK259" s="132"/>
    </row>
  </sheetData>
  <phoneticPr fontId="48" type="noConversion"/>
  <conditionalFormatting sqref="P36:T36 O104 AD104 BH104 BW104 CJ104 O92 P32:T34 O28:O37 O93:T103 O38:T91 O2:T27 O105:T223 O225:T1048576">
    <cfRule type="cellIs" dxfId="888" priority="4143" operator="equal">
      <formula>"At Risk"</formula>
    </cfRule>
    <cfRule type="cellIs" dxfId="887" priority="4144" operator="equal">
      <formula>"On Hold"</formula>
    </cfRule>
    <cfRule type="cellIs" dxfId="886" priority="4145" operator="equal">
      <formula>"On Track"</formula>
    </cfRule>
  </conditionalFormatting>
  <conditionalFormatting sqref="P36:T36 O104 AD104 BH104 BW104 CJ104 O92 P32:T34 O28:O37 O93:T103 O38:T91 O2:T27 O105:T223 O225:T1048576">
    <cfRule type="containsText" dxfId="885" priority="4142" operator="containsText" text="Next Sprint">
      <formula>NOT(ISERROR(SEARCH("Next Sprint",O2)))</formula>
    </cfRule>
  </conditionalFormatting>
  <conditionalFormatting sqref="I1">
    <cfRule type="duplicateValues" dxfId="884" priority="4138"/>
  </conditionalFormatting>
  <conditionalFormatting sqref="H1">
    <cfRule type="duplicateValues" dxfId="883" priority="4139"/>
  </conditionalFormatting>
  <conditionalFormatting sqref="H1">
    <cfRule type="duplicateValues" dxfId="882" priority="4140"/>
    <cfRule type="duplicateValues" dxfId="881" priority="4141"/>
  </conditionalFormatting>
  <conditionalFormatting sqref="H19">
    <cfRule type="expression" dxfId="880" priority="1399" stopIfTrue="1">
      <formula>AND(COUNTIF(#REF!, H19)+COUNTIF(#REF!, H19)&gt;1,NOT(ISBLANK(H19)))</formula>
    </cfRule>
  </conditionalFormatting>
  <conditionalFormatting sqref="H19">
    <cfRule type="duplicateValues" dxfId="879" priority="1400" stopIfTrue="1"/>
  </conditionalFormatting>
  <conditionalFormatting sqref="J29">
    <cfRule type="duplicateValues" dxfId="878" priority="1218" stopIfTrue="1"/>
  </conditionalFormatting>
  <conditionalFormatting sqref="H29">
    <cfRule type="duplicateValues" dxfId="877" priority="1217"/>
  </conditionalFormatting>
  <conditionalFormatting sqref="G29">
    <cfRule type="duplicateValues" dxfId="876" priority="1219" stopIfTrue="1"/>
    <cfRule type="duplicateValues" dxfId="875" priority="1220" stopIfTrue="1"/>
    <cfRule type="duplicateValues" dxfId="874" priority="1221" stopIfTrue="1"/>
  </conditionalFormatting>
  <conditionalFormatting sqref="G29">
    <cfRule type="duplicateValues" dxfId="873" priority="1222"/>
  </conditionalFormatting>
  <conditionalFormatting sqref="I2:I122">
    <cfRule type="duplicateValues" dxfId="872" priority="1143"/>
  </conditionalFormatting>
  <conditionalFormatting sqref="I2:I122">
    <cfRule type="duplicateValues" dxfId="871" priority="1144"/>
    <cfRule type="duplicateValues" dxfId="870" priority="1145"/>
  </conditionalFormatting>
  <conditionalFormatting sqref="G35">
    <cfRule type="duplicateValues" dxfId="869" priority="1117" stopIfTrue="1"/>
    <cfRule type="duplicateValues" dxfId="868" priority="1118" stopIfTrue="1"/>
    <cfRule type="duplicateValues" dxfId="867" priority="1119" stopIfTrue="1"/>
  </conditionalFormatting>
  <conditionalFormatting sqref="G35">
    <cfRule type="duplicateValues" dxfId="866" priority="1120"/>
  </conditionalFormatting>
  <conditionalFormatting sqref="G30">
    <cfRule type="duplicateValues" dxfId="865" priority="844"/>
  </conditionalFormatting>
  <conditionalFormatting sqref="G16">
    <cfRule type="duplicateValues" dxfId="864" priority="653"/>
  </conditionalFormatting>
  <conditionalFormatting sqref="G16">
    <cfRule type="duplicateValues" dxfId="863" priority="654" stopIfTrue="1"/>
    <cfRule type="duplicateValues" dxfId="862" priority="655" stopIfTrue="1"/>
    <cfRule type="duplicateValues" dxfId="861" priority="656" stopIfTrue="1"/>
  </conditionalFormatting>
  <conditionalFormatting sqref="G16">
    <cfRule type="duplicateValues" dxfId="860" priority="657"/>
  </conditionalFormatting>
  <conditionalFormatting sqref="G38">
    <cfRule type="duplicateValues" dxfId="859" priority="476"/>
  </conditionalFormatting>
  <conditionalFormatting sqref="G38">
    <cfRule type="duplicateValues" dxfId="858" priority="480" stopIfTrue="1"/>
    <cfRule type="duplicateValues" dxfId="857" priority="481" stopIfTrue="1"/>
    <cfRule type="duplicateValues" dxfId="856" priority="482" stopIfTrue="1"/>
  </conditionalFormatting>
  <conditionalFormatting sqref="G38">
    <cfRule type="duplicateValues" dxfId="855" priority="483"/>
  </conditionalFormatting>
  <conditionalFormatting sqref="G37">
    <cfRule type="duplicateValues" dxfId="854" priority="24613" stopIfTrue="1"/>
    <cfRule type="duplicateValues" dxfId="853" priority="24614" stopIfTrue="1"/>
    <cfRule type="duplicateValues" dxfId="852" priority="24615" stopIfTrue="1"/>
  </conditionalFormatting>
  <conditionalFormatting sqref="G37">
    <cfRule type="duplicateValues" dxfId="851" priority="24616"/>
  </conditionalFormatting>
  <conditionalFormatting sqref="G26:G27 G7 G14 G24 G3 G18 G20:G21">
    <cfRule type="duplicateValues" dxfId="850" priority="28658" stopIfTrue="1"/>
    <cfRule type="duplicateValues" dxfId="849" priority="28659" stopIfTrue="1"/>
    <cfRule type="duplicateValues" dxfId="848" priority="28660" stopIfTrue="1"/>
  </conditionalFormatting>
  <conditionalFormatting sqref="G26:G27 G7 G14 G24 G3 G18 G20:G21">
    <cfRule type="duplicateValues" dxfId="847" priority="28703"/>
  </conditionalFormatting>
  <conditionalFormatting sqref="J23">
    <cfRule type="duplicateValues" dxfId="846" priority="29447" stopIfTrue="1"/>
  </conditionalFormatting>
  <conditionalFormatting sqref="H23">
    <cfRule type="duplicateValues" dxfId="845" priority="29448"/>
  </conditionalFormatting>
  <conditionalFormatting sqref="G59 G49 G39:G43">
    <cfRule type="duplicateValues" dxfId="844" priority="31702"/>
  </conditionalFormatting>
  <conditionalFormatting sqref="G59 G49 G39:G43">
    <cfRule type="duplicateValues" dxfId="843" priority="31714" stopIfTrue="1"/>
    <cfRule type="duplicateValues" dxfId="842" priority="31715" stopIfTrue="1"/>
    <cfRule type="duplicateValues" dxfId="841" priority="31716" stopIfTrue="1"/>
  </conditionalFormatting>
  <conditionalFormatting sqref="G93">
    <cfRule type="duplicateValues" dxfId="840" priority="381" stopIfTrue="1"/>
    <cfRule type="duplicateValues" dxfId="839" priority="382" stopIfTrue="1"/>
    <cfRule type="duplicateValues" dxfId="838" priority="383" stopIfTrue="1"/>
  </conditionalFormatting>
  <conditionalFormatting sqref="G93">
    <cfRule type="duplicateValues" dxfId="837" priority="384"/>
  </conditionalFormatting>
  <conditionalFormatting sqref="J101:J102">
    <cfRule type="duplicateValues" dxfId="836" priority="36269"/>
    <cfRule type="duplicateValues" dxfId="835" priority="36270"/>
    <cfRule type="duplicateValues" dxfId="834" priority="36271"/>
  </conditionalFormatting>
  <conditionalFormatting sqref="J101:J102">
    <cfRule type="duplicateValues" dxfId="833" priority="36272"/>
    <cfRule type="duplicateValues" dxfId="832" priority="36273"/>
    <cfRule type="duplicateValues" dxfId="831" priority="36274"/>
    <cfRule type="duplicateValues" dxfId="830" priority="36275"/>
  </conditionalFormatting>
  <conditionalFormatting sqref="H218 H209:H210 H138 H1:H105 H117 H142:H151 H153:H177 H183:H189 H193:H196 H199 H203:H206 H214:H216 H220:H223 H225:H228 H230:H239 H241:H242 H245 H247 H250:H255 H258:H1048576">
    <cfRule type="duplicateValues" dxfId="829" priority="300"/>
  </conditionalFormatting>
  <conditionalFormatting sqref="G14">
    <cfRule type="duplicateValues" dxfId="828" priority="37498"/>
  </conditionalFormatting>
  <conditionalFormatting sqref="G218:H218 G207:G208 G141 H138 G117:H117 V104:W104 G93 G31:H31 G35:H35 G37:H37 G26:H27 G24 G29 G32 G7:H7 H8:H9 G1:H1 H33:H34 H55:H59 G90 G91:H92 AK104:AL104 AZ104:BA104 BO104:BP104 G94:H97 H104 H25 G60:H71 G83:H83 G82 G98:G103 G105:G110 G118:G137 H22 G112:G116 G3:H3 H2 H80 H84:H89 G18:H18 H11:H17 G20:H21 G73:H79 H72 G142:H142 H143:H144 G145:H145 H146 G147:H148 G149 G150:H151 G152 H153 G154:H155 H156 G157:H157 H158 G159:H159 H160 G161:H177 G178:G182 G183:H189 G190:G192 G193:H196 G197:G198 G199:H199 G200:G202 G203:H206 G209:H210 G211:G213 G214:H216 G217 G220:H223 G219 G224 R224 AC224 AN224 BJ224 BU224 CF224 G225:H228 G229 G230:H239 G240 H4:H6 G241:H242 G245:H245 G243:G244 G246 G247:H247 G248:G249 G250:H254 H255 G256:G257 G258:H1048576">
    <cfRule type="duplicateValues" dxfId="827" priority="38555"/>
  </conditionalFormatting>
  <conditionalFormatting sqref="H218 H209:H210 H138 H117 W104 H25:H27 H20:H23 H2:H9 H29 H11:H18 H31:H35 H37 H91:H92 AL104 BA104 BP104 H94:H97 H104 H55:H80 H83:H89 H142:H148 H150:H151 H153:H177 H183:H189 H193:H196 H199 H203:H206 H214:H216 H220:H223 H225:H228 H230:H239 H241:H242 H245 H247 H250:H255 H258:H1048576">
    <cfRule type="duplicateValues" dxfId="826" priority="38604"/>
  </conditionalFormatting>
  <conditionalFormatting sqref="H218 H209:H210 H138 H117 W104 H25:H27 H20:H23 H2:H9 H29 H11:H18 H31:H35 H37 H91:H92 AL104 BA104 BP104 H94:H97 H104 H55:H80 H83:H89 H142:H148 H150:H151 H153:H177 H183:H189 H193:H196 H199 H203:H206 H214:H216 H220:H223 H225:H228 H230:H239 H241:H242 H245 H247 H250:H255 H258:H1048576">
    <cfRule type="duplicateValues" dxfId="825" priority="38628"/>
    <cfRule type="duplicateValues" dxfId="824" priority="38629"/>
  </conditionalFormatting>
  <conditionalFormatting sqref="H218 H209:H210 H138 H117 W104 H25:H27 H20:H23 H1:H9 H29 H11:H18 H31:H35 H37 H91:H92 AL104 BA104 BP104 H94:H97 H104 H55:H80 H83:H89 H142:H148 H150:H151 H153:H177 H183:H189 H193:H196 H199 H203:H206 H214:H216 H220:H223 H225:H228 H230:H239 H241:H242 H245 H247 H250:H255 H258:H1048576">
    <cfRule type="duplicateValues" dxfId="823" priority="38676"/>
    <cfRule type="duplicateValues" dxfId="822" priority="38677"/>
  </conditionalFormatting>
  <conditionalFormatting sqref="H218 H209:H210 H138 H117 W104 H25:H27 H20:H23 H1:H9 H29 H11:H18 H31:H35 H37 H91:H92 AL104 BA104 BP104 H94:H97 H104 H55:H80 H83:H89 H142:H148 H150:H151 H153:H177 H183:H189 H193:H196 H199 H203:H206 H214:H216 H220:H223 H225:H228 H230:H239 H241:H242 H245 H247 H250:H255 H258:H1048576">
    <cfRule type="duplicateValues" dxfId="821" priority="38724"/>
  </conditionalFormatting>
  <conditionalFormatting sqref="G136:G137">
    <cfRule type="duplicateValues" dxfId="820" priority="255" stopIfTrue="1"/>
    <cfRule type="duplicateValues" dxfId="819" priority="256" stopIfTrue="1"/>
    <cfRule type="duplicateValues" dxfId="818" priority="257" stopIfTrue="1"/>
  </conditionalFormatting>
  <conditionalFormatting sqref="G136:G137">
    <cfRule type="duplicateValues" dxfId="817" priority="258"/>
  </conditionalFormatting>
  <conditionalFormatting sqref="H136:H137">
    <cfRule type="duplicateValues" dxfId="816" priority="246"/>
  </conditionalFormatting>
  <conditionalFormatting sqref="H136:H137">
    <cfRule type="duplicateValues" dxfId="815" priority="247"/>
    <cfRule type="duplicateValues" dxfId="814" priority="248"/>
  </conditionalFormatting>
  <conditionalFormatting sqref="G139">
    <cfRule type="duplicateValues" dxfId="813" priority="237"/>
  </conditionalFormatting>
  <conditionalFormatting sqref="G139">
    <cfRule type="duplicateValues" dxfId="812" priority="243" stopIfTrue="1"/>
    <cfRule type="duplicateValues" dxfId="811" priority="244" stopIfTrue="1"/>
    <cfRule type="duplicateValues" dxfId="810" priority="245" stopIfTrue="1"/>
  </conditionalFormatting>
  <conditionalFormatting sqref="G31">
    <cfRule type="duplicateValues" dxfId="809" priority="41039" stopIfTrue="1"/>
    <cfRule type="duplicateValues" dxfId="808" priority="41040" stopIfTrue="1"/>
    <cfRule type="duplicateValues" dxfId="807" priority="41041" stopIfTrue="1"/>
  </conditionalFormatting>
  <conditionalFormatting sqref="G31">
    <cfRule type="duplicateValues" dxfId="806" priority="41042"/>
  </conditionalFormatting>
  <conditionalFormatting sqref="H32">
    <cfRule type="duplicateValues" dxfId="805" priority="41290"/>
  </conditionalFormatting>
  <conditionalFormatting sqref="G32 G30">
    <cfRule type="duplicateValues" dxfId="804" priority="41291" stopIfTrue="1"/>
    <cfRule type="duplicateValues" dxfId="803" priority="41292" stopIfTrue="1"/>
    <cfRule type="duplicateValues" dxfId="802" priority="41293" stopIfTrue="1"/>
  </conditionalFormatting>
  <conditionalFormatting sqref="G32 G30">
    <cfRule type="duplicateValues" dxfId="801" priority="41297"/>
  </conditionalFormatting>
  <conditionalFormatting sqref="H38 J38:M38">
    <cfRule type="duplicateValues" dxfId="800" priority="41584"/>
    <cfRule type="duplicateValues" dxfId="799" priority="41585"/>
  </conditionalFormatting>
  <conditionalFormatting sqref="H38 J38:M38">
    <cfRule type="duplicateValues" dxfId="798" priority="41588"/>
    <cfRule type="duplicateValues" dxfId="797" priority="41589"/>
    <cfRule type="duplicateValues" dxfId="796" priority="41590"/>
  </conditionalFormatting>
  <conditionalFormatting sqref="H141">
    <cfRule type="duplicateValues" dxfId="795" priority="91"/>
  </conditionalFormatting>
  <conditionalFormatting sqref="H141">
    <cfRule type="duplicateValues" dxfId="794" priority="92"/>
  </conditionalFormatting>
  <conditionalFormatting sqref="H141">
    <cfRule type="duplicateValues" dxfId="793" priority="94"/>
  </conditionalFormatting>
  <conditionalFormatting sqref="H141">
    <cfRule type="duplicateValues" dxfId="792" priority="93"/>
  </conditionalFormatting>
  <conditionalFormatting sqref="J45:J54">
    <cfRule type="duplicateValues" dxfId="791" priority="53950"/>
  </conditionalFormatting>
  <conditionalFormatting sqref="G140">
    <cfRule type="duplicateValues" dxfId="790" priority="55948"/>
  </conditionalFormatting>
  <conditionalFormatting sqref="G140">
    <cfRule type="duplicateValues" dxfId="789" priority="55949" stopIfTrue="1"/>
    <cfRule type="duplicateValues" dxfId="788" priority="55950" stopIfTrue="1"/>
    <cfRule type="duplicateValues" dxfId="787" priority="55951" stopIfTrue="1"/>
  </conditionalFormatting>
  <conditionalFormatting sqref="H152">
    <cfRule type="duplicateValues" dxfId="786" priority="56"/>
  </conditionalFormatting>
  <conditionalFormatting sqref="H152">
    <cfRule type="duplicateValues" dxfId="785" priority="57"/>
  </conditionalFormatting>
  <conditionalFormatting sqref="H152">
    <cfRule type="duplicateValues" dxfId="784" priority="59"/>
  </conditionalFormatting>
  <conditionalFormatting sqref="H152">
    <cfRule type="duplicateValues" dxfId="783" priority="58"/>
  </conditionalFormatting>
  <conditionalFormatting sqref="G177">
    <cfRule type="duplicateValues" dxfId="782" priority="45" stopIfTrue="1"/>
    <cfRule type="duplicateValues" dxfId="781" priority="46" stopIfTrue="1"/>
    <cfRule type="duplicateValues" dxfId="780" priority="47" stopIfTrue="1"/>
  </conditionalFormatting>
  <conditionalFormatting sqref="G177">
    <cfRule type="duplicateValues" dxfId="779" priority="48"/>
  </conditionalFormatting>
  <conditionalFormatting sqref="I203">
    <cfRule type="duplicateValues" dxfId="778" priority="34"/>
  </conditionalFormatting>
  <conditionalFormatting sqref="I203">
    <cfRule type="duplicateValues" dxfId="777" priority="35"/>
  </conditionalFormatting>
  <conditionalFormatting sqref="I203">
    <cfRule type="duplicateValues" dxfId="776" priority="36"/>
  </conditionalFormatting>
  <conditionalFormatting sqref="I203">
    <cfRule type="duplicateValues" dxfId="775" priority="37"/>
    <cfRule type="duplicateValues" dxfId="774" priority="38"/>
  </conditionalFormatting>
  <conditionalFormatting sqref="I203">
    <cfRule type="duplicateValues" dxfId="773" priority="39"/>
    <cfRule type="duplicateValues" dxfId="772" priority="40"/>
  </conditionalFormatting>
  <conditionalFormatting sqref="I203">
    <cfRule type="duplicateValues" dxfId="771" priority="41"/>
  </conditionalFormatting>
  <conditionalFormatting sqref="I186">
    <cfRule type="duplicateValues" dxfId="770" priority="26"/>
  </conditionalFormatting>
  <conditionalFormatting sqref="I186">
    <cfRule type="duplicateValues" dxfId="769" priority="27"/>
  </conditionalFormatting>
  <conditionalFormatting sqref="I186">
    <cfRule type="duplicateValues" dxfId="768" priority="28"/>
  </conditionalFormatting>
  <conditionalFormatting sqref="I186">
    <cfRule type="duplicateValues" dxfId="767" priority="29"/>
    <cfRule type="duplicateValues" dxfId="766" priority="30"/>
  </conditionalFormatting>
  <conditionalFormatting sqref="I186">
    <cfRule type="duplicateValues" dxfId="765" priority="31"/>
    <cfRule type="duplicateValues" dxfId="764" priority="32"/>
  </conditionalFormatting>
  <conditionalFormatting sqref="I186">
    <cfRule type="duplicateValues" dxfId="763" priority="33"/>
  </conditionalFormatting>
  <conditionalFormatting sqref="I207:I208">
    <cfRule type="duplicateValues" dxfId="762" priority="21"/>
  </conditionalFormatting>
  <conditionalFormatting sqref="I207:I208">
    <cfRule type="duplicateValues" dxfId="761" priority="22"/>
  </conditionalFormatting>
  <conditionalFormatting sqref="I207:I208">
    <cfRule type="duplicateValues" dxfId="760" priority="24"/>
  </conditionalFormatting>
  <conditionalFormatting sqref="I207:I208">
    <cfRule type="duplicateValues" dxfId="759" priority="25"/>
  </conditionalFormatting>
  <conditionalFormatting sqref="I207:I208">
    <cfRule type="duplicateValues" dxfId="758" priority="23"/>
  </conditionalFormatting>
  <conditionalFormatting sqref="H207:H208">
    <cfRule type="duplicateValues" dxfId="757" priority="16"/>
  </conditionalFormatting>
  <conditionalFormatting sqref="H207:H208">
    <cfRule type="duplicateValues" dxfId="756" priority="17"/>
  </conditionalFormatting>
  <conditionalFormatting sqref="H207:H208">
    <cfRule type="duplicateValues" dxfId="755" priority="19"/>
  </conditionalFormatting>
  <conditionalFormatting sqref="H207:H208">
    <cfRule type="duplicateValues" dxfId="754" priority="20"/>
  </conditionalFormatting>
  <conditionalFormatting sqref="H207:H208">
    <cfRule type="duplicateValues" dxfId="753" priority="18"/>
  </conditionalFormatting>
  <conditionalFormatting sqref="J40:J44">
    <cfRule type="duplicateValues" dxfId="752" priority="59250"/>
  </conditionalFormatting>
  <conditionalFormatting sqref="H39:H54">
    <cfRule type="duplicateValues" dxfId="751" priority="59251"/>
    <cfRule type="duplicateValues" dxfId="750" priority="59252"/>
  </conditionalFormatting>
  <conditionalFormatting sqref="H39:H54">
    <cfRule type="duplicateValues" dxfId="749" priority="59255"/>
    <cfRule type="duplicateValues" dxfId="748" priority="59256"/>
    <cfRule type="duplicateValues" dxfId="747" priority="59257"/>
  </conditionalFormatting>
  <conditionalFormatting sqref="O224">
    <cfRule type="cellIs" dxfId="746" priority="13" operator="equal">
      <formula>"At Risk"</formula>
    </cfRule>
    <cfRule type="cellIs" dxfId="745" priority="14" operator="equal">
      <formula>"On Hold"</formula>
    </cfRule>
    <cfRule type="cellIs" dxfId="744" priority="15" operator="equal">
      <formula>"On Track"</formula>
    </cfRule>
  </conditionalFormatting>
  <conditionalFormatting sqref="O224">
    <cfRule type="containsText" dxfId="743" priority="12" operator="containsText" text="Next Sprint">
      <formula>NOT(ISERROR(SEARCH("Next Sprint",O224)))</formula>
    </cfRule>
  </conditionalFormatting>
  <conditionalFormatting sqref="H229">
    <cfRule type="duplicateValues" dxfId="742" priority="4"/>
  </conditionalFormatting>
  <conditionalFormatting sqref="H229">
    <cfRule type="duplicateValues" dxfId="741" priority="5"/>
  </conditionalFormatting>
  <conditionalFormatting sqref="H229">
    <cfRule type="duplicateValues" dxfId="740" priority="6"/>
  </conditionalFormatting>
  <conditionalFormatting sqref="H229">
    <cfRule type="duplicateValues" dxfId="739" priority="7"/>
    <cfRule type="duplicateValues" dxfId="738" priority="8"/>
  </conditionalFormatting>
  <conditionalFormatting sqref="H229">
    <cfRule type="duplicateValues" dxfId="737" priority="9"/>
    <cfRule type="duplicateValues" dxfId="736" priority="10"/>
  </conditionalFormatting>
  <conditionalFormatting sqref="H229">
    <cfRule type="duplicateValues" dxfId="735" priority="11"/>
  </conditionalFormatting>
  <conditionalFormatting sqref="J29 J23">
    <cfRule type="expression" dxfId="734" priority="61405" stopIfTrue="1">
      <formula>AND(COUNTIF($B$1:$B$10, J23)+COUNTIF($B$15:$B$64810, J23)&gt;1,NOT(ISBLANK(J23)))</formula>
    </cfRule>
  </conditionalFormatting>
  <dataValidations count="2">
    <dataValidation type="list" allowBlank="1" showInputMessage="1" showErrorMessage="1" sqref="O93:T93 P94:T94 O95:T95 AD104 BH104 BW104 CJ104 P32:T34 P36:T36 P97:T103 P38:T91 O1:O94 P2:T27 P105:T223 O96:O224 O225:T1048576" xr:uid="{39B926A9-3BA6-421C-A6F7-92423FE76728}">
      <formula1>"On Track, At Risk,On Hold,Yet to start,Rejected,next Sprint, Closed, Awaited L2 review,Awaited DRB Review,Software Checked In,Cancelled, To Be Retagged, May Miss Deadline, On Time Delivery Missed, Transferred to COL Team, Deferred, Transferred to S/W team"</formula1>
    </dataValidation>
    <dataValidation type="list" allowBlank="1" showInputMessage="1" showErrorMessage="1" sqref="Z104 BD104 BS104 V224 CJ224 AR224 BC224 BN224 BY224 K2:K1048576" xr:uid="{9A477DCA-148D-4C8B-BCD8-673DA77DC2EB}">
      <formula1>"Implement, Evaluate,Implement_NA,Evaluate_NA,Verify,Task,Task_NA"</formula1>
    </dataValidation>
  </dataValidations>
  <hyperlinks>
    <hyperlink ref="G4" r:id="rId1" xr:uid="{5E0DD796-B583-4A63-B02F-0F27F7D64D9C}"/>
    <hyperlink ref="F12" r:id="rId2" xr:uid="{0DC2BDDC-8A0B-474F-AEB6-1EAA34B6327D}"/>
    <hyperlink ref="G12" r:id="rId3" xr:uid="{7CC65F7A-0D86-467D-873F-7326286E3AE5}"/>
    <hyperlink ref="F111" r:id="rId4" xr:uid="{A22F1A52-551F-40E7-AC97-9C3046E7C2A5}"/>
    <hyperlink ref="F195" r:id="rId5" xr:uid="{8294FCF9-9B0D-448A-A3F2-A8424C73E14F}"/>
  </hyperlinks>
  <pageMargins left="0.7" right="0.7" top="0.75" bottom="0.75" header="0.3" footer="0.3"/>
  <pageSetup scale="81" orientation="portrait" verticalDpi="4" r:id="rId6"/>
  <rowBreaks count="2" manualBreakCount="2">
    <brk id="28" max="16383" man="1"/>
    <brk id="36" max="16383" man="1"/>
  </rowBreaks>
  <drawing r:id="rId7"/>
  <legacyDrawing r:id="rId8"/>
  <mc:AlternateContent xmlns:mc="http://schemas.openxmlformats.org/markup-compatibility/2006">
    <mc:Choice Requires="x14">
      <controls>
        <mc:AlternateContent xmlns:mc="http://schemas.openxmlformats.org/markup-compatibility/2006">
          <mc:Choice Requires="x14">
            <control shapeId="16614" r:id="rId9" name="CES_UpdatePB_Btn">
              <controlPr defaultSize="0" print="0" autoFill="0" autoPict="0" macro="[0]!CES_UpdatePB">
                <anchor moveWithCells="1" sizeWithCells="1">
                  <from>
                    <xdr:col>6</xdr:col>
                    <xdr:colOff>165100</xdr:colOff>
                    <xdr:row>0</xdr:row>
                    <xdr:rowOff>38100</xdr:rowOff>
                  </from>
                  <to>
                    <xdr:col>6</xdr:col>
                    <xdr:colOff>1022350</xdr:colOff>
                    <xdr:row>0</xdr:row>
                    <xdr:rowOff>260350</xdr:rowOff>
                  </to>
                </anchor>
              </controlPr>
            </control>
          </mc:Choice>
        </mc:AlternateContent>
        <mc:AlternateContent xmlns:mc="http://schemas.openxmlformats.org/markup-compatibility/2006">
          <mc:Choice Requires="x14">
            <control shapeId="16615" r:id="rId10" name="CES_UpdateCQ_Btn">
              <controlPr defaultSize="0" print="0" autoFill="0" autoPict="0" macro="[0]!CES_UpdateCQ">
                <anchor moveWithCells="1" sizeWithCells="1">
                  <from>
                    <xdr:col>0</xdr:col>
                    <xdr:colOff>50800</xdr:colOff>
                    <xdr:row>0</xdr:row>
                    <xdr:rowOff>38100</xdr:rowOff>
                  </from>
                  <to>
                    <xdr:col>1</xdr:col>
                    <xdr:colOff>965200</xdr:colOff>
                    <xdr:row>0</xdr:row>
                    <xdr:rowOff>260350</xdr:rowOff>
                  </to>
                </anchor>
              </controlPr>
            </control>
          </mc:Choice>
        </mc:AlternateContent>
        <mc:AlternateContent xmlns:mc="http://schemas.openxmlformats.org/markup-compatibility/2006">
          <mc:Choice Requires="x14">
            <control shapeId="16616" r:id="rId11" name="CES_ValidateSCRUM_Btn">
              <controlPr defaultSize="0" print="0" autoFill="0" autoPict="0" macro="[0]!CES_ValidateSCRUM">
                <anchor moveWithCells="1" sizeWithCells="1">
                  <from>
                    <xdr:col>7</xdr:col>
                    <xdr:colOff>298450</xdr:colOff>
                    <xdr:row>0</xdr:row>
                    <xdr:rowOff>38100</xdr:rowOff>
                  </from>
                  <to>
                    <xdr:col>9</xdr:col>
                    <xdr:colOff>1441450</xdr:colOff>
                    <xdr:row>0</xdr:row>
                    <xdr:rowOff>260350</xdr:rowOff>
                  </to>
                </anchor>
              </controlPr>
            </control>
          </mc:Choice>
        </mc:AlternateContent>
        <mc:AlternateContent xmlns:mc="http://schemas.openxmlformats.org/markup-compatibility/2006">
          <mc:Choice Requires="x14">
            <control shapeId="16617" r:id="rId12" name="CES_clearError_Btn">
              <controlPr defaultSize="0" print="0" autoFill="0" autoPict="0" macro="[0]!CES_clearError">
                <anchor moveWithCells="1" sizeWithCells="1">
                  <from>
                    <xdr:col>9</xdr:col>
                    <xdr:colOff>1555750</xdr:colOff>
                    <xdr:row>0</xdr:row>
                    <xdr:rowOff>69850</xdr:rowOff>
                  </from>
                  <to>
                    <xdr:col>11</xdr:col>
                    <xdr:colOff>222250</xdr:colOff>
                    <xdr:row>0</xdr:row>
                    <xdr:rowOff>279400</xdr:rowOff>
                  </to>
                </anchor>
              </controlPr>
            </control>
          </mc:Choice>
        </mc:AlternateContent>
        <mc:AlternateContent xmlns:mc="http://schemas.openxmlformats.org/markup-compatibility/2006">
          <mc:Choice Requires="x14">
            <control shapeId="269751" r:id="rId13" name="CES_UpdatePB_Btn">
              <controlPr defaultSize="0" print="0" autoFill="0" autoPict="0" macro="[0]!CES_UpdatePB">
                <anchor moveWithCells="1" sizeWithCells="1">
                  <from>
                    <xdr:col>6</xdr:col>
                    <xdr:colOff>165100</xdr:colOff>
                    <xdr:row>0</xdr:row>
                    <xdr:rowOff>38100</xdr:rowOff>
                  </from>
                  <to>
                    <xdr:col>6</xdr:col>
                    <xdr:colOff>1022350</xdr:colOff>
                    <xdr:row>0</xdr:row>
                    <xdr:rowOff>260350</xdr:rowOff>
                  </to>
                </anchor>
              </controlPr>
            </control>
          </mc:Choice>
        </mc:AlternateContent>
        <mc:AlternateContent xmlns:mc="http://schemas.openxmlformats.org/markup-compatibility/2006">
          <mc:Choice Requires="x14">
            <control shapeId="269752" r:id="rId14" name="CES_UpdateCQ_Btn">
              <controlPr defaultSize="0" print="0" autoFill="0" autoPict="0" macro="[0]!CES_UpdateCQ">
                <anchor moveWithCells="1" sizeWithCells="1">
                  <from>
                    <xdr:col>0</xdr:col>
                    <xdr:colOff>50800</xdr:colOff>
                    <xdr:row>0</xdr:row>
                    <xdr:rowOff>38100</xdr:rowOff>
                  </from>
                  <to>
                    <xdr:col>1</xdr:col>
                    <xdr:colOff>965200</xdr:colOff>
                    <xdr:row>0</xdr:row>
                    <xdr:rowOff>260350</xdr:rowOff>
                  </to>
                </anchor>
              </controlPr>
            </control>
          </mc:Choice>
        </mc:AlternateContent>
        <mc:AlternateContent xmlns:mc="http://schemas.openxmlformats.org/markup-compatibility/2006">
          <mc:Choice Requires="x14">
            <control shapeId="269753" r:id="rId15" name="CES_ValidateSCRUM_Btn">
              <controlPr defaultSize="0" print="0" autoFill="0" autoPict="0" macro="[0]!CES_ValidateSCRUM">
                <anchor moveWithCells="1" sizeWithCells="1">
                  <from>
                    <xdr:col>7</xdr:col>
                    <xdr:colOff>298450</xdr:colOff>
                    <xdr:row>0</xdr:row>
                    <xdr:rowOff>38100</xdr:rowOff>
                  </from>
                  <to>
                    <xdr:col>9</xdr:col>
                    <xdr:colOff>1441450</xdr:colOff>
                    <xdr:row>0</xdr:row>
                    <xdr:rowOff>260350</xdr:rowOff>
                  </to>
                </anchor>
              </controlPr>
            </control>
          </mc:Choice>
        </mc:AlternateContent>
        <mc:AlternateContent xmlns:mc="http://schemas.openxmlformats.org/markup-compatibility/2006">
          <mc:Choice Requires="x14">
            <control shapeId="269754" r:id="rId16" name="CES_clearError_Btn">
              <controlPr defaultSize="0" print="0" autoFill="0" autoPict="0" macro="[0]!CES_clearError">
                <anchor moveWithCells="1" sizeWithCells="1">
                  <from>
                    <xdr:col>9</xdr:col>
                    <xdr:colOff>1555750</xdr:colOff>
                    <xdr:row>0</xdr:row>
                    <xdr:rowOff>69850</xdr:rowOff>
                  </from>
                  <to>
                    <xdr:col>11</xdr:col>
                    <xdr:colOff>222250</xdr:colOff>
                    <xdr:row>0</xdr:row>
                    <xdr:rowOff>279400</xdr:rowOff>
                  </to>
                </anchor>
              </controlPr>
            </control>
          </mc:Choice>
        </mc:AlternateContent>
      </controls>
    </mc:Choice>
  </mc:AlternateContent>
  <tableParts count="1">
    <tablePart r:id="rId1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C5847-7765-4B2A-A994-53D4981D3F03}">
  <sheetPr>
    <outlinePr summaryRight="0"/>
  </sheetPr>
  <dimension ref="A1:AP117"/>
  <sheetViews>
    <sheetView topLeftCell="B1" zoomScale="50" zoomScaleNormal="50" workbookViewId="0">
      <selection activeCell="B100" sqref="B100:C101"/>
    </sheetView>
  </sheetViews>
  <sheetFormatPr defaultColWidth="11.42578125" defaultRowHeight="14.45"/>
  <cols>
    <col min="1" max="1" width="0" style="23" hidden="1" customWidth="1"/>
    <col min="2" max="2" width="18.7109375" style="425" customWidth="1"/>
    <col min="3" max="3" width="47.5703125" style="30" customWidth="1"/>
    <col min="4" max="4" width="12.7109375" style="24" customWidth="1"/>
    <col min="5" max="5" width="10.7109375" style="30" customWidth="1"/>
    <col min="6" max="6" width="14.42578125" style="30" customWidth="1"/>
    <col min="7" max="7" width="18.28515625" style="30" customWidth="1"/>
    <col min="8" max="9" width="12.7109375" style="30" customWidth="1"/>
    <col min="10" max="10" width="16.42578125" style="22" customWidth="1"/>
    <col min="11" max="11" width="16.42578125" style="24" customWidth="1"/>
    <col min="12" max="12" width="24.42578125" style="22" customWidth="1"/>
    <col min="13" max="13" width="16.42578125" style="22" customWidth="1"/>
    <col min="14" max="15" width="19.7109375" style="22" customWidth="1"/>
    <col min="16" max="16" width="37.7109375" style="22" customWidth="1"/>
    <col min="17" max="17" width="26" style="22" customWidth="1"/>
    <col min="18" max="20" width="19.7109375" style="24" customWidth="1"/>
    <col min="21" max="21" width="19.5703125" style="24" customWidth="1"/>
    <col min="22" max="22" width="16" style="24" customWidth="1"/>
    <col min="23" max="23" width="25.42578125" style="24" customWidth="1"/>
    <col min="24" max="24" width="25.42578125" style="23" customWidth="1"/>
    <col min="25" max="25" width="27.28515625" style="424" customWidth="1"/>
    <col min="26" max="26" width="18.28515625" style="423" customWidth="1"/>
    <col min="27" max="27" width="31.7109375" style="423" customWidth="1"/>
    <col min="28" max="28" width="15" style="423" customWidth="1"/>
    <col min="29" max="29" width="16.5703125" style="423" customWidth="1"/>
    <col min="30" max="30" width="23.28515625" style="423" customWidth="1"/>
    <col min="31" max="31" width="18.42578125" style="423" customWidth="1"/>
    <col min="32" max="32" width="14.5703125" style="423" customWidth="1"/>
    <col min="33" max="33" width="14" style="423" customWidth="1"/>
    <col min="34" max="34" width="12.7109375" style="423" customWidth="1"/>
    <col min="35" max="35" width="25.140625" style="423" customWidth="1"/>
    <col min="36" max="37" width="34" style="422" customWidth="1"/>
    <col min="38" max="38" width="10.28515625" style="421" customWidth="1"/>
    <col min="39" max="39" width="9.7109375" style="421" customWidth="1"/>
    <col min="40" max="41" width="11.42578125" style="421" customWidth="1"/>
    <col min="42" max="16384" width="11.42578125" style="23"/>
  </cols>
  <sheetData>
    <row r="1" spans="1:41">
      <c r="R1" s="545"/>
      <c r="T1" s="545"/>
      <c r="U1" s="24" t="s">
        <v>1157</v>
      </c>
      <c r="V1" s="24">
        <f>SUM(V3:V105)</f>
        <v>5951.5</v>
      </c>
      <c r="X1" s="24"/>
      <c r="Y1" s="24">
        <f>V1+(0.1*V1)</f>
        <v>6546.65</v>
      </c>
      <c r="AA1" s="25">
        <f>Y1/7514</f>
        <v>0.87126031408038329</v>
      </c>
      <c r="AC1" s="544"/>
      <c r="AI1" s="544"/>
    </row>
    <row r="2" spans="1:41" ht="66">
      <c r="A2" s="23" t="s">
        <v>1158</v>
      </c>
      <c r="B2" s="543" t="s">
        <v>1159</v>
      </c>
      <c r="C2" s="541" t="s">
        <v>9</v>
      </c>
      <c r="D2" s="541" t="s">
        <v>1160</v>
      </c>
      <c r="E2" s="542" t="s">
        <v>1161</v>
      </c>
      <c r="F2" s="512" t="s">
        <v>67</v>
      </c>
      <c r="G2" s="541" t="s">
        <v>1162</v>
      </c>
      <c r="H2" s="512" t="s">
        <v>68</v>
      </c>
      <c r="I2" s="541" t="s">
        <v>1163</v>
      </c>
      <c r="J2" s="541" t="s">
        <v>1164</v>
      </c>
      <c r="K2" s="537" t="s">
        <v>1165</v>
      </c>
      <c r="L2" s="540" t="s">
        <v>1166</v>
      </c>
      <c r="M2" s="540" t="s">
        <v>1167</v>
      </c>
      <c r="N2" s="539" t="s">
        <v>1168</v>
      </c>
      <c r="O2" s="539" t="s">
        <v>1169</v>
      </c>
      <c r="P2" s="539" t="s">
        <v>64</v>
      </c>
      <c r="Q2" s="539" t="s">
        <v>1170</v>
      </c>
      <c r="R2" s="537" t="s">
        <v>1171</v>
      </c>
      <c r="S2" s="537" t="s">
        <v>1172</v>
      </c>
      <c r="T2" s="537" t="s">
        <v>1173</v>
      </c>
      <c r="U2" s="537" t="s">
        <v>1174</v>
      </c>
      <c r="V2" s="538" t="s">
        <v>1175</v>
      </c>
      <c r="W2" s="538" t="s">
        <v>1176</v>
      </c>
      <c r="X2" s="537" t="s">
        <v>1177</v>
      </c>
      <c r="Y2" s="536" t="s">
        <v>1178</v>
      </c>
      <c r="Z2" s="535" t="s">
        <v>1179</v>
      </c>
      <c r="AA2" s="535" t="s">
        <v>1180</v>
      </c>
      <c r="AB2" s="535" t="s">
        <v>1181</v>
      </c>
      <c r="AC2" s="535" t="s">
        <v>1182</v>
      </c>
      <c r="AD2" s="535" t="s">
        <v>831</v>
      </c>
      <c r="AE2" s="535" t="s">
        <v>1183</v>
      </c>
      <c r="AF2" s="535" t="s">
        <v>1184</v>
      </c>
      <c r="AG2" s="535" t="s">
        <v>1185</v>
      </c>
      <c r="AH2" s="535" t="s">
        <v>1186</v>
      </c>
      <c r="AI2" s="535" t="s">
        <v>1187</v>
      </c>
      <c r="AJ2" s="534" t="s">
        <v>1177</v>
      </c>
      <c r="AK2" s="534" t="s">
        <v>1178</v>
      </c>
    </row>
    <row r="3" spans="1:41" s="22" customFormat="1" ht="57.95">
      <c r="B3" s="481">
        <v>19459316</v>
      </c>
      <c r="C3" s="438" t="s">
        <v>947</v>
      </c>
      <c r="D3" s="511">
        <v>1</v>
      </c>
      <c r="E3" s="438" t="s">
        <v>1188</v>
      </c>
      <c r="F3" s="438" t="s">
        <v>110</v>
      </c>
      <c r="G3" s="438" t="s">
        <v>1189</v>
      </c>
      <c r="H3" s="438"/>
      <c r="I3" s="438"/>
      <c r="J3" s="482" t="s">
        <v>1190</v>
      </c>
      <c r="K3" s="484"/>
      <c r="L3" s="482" t="s">
        <v>753</v>
      </c>
      <c r="M3" s="482" t="s">
        <v>727</v>
      </c>
      <c r="N3" s="495"/>
      <c r="O3" s="479" t="s">
        <v>882</v>
      </c>
      <c r="P3" s="481" t="s">
        <v>564</v>
      </c>
      <c r="Q3" s="481" t="s">
        <v>1191</v>
      </c>
      <c r="R3" s="479">
        <v>33</v>
      </c>
      <c r="S3" s="479"/>
      <c r="T3" s="479">
        <v>44</v>
      </c>
      <c r="U3" s="479"/>
      <c r="V3" s="479">
        <f>SUM(R3:U3)</f>
        <v>77</v>
      </c>
      <c r="W3" s="479" t="s">
        <v>785</v>
      </c>
      <c r="X3" s="22" t="s">
        <v>1192</v>
      </c>
      <c r="Y3" s="520"/>
      <c r="Z3" s="430">
        <v>46154</v>
      </c>
      <c r="AA3" s="430">
        <v>46154</v>
      </c>
      <c r="AB3" s="430">
        <v>46154</v>
      </c>
      <c r="AC3" s="430">
        <v>46154</v>
      </c>
      <c r="AD3" s="430" t="s">
        <v>785</v>
      </c>
      <c r="AE3" s="423">
        <v>46161</v>
      </c>
      <c r="AF3" s="423">
        <v>46162</v>
      </c>
      <c r="AG3" s="423">
        <v>46163</v>
      </c>
      <c r="AH3" s="430" t="s">
        <v>125</v>
      </c>
      <c r="AI3" s="423">
        <v>46164</v>
      </c>
      <c r="AJ3" s="423"/>
      <c r="AK3" s="423" t="s">
        <v>1193</v>
      </c>
      <c r="AL3" s="24"/>
      <c r="AM3" s="24"/>
      <c r="AN3" s="24"/>
      <c r="AO3" s="24"/>
    </row>
    <row r="4" spans="1:41" s="22" customFormat="1" ht="52.5">
      <c r="B4" s="481">
        <v>19748464</v>
      </c>
      <c r="C4" s="438" t="s">
        <v>1087</v>
      </c>
      <c r="D4" s="511">
        <v>1</v>
      </c>
      <c r="E4" s="438" t="s">
        <v>1188</v>
      </c>
      <c r="F4" s="438" t="s">
        <v>110</v>
      </c>
      <c r="G4" s="438" t="s">
        <v>1194</v>
      </c>
      <c r="H4" s="438"/>
      <c r="I4" s="438"/>
      <c r="J4" s="482" t="s">
        <v>1190</v>
      </c>
      <c r="K4" s="484"/>
      <c r="L4" s="482" t="s">
        <v>753</v>
      </c>
      <c r="M4" s="482" t="s">
        <v>727</v>
      </c>
      <c r="N4" s="495"/>
      <c r="O4" s="479" t="s">
        <v>882</v>
      </c>
      <c r="P4" s="481" t="s">
        <v>564</v>
      </c>
      <c r="Q4" s="481" t="s">
        <v>1191</v>
      </c>
      <c r="R4" s="479">
        <v>0</v>
      </c>
      <c r="S4" s="479"/>
      <c r="T4" s="479">
        <v>0</v>
      </c>
      <c r="U4" s="479"/>
      <c r="V4" s="479">
        <f>SUM(R4:U4)</f>
        <v>0</v>
      </c>
      <c r="W4" s="479" t="s">
        <v>785</v>
      </c>
      <c r="X4" s="22" t="s">
        <v>1195</v>
      </c>
      <c r="Y4" s="520"/>
      <c r="Z4" s="430" t="s">
        <v>125</v>
      </c>
      <c r="AA4" s="430" t="s">
        <v>125</v>
      </c>
      <c r="AB4" s="430" t="s">
        <v>125</v>
      </c>
      <c r="AC4" s="430" t="s">
        <v>125</v>
      </c>
      <c r="AD4" s="430" t="s">
        <v>125</v>
      </c>
      <c r="AE4" s="423">
        <v>46161</v>
      </c>
      <c r="AF4" s="423">
        <v>46162</v>
      </c>
      <c r="AG4" s="423">
        <v>46163</v>
      </c>
      <c r="AH4" s="430" t="s">
        <v>125</v>
      </c>
      <c r="AI4" s="423">
        <v>46164</v>
      </c>
      <c r="AJ4" s="423"/>
      <c r="AK4" s="423"/>
      <c r="AL4" s="24"/>
      <c r="AM4" s="24"/>
      <c r="AN4" s="24"/>
      <c r="AO4" s="24"/>
    </row>
    <row r="5" spans="1:41" s="22" customFormat="1" ht="52.5">
      <c r="B5" s="481">
        <v>17625104</v>
      </c>
      <c r="C5" s="438" t="s">
        <v>572</v>
      </c>
      <c r="D5" s="511">
        <v>2</v>
      </c>
      <c r="E5" s="438"/>
      <c r="F5" s="438" t="s">
        <v>95</v>
      </c>
      <c r="G5" s="438" t="s">
        <v>1196</v>
      </c>
      <c r="H5" s="437" t="s">
        <v>108</v>
      </c>
      <c r="I5" s="511" t="s">
        <v>795</v>
      </c>
      <c r="J5" s="484" t="s">
        <v>795</v>
      </c>
      <c r="K5" s="484">
        <v>1</v>
      </c>
      <c r="L5" s="482" t="s">
        <v>1197</v>
      </c>
      <c r="M5" s="482" t="s">
        <v>1198</v>
      </c>
      <c r="N5" s="495"/>
      <c r="O5" s="656" t="s">
        <v>882</v>
      </c>
      <c r="P5" s="657" t="s">
        <v>573</v>
      </c>
      <c r="Q5" s="675" t="s">
        <v>1199</v>
      </c>
      <c r="R5" s="656">
        <v>0</v>
      </c>
      <c r="S5" s="652"/>
      <c r="T5" s="479">
        <v>75</v>
      </c>
      <c r="U5" s="652"/>
      <c r="V5" s="652">
        <f>SUM(T5:T6)</f>
        <v>155</v>
      </c>
      <c r="W5" s="521"/>
      <c r="Y5" s="520"/>
      <c r="Z5" s="430" t="s">
        <v>125</v>
      </c>
      <c r="AA5" s="430" t="s">
        <v>125</v>
      </c>
      <c r="AB5" s="430" t="s">
        <v>125</v>
      </c>
      <c r="AC5" s="430" t="s">
        <v>125</v>
      </c>
      <c r="AD5" s="430" t="s">
        <v>125</v>
      </c>
      <c r="AE5" s="423">
        <v>46168</v>
      </c>
      <c r="AF5" s="423">
        <v>46170</v>
      </c>
      <c r="AG5" s="423">
        <v>46175</v>
      </c>
      <c r="AH5" s="430" t="s">
        <v>125</v>
      </c>
      <c r="AI5" s="423">
        <v>46178</v>
      </c>
      <c r="AJ5" s="423"/>
      <c r="AK5" s="423"/>
      <c r="AL5" s="24"/>
      <c r="AM5" s="24"/>
      <c r="AN5" s="24"/>
      <c r="AO5" s="24"/>
    </row>
    <row r="6" spans="1:41" s="22" customFormat="1" ht="105">
      <c r="B6" s="481">
        <v>17625100</v>
      </c>
      <c r="C6" s="438" t="s">
        <v>574</v>
      </c>
      <c r="D6" s="511">
        <v>2</v>
      </c>
      <c r="E6" s="438"/>
      <c r="F6" s="438" t="s">
        <v>95</v>
      </c>
      <c r="G6" s="438" t="s">
        <v>1196</v>
      </c>
      <c r="H6" s="437" t="s">
        <v>108</v>
      </c>
      <c r="I6" s="511" t="s">
        <v>795</v>
      </c>
      <c r="J6" s="484" t="s">
        <v>795</v>
      </c>
      <c r="K6" s="484">
        <v>1</v>
      </c>
      <c r="L6" s="482" t="s">
        <v>1197</v>
      </c>
      <c r="M6" s="482" t="s">
        <v>1198</v>
      </c>
      <c r="N6" s="495" t="s">
        <v>1200</v>
      </c>
      <c r="O6" s="656"/>
      <c r="P6" s="658"/>
      <c r="Q6" s="675"/>
      <c r="R6" s="656"/>
      <c r="S6" s="653"/>
      <c r="T6" s="479">
        <v>80</v>
      </c>
      <c r="U6" s="653"/>
      <c r="V6" s="653"/>
      <c r="W6" s="519"/>
      <c r="Y6" s="520"/>
      <c r="Z6" s="430" t="s">
        <v>125</v>
      </c>
      <c r="AA6" s="430" t="s">
        <v>125</v>
      </c>
      <c r="AB6" s="430" t="s">
        <v>125</v>
      </c>
      <c r="AC6" s="430" t="s">
        <v>125</v>
      </c>
      <c r="AD6" s="430" t="s">
        <v>125</v>
      </c>
      <c r="AE6" s="423">
        <v>46168</v>
      </c>
      <c r="AF6" s="423">
        <v>46170</v>
      </c>
      <c r="AG6" s="423">
        <v>46175</v>
      </c>
      <c r="AH6" s="430" t="s">
        <v>125</v>
      </c>
      <c r="AI6" s="423">
        <v>46178</v>
      </c>
      <c r="AJ6" s="423"/>
      <c r="AK6" s="423"/>
      <c r="AL6" s="24"/>
      <c r="AM6" s="24"/>
      <c r="AN6" s="24"/>
      <c r="AO6" s="24"/>
    </row>
    <row r="7" spans="1:41" s="22" customFormat="1" ht="35.1">
      <c r="B7" s="481">
        <v>18622558</v>
      </c>
      <c r="C7" s="438" t="s">
        <v>1201</v>
      </c>
      <c r="D7" s="511">
        <v>1</v>
      </c>
      <c r="E7" s="438" t="s">
        <v>1202</v>
      </c>
      <c r="F7" s="438" t="s">
        <v>95</v>
      </c>
      <c r="G7" s="438" t="s">
        <v>1194</v>
      </c>
      <c r="H7" s="438"/>
      <c r="I7" s="438"/>
      <c r="J7" s="482"/>
      <c r="K7" s="484"/>
      <c r="L7" s="482" t="s">
        <v>1203</v>
      </c>
      <c r="M7" s="482" t="s">
        <v>523</v>
      </c>
      <c r="N7" s="495"/>
      <c r="O7" s="479" t="s">
        <v>870</v>
      </c>
      <c r="P7" s="481" t="s">
        <v>132</v>
      </c>
      <c r="Q7" s="495" t="s">
        <v>1204</v>
      </c>
      <c r="R7" s="479">
        <v>0</v>
      </c>
      <c r="S7" s="479">
        <v>0</v>
      </c>
      <c r="T7" s="533">
        <v>0</v>
      </c>
      <c r="U7" s="479">
        <v>0</v>
      </c>
      <c r="V7" s="479">
        <f t="shared" ref="V7:V38" si="0">SUM(R7:U7)</f>
        <v>0</v>
      </c>
      <c r="W7" s="479" t="s">
        <v>785</v>
      </c>
      <c r="Y7" s="520" t="s">
        <v>125</v>
      </c>
      <c r="Z7" s="430" t="s">
        <v>125</v>
      </c>
      <c r="AA7" s="430" t="s">
        <v>125</v>
      </c>
      <c r="AB7" s="430" t="s">
        <v>125</v>
      </c>
      <c r="AC7" s="430" t="s">
        <v>125</v>
      </c>
      <c r="AD7" s="430" t="s">
        <v>125</v>
      </c>
      <c r="AE7" s="423" t="s">
        <v>997</v>
      </c>
      <c r="AF7" s="423" t="s">
        <v>998</v>
      </c>
      <c r="AG7" s="423" t="s">
        <v>917</v>
      </c>
      <c r="AH7" s="423"/>
      <c r="AI7" s="423">
        <v>46171</v>
      </c>
      <c r="AJ7" s="423"/>
      <c r="AK7" s="423"/>
      <c r="AL7" s="24"/>
      <c r="AM7" s="24"/>
      <c r="AN7" s="24"/>
      <c r="AO7" s="24"/>
    </row>
    <row r="8" spans="1:41" s="22" customFormat="1" ht="35.1">
      <c r="B8" s="481">
        <v>17112723</v>
      </c>
      <c r="C8" s="438" t="s">
        <v>142</v>
      </c>
      <c r="D8" s="511">
        <v>1</v>
      </c>
      <c r="E8" s="438" t="s">
        <v>1202</v>
      </c>
      <c r="F8" s="438" t="s">
        <v>95</v>
      </c>
      <c r="G8" s="438" t="s">
        <v>1194</v>
      </c>
      <c r="H8" s="438"/>
      <c r="I8" s="438"/>
      <c r="J8" s="482"/>
      <c r="K8" s="484"/>
      <c r="L8" s="482" t="s">
        <v>1203</v>
      </c>
      <c r="M8" s="482" t="s">
        <v>523</v>
      </c>
      <c r="N8" s="495"/>
      <c r="O8" s="479" t="s">
        <v>870</v>
      </c>
      <c r="P8" s="481" t="s">
        <v>132</v>
      </c>
      <c r="Q8" s="495" t="s">
        <v>1204</v>
      </c>
      <c r="R8" s="479">
        <v>0</v>
      </c>
      <c r="S8" s="479">
        <v>0</v>
      </c>
      <c r="T8" s="533">
        <v>0</v>
      </c>
      <c r="U8" s="479">
        <v>0</v>
      </c>
      <c r="V8" s="479">
        <f t="shared" si="0"/>
        <v>0</v>
      </c>
      <c r="W8" s="479" t="s">
        <v>785</v>
      </c>
      <c r="Y8" s="520"/>
      <c r="Z8" s="430" t="s">
        <v>125</v>
      </c>
      <c r="AA8" s="430" t="s">
        <v>125</v>
      </c>
      <c r="AB8" s="430" t="s">
        <v>125</v>
      </c>
      <c r="AC8" s="430" t="s">
        <v>125</v>
      </c>
      <c r="AD8" s="430" t="s">
        <v>125</v>
      </c>
      <c r="AE8" s="423" t="s">
        <v>997</v>
      </c>
      <c r="AF8" s="423" t="s">
        <v>998</v>
      </c>
      <c r="AG8" s="423" t="s">
        <v>917</v>
      </c>
      <c r="AH8" s="423"/>
      <c r="AI8" s="423">
        <v>46171</v>
      </c>
      <c r="AJ8" s="423"/>
      <c r="AK8" s="423"/>
      <c r="AL8" s="24"/>
      <c r="AM8" s="24"/>
      <c r="AN8" s="24"/>
      <c r="AO8" s="24"/>
    </row>
    <row r="9" spans="1:41" s="22" customFormat="1" ht="35.1">
      <c r="B9" s="481">
        <v>18330291</v>
      </c>
      <c r="C9" s="438" t="s">
        <v>134</v>
      </c>
      <c r="D9" s="511">
        <v>1</v>
      </c>
      <c r="E9" s="438" t="s">
        <v>1202</v>
      </c>
      <c r="F9" s="438" t="s">
        <v>95</v>
      </c>
      <c r="G9" s="438" t="s">
        <v>1194</v>
      </c>
      <c r="H9" s="438"/>
      <c r="I9" s="438"/>
      <c r="J9" s="482"/>
      <c r="K9" s="484"/>
      <c r="L9" s="482" t="s">
        <v>1203</v>
      </c>
      <c r="M9" s="482" t="s">
        <v>523</v>
      </c>
      <c r="N9" s="495"/>
      <c r="O9" s="479" t="s">
        <v>870</v>
      </c>
      <c r="P9" s="481" t="s">
        <v>132</v>
      </c>
      <c r="Q9" s="495" t="s">
        <v>1204</v>
      </c>
      <c r="R9" s="479">
        <v>0</v>
      </c>
      <c r="S9" s="479">
        <v>0</v>
      </c>
      <c r="T9" s="533">
        <v>0</v>
      </c>
      <c r="U9" s="479">
        <v>0</v>
      </c>
      <c r="V9" s="479">
        <f t="shared" si="0"/>
        <v>0</v>
      </c>
      <c r="W9" s="479" t="s">
        <v>785</v>
      </c>
      <c r="Y9" s="520"/>
      <c r="Z9" s="430" t="s">
        <v>125</v>
      </c>
      <c r="AA9" s="430" t="s">
        <v>125</v>
      </c>
      <c r="AB9" s="430" t="s">
        <v>125</v>
      </c>
      <c r="AC9" s="430" t="s">
        <v>125</v>
      </c>
      <c r="AD9" s="430" t="s">
        <v>125</v>
      </c>
      <c r="AE9" s="423" t="s">
        <v>997</v>
      </c>
      <c r="AF9" s="423" t="s">
        <v>998</v>
      </c>
      <c r="AG9" s="423" t="s">
        <v>917</v>
      </c>
      <c r="AH9" s="423"/>
      <c r="AI9" s="423">
        <v>46171</v>
      </c>
      <c r="AJ9" s="423"/>
      <c r="AK9" s="423"/>
      <c r="AL9" s="24"/>
      <c r="AM9" s="24"/>
      <c r="AN9" s="24"/>
      <c r="AO9" s="24"/>
    </row>
    <row r="10" spans="1:41" s="22" customFormat="1" ht="69.95">
      <c r="B10" s="481">
        <v>18850820</v>
      </c>
      <c r="C10" s="438" t="s">
        <v>1205</v>
      </c>
      <c r="D10" s="511">
        <v>1</v>
      </c>
      <c r="E10" s="438" t="s">
        <v>1202</v>
      </c>
      <c r="F10" s="438" t="s">
        <v>95</v>
      </c>
      <c r="G10" s="438" t="s">
        <v>1194</v>
      </c>
      <c r="H10" s="438"/>
      <c r="I10" s="438"/>
      <c r="J10" s="482"/>
      <c r="K10" s="484"/>
      <c r="L10" s="482" t="s">
        <v>1203</v>
      </c>
      <c r="M10" s="482" t="s">
        <v>523</v>
      </c>
      <c r="N10" s="495"/>
      <c r="O10" s="479" t="s">
        <v>870</v>
      </c>
      <c r="P10" s="481" t="s">
        <v>132</v>
      </c>
      <c r="Q10" s="495" t="s">
        <v>1204</v>
      </c>
      <c r="R10" s="479">
        <v>0</v>
      </c>
      <c r="S10" s="479">
        <v>0</v>
      </c>
      <c r="T10" s="533">
        <v>0</v>
      </c>
      <c r="U10" s="479">
        <v>0</v>
      </c>
      <c r="V10" s="479">
        <f t="shared" si="0"/>
        <v>0</v>
      </c>
      <c r="W10" s="479" t="s">
        <v>785</v>
      </c>
      <c r="Y10" s="520"/>
      <c r="Z10" s="430" t="s">
        <v>125</v>
      </c>
      <c r="AA10" s="430" t="s">
        <v>125</v>
      </c>
      <c r="AB10" s="430" t="s">
        <v>125</v>
      </c>
      <c r="AC10" s="430" t="s">
        <v>125</v>
      </c>
      <c r="AD10" s="430" t="s">
        <v>125</v>
      </c>
      <c r="AE10" s="423" t="s">
        <v>997</v>
      </c>
      <c r="AF10" s="423" t="s">
        <v>998</v>
      </c>
      <c r="AG10" s="423" t="s">
        <v>917</v>
      </c>
      <c r="AH10" s="423"/>
      <c r="AI10" s="423">
        <v>46171</v>
      </c>
      <c r="AJ10" s="423"/>
      <c r="AK10" s="423"/>
      <c r="AL10" s="24"/>
      <c r="AM10" s="24"/>
      <c r="AN10" s="24"/>
      <c r="AO10" s="24"/>
    </row>
    <row r="11" spans="1:41" s="22" customFormat="1" ht="52.5">
      <c r="B11" s="481">
        <v>18652585</v>
      </c>
      <c r="C11" s="438" t="s">
        <v>1002</v>
      </c>
      <c r="D11" s="511">
        <v>1</v>
      </c>
      <c r="E11" s="438" t="s">
        <v>1202</v>
      </c>
      <c r="F11" s="438" t="s">
        <v>95</v>
      </c>
      <c r="G11" s="438" t="s">
        <v>1194</v>
      </c>
      <c r="H11" s="438"/>
      <c r="I11" s="438"/>
      <c r="J11" s="482"/>
      <c r="K11" s="484"/>
      <c r="L11" s="482" t="s">
        <v>1203</v>
      </c>
      <c r="M11" s="482" t="s">
        <v>523</v>
      </c>
      <c r="N11" s="495"/>
      <c r="O11" s="479" t="s">
        <v>870</v>
      </c>
      <c r="P11" s="481" t="s">
        <v>132</v>
      </c>
      <c r="Q11" s="495" t="s">
        <v>1204</v>
      </c>
      <c r="R11" s="479">
        <v>0</v>
      </c>
      <c r="S11" s="479">
        <v>0</v>
      </c>
      <c r="T11" s="533">
        <v>0</v>
      </c>
      <c r="U11" s="479">
        <v>0</v>
      </c>
      <c r="V11" s="479">
        <f t="shared" si="0"/>
        <v>0</v>
      </c>
      <c r="W11" s="479" t="s">
        <v>785</v>
      </c>
      <c r="Y11" s="520"/>
      <c r="Z11" s="430" t="s">
        <v>125</v>
      </c>
      <c r="AA11" s="430" t="s">
        <v>125</v>
      </c>
      <c r="AB11" s="430" t="s">
        <v>125</v>
      </c>
      <c r="AC11" s="430" t="s">
        <v>125</v>
      </c>
      <c r="AD11" s="430" t="s">
        <v>125</v>
      </c>
      <c r="AE11" s="423" t="s">
        <v>997</v>
      </c>
      <c r="AF11" s="423" t="s">
        <v>998</v>
      </c>
      <c r="AG11" s="423" t="s">
        <v>917</v>
      </c>
      <c r="AH11" s="423"/>
      <c r="AI11" s="423">
        <v>46171</v>
      </c>
      <c r="AJ11" s="423"/>
      <c r="AK11" s="423"/>
      <c r="AL11" s="24"/>
      <c r="AM11" s="24"/>
      <c r="AN11" s="24"/>
      <c r="AO11" s="24"/>
    </row>
    <row r="12" spans="1:41" s="22" customFormat="1" ht="52.5">
      <c r="B12" s="481">
        <v>18990465</v>
      </c>
      <c r="C12" s="438" t="s">
        <v>1102</v>
      </c>
      <c r="D12" s="511">
        <v>1</v>
      </c>
      <c r="E12" s="438" t="s">
        <v>1202</v>
      </c>
      <c r="F12" s="438" t="s">
        <v>95</v>
      </c>
      <c r="G12" s="438" t="s">
        <v>1194</v>
      </c>
      <c r="H12" s="438"/>
      <c r="I12" s="438"/>
      <c r="J12" s="482"/>
      <c r="K12" s="484"/>
      <c r="L12" s="482" t="s">
        <v>1203</v>
      </c>
      <c r="M12" s="482" t="s">
        <v>523</v>
      </c>
      <c r="N12" s="495"/>
      <c r="O12" s="479" t="s">
        <v>870</v>
      </c>
      <c r="P12" s="481" t="s">
        <v>132</v>
      </c>
      <c r="Q12" s="495" t="s">
        <v>1204</v>
      </c>
      <c r="R12" s="479">
        <v>0</v>
      </c>
      <c r="S12" s="479">
        <v>0</v>
      </c>
      <c r="T12" s="533">
        <v>0</v>
      </c>
      <c r="U12" s="479">
        <v>0</v>
      </c>
      <c r="V12" s="479">
        <f t="shared" si="0"/>
        <v>0</v>
      </c>
      <c r="W12" s="479" t="s">
        <v>785</v>
      </c>
      <c r="Y12" s="520"/>
      <c r="Z12" s="430" t="s">
        <v>125</v>
      </c>
      <c r="AA12" s="430" t="s">
        <v>125</v>
      </c>
      <c r="AB12" s="430" t="s">
        <v>125</v>
      </c>
      <c r="AC12" s="430" t="s">
        <v>125</v>
      </c>
      <c r="AD12" s="430" t="s">
        <v>125</v>
      </c>
      <c r="AE12" s="423" t="s">
        <v>997</v>
      </c>
      <c r="AF12" s="423" t="s">
        <v>998</v>
      </c>
      <c r="AG12" s="423" t="s">
        <v>917</v>
      </c>
      <c r="AH12" s="423"/>
      <c r="AI12" s="423">
        <v>46171</v>
      </c>
      <c r="AJ12" s="423"/>
      <c r="AK12" s="423"/>
      <c r="AL12" s="24"/>
      <c r="AM12" s="24"/>
      <c r="AN12" s="24"/>
      <c r="AO12" s="24"/>
    </row>
    <row r="13" spans="1:41" s="22" customFormat="1" ht="14.1" customHeight="1">
      <c r="B13" s="481">
        <v>16816828</v>
      </c>
      <c r="C13" s="438" t="s">
        <v>137</v>
      </c>
      <c r="D13" s="511">
        <v>1</v>
      </c>
      <c r="E13" s="438" t="s">
        <v>1202</v>
      </c>
      <c r="F13" s="438" t="s">
        <v>95</v>
      </c>
      <c r="G13" s="438" t="s">
        <v>1194</v>
      </c>
      <c r="H13" s="438"/>
      <c r="I13" s="438"/>
      <c r="J13" s="482"/>
      <c r="K13" s="484"/>
      <c r="L13" s="482" t="s">
        <v>1203</v>
      </c>
      <c r="M13" s="482" t="s">
        <v>523</v>
      </c>
      <c r="N13" s="495"/>
      <c r="O13" s="479" t="s">
        <v>870</v>
      </c>
      <c r="P13" s="481" t="s">
        <v>132</v>
      </c>
      <c r="Q13" s="495" t="s">
        <v>1204</v>
      </c>
      <c r="R13" s="479">
        <v>0</v>
      </c>
      <c r="S13" s="479">
        <v>0</v>
      </c>
      <c r="T13" s="533">
        <v>0</v>
      </c>
      <c r="U13" s="479">
        <v>0</v>
      </c>
      <c r="V13" s="479">
        <f t="shared" si="0"/>
        <v>0</v>
      </c>
      <c r="W13" s="479" t="s">
        <v>785</v>
      </c>
      <c r="Y13" s="520"/>
      <c r="Z13" s="430" t="s">
        <v>125</v>
      </c>
      <c r="AA13" s="430" t="s">
        <v>125</v>
      </c>
      <c r="AB13" s="430" t="s">
        <v>125</v>
      </c>
      <c r="AC13" s="430" t="s">
        <v>125</v>
      </c>
      <c r="AD13" s="430" t="s">
        <v>125</v>
      </c>
      <c r="AE13" s="423" t="s">
        <v>997</v>
      </c>
      <c r="AF13" s="423" t="s">
        <v>998</v>
      </c>
      <c r="AG13" s="423" t="s">
        <v>917</v>
      </c>
      <c r="AH13" s="423"/>
      <c r="AI13" s="423">
        <v>46171</v>
      </c>
      <c r="AJ13" s="423"/>
      <c r="AK13" s="423"/>
      <c r="AL13" s="24"/>
      <c r="AM13" s="24"/>
      <c r="AN13" s="24"/>
      <c r="AO13" s="24"/>
    </row>
    <row r="14" spans="1:41" s="22" customFormat="1" ht="35.1">
      <c r="B14" s="482">
        <v>19445226</v>
      </c>
      <c r="C14" s="492" t="s">
        <v>1000</v>
      </c>
      <c r="D14" s="501">
        <v>1</v>
      </c>
      <c r="E14" s="492" t="s">
        <v>1202</v>
      </c>
      <c r="F14" s="492" t="s">
        <v>95</v>
      </c>
      <c r="G14" s="438" t="s">
        <v>1194</v>
      </c>
      <c r="H14" s="492"/>
      <c r="I14" s="492"/>
      <c r="J14" s="479" t="s">
        <v>270</v>
      </c>
      <c r="K14" s="479"/>
      <c r="L14" s="497" t="s">
        <v>1203</v>
      </c>
      <c r="M14" s="482" t="s">
        <v>523</v>
      </c>
      <c r="N14" s="495"/>
      <c r="O14" s="479" t="s">
        <v>870</v>
      </c>
      <c r="P14" s="481" t="s">
        <v>132</v>
      </c>
      <c r="Q14" s="495" t="s">
        <v>1204</v>
      </c>
      <c r="R14" s="479">
        <v>0</v>
      </c>
      <c r="S14" s="479">
        <v>0</v>
      </c>
      <c r="T14" s="533">
        <v>0</v>
      </c>
      <c r="U14" s="479">
        <v>0</v>
      </c>
      <c r="V14" s="479">
        <f t="shared" si="0"/>
        <v>0</v>
      </c>
      <c r="W14" s="479" t="s">
        <v>785</v>
      </c>
      <c r="Y14" s="494"/>
      <c r="Z14" s="430" t="s">
        <v>125</v>
      </c>
      <c r="AA14" s="430" t="s">
        <v>125</v>
      </c>
      <c r="AB14" s="430" t="s">
        <v>125</v>
      </c>
      <c r="AC14" s="430" t="s">
        <v>125</v>
      </c>
      <c r="AD14" s="430" t="s">
        <v>125</v>
      </c>
      <c r="AE14" s="423" t="s">
        <v>997</v>
      </c>
      <c r="AF14" s="423" t="s">
        <v>998</v>
      </c>
      <c r="AG14" s="423" t="s">
        <v>917</v>
      </c>
      <c r="AH14" s="423"/>
      <c r="AI14" s="423">
        <v>46171</v>
      </c>
      <c r="AJ14" s="423"/>
      <c r="AK14" s="423"/>
      <c r="AL14" s="24"/>
      <c r="AM14" s="24"/>
      <c r="AN14" s="24"/>
      <c r="AO14" s="24"/>
    </row>
    <row r="15" spans="1:41" s="22" customFormat="1" ht="35.1">
      <c r="B15" s="532">
        <v>18986418</v>
      </c>
      <c r="C15" s="432" t="s">
        <v>1206</v>
      </c>
      <c r="D15" s="515">
        <v>1</v>
      </c>
      <c r="E15" s="492" t="s">
        <v>1202</v>
      </c>
      <c r="F15" s="432" t="s">
        <v>95</v>
      </c>
      <c r="G15" s="438" t="s">
        <v>1194</v>
      </c>
      <c r="H15" s="487"/>
      <c r="I15" s="487"/>
      <c r="J15" s="431"/>
      <c r="K15" s="485"/>
      <c r="L15" s="497" t="s">
        <v>1203</v>
      </c>
      <c r="M15" s="482" t="s">
        <v>523</v>
      </c>
      <c r="N15" s="431"/>
      <c r="O15" s="479" t="s">
        <v>870</v>
      </c>
      <c r="P15" s="481" t="s">
        <v>132</v>
      </c>
      <c r="Q15" s="495" t="s">
        <v>1204</v>
      </c>
      <c r="R15" s="479">
        <v>0</v>
      </c>
      <c r="S15" s="479">
        <v>0</v>
      </c>
      <c r="T15" s="531">
        <f>(70+85)</f>
        <v>155</v>
      </c>
      <c r="U15" s="487">
        <v>0</v>
      </c>
      <c r="V15" s="479">
        <f t="shared" si="0"/>
        <v>155</v>
      </c>
      <c r="W15" s="479" t="s">
        <v>785</v>
      </c>
      <c r="Y15" s="486"/>
      <c r="Z15" s="430" t="s">
        <v>125</v>
      </c>
      <c r="AA15" s="430" t="s">
        <v>125</v>
      </c>
      <c r="AB15" s="430" t="s">
        <v>125</v>
      </c>
      <c r="AC15" s="430" t="s">
        <v>125</v>
      </c>
      <c r="AD15" s="430" t="s">
        <v>125</v>
      </c>
      <c r="AE15" s="423" t="s">
        <v>997</v>
      </c>
      <c r="AF15" s="423" t="s">
        <v>998</v>
      </c>
      <c r="AG15" s="423" t="s">
        <v>917</v>
      </c>
      <c r="AH15" s="423"/>
      <c r="AI15" s="423">
        <v>46171</v>
      </c>
      <c r="AJ15" s="423"/>
      <c r="AK15" s="423"/>
      <c r="AL15" s="24"/>
      <c r="AM15" s="24"/>
      <c r="AN15" s="24"/>
      <c r="AO15" s="24"/>
    </row>
    <row r="16" spans="1:41" s="22" customFormat="1" ht="35.1">
      <c r="B16" s="481">
        <v>19448493</v>
      </c>
      <c r="C16" s="438" t="s">
        <v>981</v>
      </c>
      <c r="D16" s="511">
        <v>1</v>
      </c>
      <c r="E16" s="438" t="s">
        <v>1207</v>
      </c>
      <c r="F16" s="438" t="s">
        <v>95</v>
      </c>
      <c r="G16" s="438" t="s">
        <v>1194</v>
      </c>
      <c r="H16" s="438" t="s">
        <v>146</v>
      </c>
      <c r="I16" s="438"/>
      <c r="J16" s="482"/>
      <c r="K16" s="484"/>
      <c r="L16" s="473" t="s">
        <v>897</v>
      </c>
      <c r="M16" s="473" t="s">
        <v>1208</v>
      </c>
      <c r="N16" s="495"/>
      <c r="O16" s="479" t="s">
        <v>870</v>
      </c>
      <c r="P16" s="481" t="s">
        <v>181</v>
      </c>
      <c r="Q16" s="495" t="s">
        <v>1199</v>
      </c>
      <c r="R16" s="479">
        <v>0</v>
      </c>
      <c r="S16" s="479">
        <v>0</v>
      </c>
      <c r="T16" s="479">
        <v>40</v>
      </c>
      <c r="U16" s="479">
        <v>0</v>
      </c>
      <c r="V16" s="479">
        <f t="shared" si="0"/>
        <v>40</v>
      </c>
      <c r="W16" s="479" t="s">
        <v>785</v>
      </c>
      <c r="Y16" s="520"/>
      <c r="Z16" s="430" t="s">
        <v>125</v>
      </c>
      <c r="AA16" s="430" t="s">
        <v>125</v>
      </c>
      <c r="AB16" s="430" t="s">
        <v>125</v>
      </c>
      <c r="AC16" s="430" t="s">
        <v>125</v>
      </c>
      <c r="AD16" s="430" t="s">
        <v>125</v>
      </c>
      <c r="AE16" s="423">
        <v>46156</v>
      </c>
      <c r="AF16" s="423">
        <v>46156</v>
      </c>
      <c r="AG16" s="423">
        <v>46156</v>
      </c>
      <c r="AH16" s="423"/>
      <c r="AI16" s="423">
        <v>46157</v>
      </c>
      <c r="AJ16" s="423"/>
      <c r="AK16" s="423"/>
      <c r="AL16" s="24"/>
      <c r="AM16" s="24"/>
      <c r="AN16" s="24"/>
      <c r="AO16" s="24"/>
    </row>
    <row r="17" spans="2:41" s="22" customFormat="1" ht="52.5">
      <c r="B17" s="509">
        <v>19564373</v>
      </c>
      <c r="C17" s="510" t="s">
        <v>960</v>
      </c>
      <c r="D17" s="511">
        <v>1</v>
      </c>
      <c r="E17" s="528" t="s">
        <v>1188</v>
      </c>
      <c r="F17" s="438"/>
      <c r="G17" s="438" t="s">
        <v>1189</v>
      </c>
      <c r="H17" s="438"/>
      <c r="I17" s="438"/>
      <c r="J17" s="482" t="s">
        <v>1209</v>
      </c>
      <c r="K17" s="484"/>
      <c r="L17" s="527" t="s">
        <v>1210</v>
      </c>
      <c r="M17" s="482" t="s">
        <v>523</v>
      </c>
      <c r="N17" s="495"/>
      <c r="O17" s="479"/>
      <c r="P17" s="438" t="s">
        <v>1211</v>
      </c>
      <c r="Q17" s="495" t="s">
        <v>1204</v>
      </c>
      <c r="R17" s="479">
        <v>30</v>
      </c>
      <c r="S17" s="479">
        <v>0</v>
      </c>
      <c r="T17" s="479">
        <v>65</v>
      </c>
      <c r="U17" s="479">
        <v>0</v>
      </c>
      <c r="V17" s="479">
        <f t="shared" si="0"/>
        <v>95</v>
      </c>
      <c r="W17" s="479" t="s">
        <v>785</v>
      </c>
      <c r="Y17" s="520"/>
      <c r="Z17" s="430">
        <v>46153</v>
      </c>
      <c r="AA17" s="430">
        <v>46154</v>
      </c>
      <c r="AB17" s="430">
        <v>46155</v>
      </c>
      <c r="AC17" s="430">
        <v>46157</v>
      </c>
      <c r="AD17" s="430" t="s">
        <v>1212</v>
      </c>
      <c r="AE17" s="423" t="s">
        <v>916</v>
      </c>
      <c r="AF17" s="423" t="s">
        <v>917</v>
      </c>
      <c r="AG17" s="423" t="s">
        <v>918</v>
      </c>
      <c r="AH17" s="423"/>
      <c r="AI17" s="423">
        <v>46164</v>
      </c>
      <c r="AJ17" s="423"/>
      <c r="AK17" s="423"/>
      <c r="AL17" s="24"/>
      <c r="AM17" s="24"/>
      <c r="AN17" s="24"/>
      <c r="AO17" s="24"/>
    </row>
    <row r="18" spans="2:41" s="22" customFormat="1" ht="69.95">
      <c r="B18" s="509">
        <v>19661917</v>
      </c>
      <c r="C18" s="510" t="s">
        <v>1027</v>
      </c>
      <c r="D18" s="511">
        <v>1</v>
      </c>
      <c r="E18" s="528" t="s">
        <v>1188</v>
      </c>
      <c r="F18" s="438"/>
      <c r="G18" s="438" t="s">
        <v>1189</v>
      </c>
      <c r="H18" s="438"/>
      <c r="I18" s="438"/>
      <c r="J18" s="482" t="s">
        <v>1209</v>
      </c>
      <c r="K18" s="484"/>
      <c r="L18" s="527" t="s">
        <v>762</v>
      </c>
      <c r="M18" s="482" t="s">
        <v>523</v>
      </c>
      <c r="N18" s="495"/>
      <c r="O18" s="479"/>
      <c r="P18" s="438" t="s">
        <v>1211</v>
      </c>
      <c r="Q18" s="495" t="s">
        <v>1204</v>
      </c>
      <c r="R18" s="479">
        <v>0</v>
      </c>
      <c r="S18" s="479">
        <v>0</v>
      </c>
      <c r="T18" s="479">
        <v>0</v>
      </c>
      <c r="U18" s="479">
        <v>0</v>
      </c>
      <c r="V18" s="479">
        <f t="shared" si="0"/>
        <v>0</v>
      </c>
      <c r="W18" s="479" t="s">
        <v>785</v>
      </c>
      <c r="X18" s="22" t="s">
        <v>1213</v>
      </c>
      <c r="Y18" s="520"/>
      <c r="Z18" s="430">
        <v>46153</v>
      </c>
      <c r="AA18" s="430">
        <v>46154</v>
      </c>
      <c r="AB18" s="430">
        <v>46155</v>
      </c>
      <c r="AC18" s="430">
        <v>46157</v>
      </c>
      <c r="AD18" s="430" t="s">
        <v>1212</v>
      </c>
      <c r="AE18" s="423" t="s">
        <v>916</v>
      </c>
      <c r="AF18" s="423" t="s">
        <v>917</v>
      </c>
      <c r="AG18" s="423" t="s">
        <v>918</v>
      </c>
      <c r="AH18" s="423"/>
      <c r="AI18" s="429">
        <v>46164</v>
      </c>
      <c r="AJ18" s="423"/>
      <c r="AK18" s="423"/>
      <c r="AL18" s="24"/>
      <c r="AM18" s="24"/>
      <c r="AN18" s="24"/>
      <c r="AO18" s="24"/>
    </row>
    <row r="19" spans="2:41" s="22" customFormat="1" ht="69.95">
      <c r="B19" s="509">
        <v>19381827</v>
      </c>
      <c r="C19" s="530" t="s">
        <v>968</v>
      </c>
      <c r="D19" s="511">
        <v>1</v>
      </c>
      <c r="E19" s="438" t="s">
        <v>1202</v>
      </c>
      <c r="F19" s="438" t="s">
        <v>95</v>
      </c>
      <c r="G19" s="438" t="s">
        <v>1189</v>
      </c>
      <c r="H19" s="438" t="s">
        <v>146</v>
      </c>
      <c r="I19" s="438"/>
      <c r="J19" s="527" t="s">
        <v>1214</v>
      </c>
      <c r="K19" s="484"/>
      <c r="L19" s="529" t="s">
        <v>897</v>
      </c>
      <c r="M19" s="473" t="s">
        <v>1208</v>
      </c>
      <c r="N19" s="495"/>
      <c r="O19" s="479"/>
      <c r="P19" s="481" t="s">
        <v>181</v>
      </c>
      <c r="Q19" s="495" t="s">
        <v>1199</v>
      </c>
      <c r="R19" s="479">
        <v>50</v>
      </c>
      <c r="S19" s="479"/>
      <c r="T19" s="479">
        <v>50</v>
      </c>
      <c r="U19" s="479"/>
      <c r="V19" s="479">
        <f t="shared" si="0"/>
        <v>100</v>
      </c>
      <c r="W19" s="479" t="s">
        <v>785</v>
      </c>
      <c r="Y19" s="520" t="s">
        <v>1215</v>
      </c>
      <c r="Z19" s="430"/>
      <c r="AA19" s="430"/>
      <c r="AB19" s="430"/>
      <c r="AC19" s="22" t="s">
        <v>270</v>
      </c>
      <c r="AD19" s="430"/>
      <c r="AE19" s="423"/>
      <c r="AF19" s="423"/>
      <c r="AG19" s="423"/>
      <c r="AH19" s="423"/>
      <c r="AI19" s="423" t="s">
        <v>270</v>
      </c>
      <c r="AJ19" s="423"/>
      <c r="AK19" s="423"/>
      <c r="AL19" s="24"/>
      <c r="AM19" s="24"/>
      <c r="AN19" s="24"/>
      <c r="AO19" s="24"/>
    </row>
    <row r="20" spans="2:41" s="22" customFormat="1" ht="188.45">
      <c r="B20" s="438">
        <v>18880503</v>
      </c>
      <c r="C20" s="438" t="s">
        <v>641</v>
      </c>
      <c r="D20" s="511">
        <v>1</v>
      </c>
      <c r="E20" s="528" t="s">
        <v>1188</v>
      </c>
      <c r="F20" s="438"/>
      <c r="G20" s="438" t="s">
        <v>1194</v>
      </c>
      <c r="H20" s="437" t="s">
        <v>146</v>
      </c>
      <c r="I20" s="511" t="s">
        <v>795</v>
      </c>
      <c r="J20" s="484" t="s">
        <v>795</v>
      </c>
      <c r="K20" s="484">
        <v>1</v>
      </c>
      <c r="L20" s="431" t="s">
        <v>737</v>
      </c>
      <c r="M20" s="473" t="s">
        <v>1198</v>
      </c>
      <c r="N20" s="495"/>
      <c r="O20" s="479" t="s">
        <v>870</v>
      </c>
      <c r="P20" s="481" t="s">
        <v>1216</v>
      </c>
      <c r="Q20" s="481" t="s">
        <v>1204</v>
      </c>
      <c r="R20" s="479">
        <v>0</v>
      </c>
      <c r="S20" s="479"/>
      <c r="T20" s="479">
        <v>120</v>
      </c>
      <c r="U20" s="479"/>
      <c r="V20" s="479">
        <f t="shared" si="0"/>
        <v>120</v>
      </c>
      <c r="W20" s="479" t="s">
        <v>785</v>
      </c>
      <c r="X20" s="22" t="s">
        <v>1217</v>
      </c>
      <c r="Y20" s="520" t="s">
        <v>1218</v>
      </c>
      <c r="Z20" s="430" t="s">
        <v>125</v>
      </c>
      <c r="AA20" s="430" t="s">
        <v>125</v>
      </c>
      <c r="AB20" s="430" t="s">
        <v>125</v>
      </c>
      <c r="AC20" s="430" t="s">
        <v>125</v>
      </c>
      <c r="AD20" s="430" t="s">
        <v>125</v>
      </c>
      <c r="AE20" s="423">
        <v>46163</v>
      </c>
      <c r="AF20" s="423">
        <v>46163</v>
      </c>
      <c r="AG20" s="423">
        <v>46164</v>
      </c>
      <c r="AH20" s="423"/>
      <c r="AI20" s="423">
        <v>46164</v>
      </c>
      <c r="AJ20" s="423" t="s">
        <v>1219</v>
      </c>
      <c r="AK20" s="423"/>
      <c r="AL20" s="24"/>
      <c r="AM20" s="24"/>
      <c r="AN20" s="24"/>
      <c r="AO20" s="24"/>
    </row>
    <row r="21" spans="2:41" s="22" customFormat="1" ht="52.5">
      <c r="B21" s="438">
        <v>19532824</v>
      </c>
      <c r="C21" s="438" t="s">
        <v>914</v>
      </c>
      <c r="D21" s="511">
        <v>1</v>
      </c>
      <c r="E21" s="528" t="s">
        <v>1188</v>
      </c>
      <c r="F21" s="438"/>
      <c r="G21" s="438" t="s">
        <v>1194</v>
      </c>
      <c r="H21" s="438"/>
      <c r="I21" s="438"/>
      <c r="J21" s="482"/>
      <c r="K21" s="484"/>
      <c r="L21" s="473" t="s">
        <v>1220</v>
      </c>
      <c r="M21" s="482" t="s">
        <v>727</v>
      </c>
      <c r="N21" s="495"/>
      <c r="O21" s="479" t="s">
        <v>882</v>
      </c>
      <c r="P21" s="481" t="s">
        <v>1221</v>
      </c>
      <c r="Q21" s="481" t="s">
        <v>1204</v>
      </c>
      <c r="R21" s="479">
        <v>6.5</v>
      </c>
      <c r="S21" s="479"/>
      <c r="T21" s="479">
        <v>30</v>
      </c>
      <c r="U21" s="479"/>
      <c r="V21" s="479">
        <f t="shared" si="0"/>
        <v>36.5</v>
      </c>
      <c r="W21" s="479" t="s">
        <v>785</v>
      </c>
      <c r="Y21" s="520" t="s">
        <v>1222</v>
      </c>
      <c r="Z21" s="430" t="s">
        <v>125</v>
      </c>
      <c r="AA21" s="430" t="s">
        <v>125</v>
      </c>
      <c r="AB21" s="430" t="s">
        <v>125</v>
      </c>
      <c r="AC21" s="430" t="s">
        <v>125</v>
      </c>
      <c r="AD21" s="430" t="s">
        <v>1223</v>
      </c>
      <c r="AE21" s="423" t="s">
        <v>916</v>
      </c>
      <c r="AF21" s="423" t="s">
        <v>917</v>
      </c>
      <c r="AG21" s="423" t="s">
        <v>918</v>
      </c>
      <c r="AH21" s="423"/>
      <c r="AI21" s="423">
        <v>46164</v>
      </c>
      <c r="AJ21" s="423"/>
      <c r="AK21" s="423"/>
      <c r="AL21" s="24"/>
      <c r="AM21" s="24"/>
      <c r="AN21" s="24"/>
      <c r="AO21" s="24"/>
    </row>
    <row r="22" spans="2:41" s="22" customFormat="1" ht="52.5">
      <c r="B22" s="438">
        <v>19509024</v>
      </c>
      <c r="C22" s="438" t="s">
        <v>1006</v>
      </c>
      <c r="D22" s="511">
        <v>1</v>
      </c>
      <c r="E22" s="438" t="s">
        <v>1188</v>
      </c>
      <c r="F22" s="438" t="s">
        <v>110</v>
      </c>
      <c r="G22" s="438" t="s">
        <v>1189</v>
      </c>
      <c r="H22" s="437" t="s">
        <v>146</v>
      </c>
      <c r="I22" s="511" t="s">
        <v>795</v>
      </c>
      <c r="J22" s="484" t="s">
        <v>795</v>
      </c>
      <c r="K22" s="484">
        <v>1</v>
      </c>
      <c r="L22" s="482" t="s">
        <v>1224</v>
      </c>
      <c r="M22" s="482" t="s">
        <v>1198</v>
      </c>
      <c r="N22" s="495"/>
      <c r="O22" s="479" t="s">
        <v>870</v>
      </c>
      <c r="P22" s="481" t="s">
        <v>1225</v>
      </c>
      <c r="Q22" s="481" t="s">
        <v>1204</v>
      </c>
      <c r="R22" s="479">
        <v>51.5</v>
      </c>
      <c r="S22" s="479"/>
      <c r="T22" s="479">
        <v>60</v>
      </c>
      <c r="U22" s="479"/>
      <c r="V22" s="479">
        <f t="shared" si="0"/>
        <v>111.5</v>
      </c>
      <c r="W22" s="479" t="s">
        <v>785</v>
      </c>
      <c r="Y22" s="520"/>
      <c r="Z22" s="430">
        <v>46153</v>
      </c>
      <c r="AA22" s="430">
        <v>46154</v>
      </c>
      <c r="AB22" s="430">
        <v>46155</v>
      </c>
      <c r="AC22" s="430">
        <v>46157</v>
      </c>
      <c r="AD22" s="430" t="s">
        <v>1212</v>
      </c>
      <c r="AE22" s="423" t="s">
        <v>916</v>
      </c>
      <c r="AF22" s="423" t="s">
        <v>917</v>
      </c>
      <c r="AG22" s="423" t="s">
        <v>918</v>
      </c>
      <c r="AH22" s="423"/>
      <c r="AI22" s="429">
        <v>46164</v>
      </c>
      <c r="AJ22" s="423"/>
      <c r="AK22" s="423"/>
      <c r="AL22" s="24"/>
      <c r="AM22" s="24"/>
      <c r="AN22" s="24"/>
      <c r="AO22" s="24"/>
    </row>
    <row r="23" spans="2:41" s="22" customFormat="1" ht="17.45">
      <c r="B23" s="469">
        <v>19569485</v>
      </c>
      <c r="C23" s="469" t="s">
        <v>1004</v>
      </c>
      <c r="D23" s="24">
        <v>1</v>
      </c>
      <c r="E23" s="30"/>
      <c r="F23" s="30"/>
      <c r="G23" s="438" t="s">
        <v>1189</v>
      </c>
      <c r="H23" s="30"/>
      <c r="I23" s="30"/>
      <c r="K23" s="30"/>
      <c r="L23" s="22" t="s">
        <v>1224</v>
      </c>
      <c r="M23" s="22" t="s">
        <v>1226</v>
      </c>
      <c r="R23" s="475">
        <v>0</v>
      </c>
      <c r="S23" s="475"/>
      <c r="T23" s="475">
        <v>0</v>
      </c>
      <c r="U23" s="30"/>
      <c r="V23" s="135">
        <f t="shared" si="0"/>
        <v>0</v>
      </c>
      <c r="W23" s="135"/>
      <c r="X23" s="126"/>
      <c r="Y23" s="424"/>
      <c r="Z23" s="430">
        <v>46153</v>
      </c>
      <c r="AA23" s="430">
        <v>46154</v>
      </c>
      <c r="AB23" s="430">
        <v>46155</v>
      </c>
      <c r="AC23" s="430">
        <v>46157</v>
      </c>
      <c r="AD23" s="430" t="s">
        <v>1212</v>
      </c>
      <c r="AE23" s="423" t="s">
        <v>916</v>
      </c>
      <c r="AF23" s="423" t="s">
        <v>917</v>
      </c>
      <c r="AG23" s="423" t="s">
        <v>918</v>
      </c>
      <c r="AH23" s="423"/>
      <c r="AI23" s="429">
        <v>46164</v>
      </c>
      <c r="AJ23" s="423"/>
      <c r="AK23" s="423"/>
      <c r="AL23" s="24"/>
      <c r="AM23" s="24"/>
      <c r="AN23" s="24"/>
      <c r="AO23" s="24"/>
    </row>
    <row r="24" spans="2:41" s="22" customFormat="1" ht="72.599999999999994">
      <c r="B24" s="438">
        <v>19526069</v>
      </c>
      <c r="C24" s="438" t="s">
        <v>650</v>
      </c>
      <c r="D24" s="511">
        <v>1</v>
      </c>
      <c r="E24" s="438"/>
      <c r="F24" s="438" t="s">
        <v>110</v>
      </c>
      <c r="G24" s="438" t="s">
        <v>1189</v>
      </c>
      <c r="H24" s="438"/>
      <c r="I24" s="438" t="s">
        <v>795</v>
      </c>
      <c r="J24" s="482"/>
      <c r="K24" s="484">
        <v>2</v>
      </c>
      <c r="L24" s="496" t="s">
        <v>768</v>
      </c>
      <c r="M24" s="496" t="s">
        <v>768</v>
      </c>
      <c r="N24" s="495"/>
      <c r="O24" s="479"/>
      <c r="P24" s="481"/>
      <c r="Q24" s="495" t="s">
        <v>1227</v>
      </c>
      <c r="R24" s="479">
        <v>16</v>
      </c>
      <c r="S24" s="479"/>
      <c r="T24" s="479">
        <v>40</v>
      </c>
      <c r="U24" s="479"/>
      <c r="V24" s="479">
        <f t="shared" si="0"/>
        <v>56</v>
      </c>
      <c r="W24" s="479"/>
      <c r="X24" s="22" t="s">
        <v>1228</v>
      </c>
      <c r="Y24" s="520"/>
      <c r="Z24" s="430">
        <v>46185</v>
      </c>
      <c r="AA24" s="430">
        <v>46188</v>
      </c>
      <c r="AB24" s="430">
        <v>46188</v>
      </c>
      <c r="AC24" s="430">
        <v>46191</v>
      </c>
      <c r="AD24" s="430">
        <v>46188</v>
      </c>
      <c r="AE24" s="423">
        <v>46202</v>
      </c>
      <c r="AF24" s="423">
        <v>46204</v>
      </c>
      <c r="AG24" s="423">
        <v>46205</v>
      </c>
      <c r="AH24" s="423"/>
      <c r="AI24" s="423">
        <v>46209</v>
      </c>
      <c r="AJ24" s="423"/>
      <c r="AK24" s="423"/>
      <c r="AL24" s="24"/>
      <c r="AM24" s="24"/>
      <c r="AN24" s="24"/>
      <c r="AO24" s="24"/>
    </row>
    <row r="25" spans="2:41" s="22" customFormat="1" ht="69.95">
      <c r="B25" s="438">
        <v>19442852</v>
      </c>
      <c r="C25" s="438" t="s">
        <v>894</v>
      </c>
      <c r="D25" s="511">
        <v>2</v>
      </c>
      <c r="E25" s="438"/>
      <c r="F25" s="438" t="s">
        <v>95</v>
      </c>
      <c r="G25" s="438" t="s">
        <v>1194</v>
      </c>
      <c r="H25" s="437" t="s">
        <v>146</v>
      </c>
      <c r="I25" s="511" t="s">
        <v>795</v>
      </c>
      <c r="J25" s="484" t="s">
        <v>795</v>
      </c>
      <c r="K25" s="484">
        <v>1</v>
      </c>
      <c r="L25" s="431" t="s">
        <v>1229</v>
      </c>
      <c r="M25" s="473" t="s">
        <v>1198</v>
      </c>
      <c r="N25" s="495"/>
      <c r="O25" s="479" t="s">
        <v>882</v>
      </c>
      <c r="P25" s="481" t="s">
        <v>392</v>
      </c>
      <c r="Q25" s="481" t="s">
        <v>1204</v>
      </c>
      <c r="R25" s="478">
        <v>0</v>
      </c>
      <c r="S25" s="478"/>
      <c r="T25" s="478">
        <v>0</v>
      </c>
      <c r="U25" s="479"/>
      <c r="V25" s="479">
        <f t="shared" si="0"/>
        <v>0</v>
      </c>
      <c r="W25" s="479" t="s">
        <v>785</v>
      </c>
      <c r="Y25" s="520"/>
      <c r="Z25" s="430">
        <v>46170</v>
      </c>
      <c r="AA25" s="430">
        <v>46175</v>
      </c>
      <c r="AB25" s="430">
        <v>46178</v>
      </c>
      <c r="AC25" s="430">
        <v>46181</v>
      </c>
      <c r="AD25" s="430">
        <v>46181</v>
      </c>
      <c r="AE25" s="423">
        <v>46211</v>
      </c>
      <c r="AF25" s="423">
        <v>46217</v>
      </c>
      <c r="AG25" s="423">
        <v>46220</v>
      </c>
      <c r="AH25" s="423">
        <v>46223</v>
      </c>
      <c r="AI25" s="423">
        <v>46227</v>
      </c>
      <c r="AJ25" s="423"/>
      <c r="AK25" s="423"/>
      <c r="AL25" s="24"/>
      <c r="AM25" s="24"/>
      <c r="AN25" s="24"/>
      <c r="AO25" s="24"/>
    </row>
    <row r="26" spans="2:41" s="22" customFormat="1" ht="69.95">
      <c r="B26" s="438">
        <v>19340545</v>
      </c>
      <c r="C26" s="438" t="s">
        <v>937</v>
      </c>
      <c r="D26" s="511">
        <v>2</v>
      </c>
      <c r="E26" s="438"/>
      <c r="F26" s="438"/>
      <c r="G26" s="438" t="s">
        <v>1230</v>
      </c>
      <c r="H26" s="438"/>
      <c r="I26" s="438"/>
      <c r="J26" s="482"/>
      <c r="K26" s="484"/>
      <c r="L26" s="482" t="s">
        <v>753</v>
      </c>
      <c r="M26" s="482" t="s">
        <v>727</v>
      </c>
      <c r="N26" s="495"/>
      <c r="O26" s="491" t="s">
        <v>882</v>
      </c>
      <c r="P26" s="481" t="s">
        <v>1231</v>
      </c>
      <c r="Q26" s="491" t="s">
        <v>1199</v>
      </c>
      <c r="R26" s="478">
        <v>0</v>
      </c>
      <c r="S26" s="478"/>
      <c r="T26" s="478">
        <v>15</v>
      </c>
      <c r="U26" s="479"/>
      <c r="V26" s="479">
        <f t="shared" si="0"/>
        <v>15</v>
      </c>
      <c r="W26" s="479"/>
      <c r="Y26" s="520"/>
      <c r="Z26" s="430" t="s">
        <v>125</v>
      </c>
      <c r="AA26" s="430" t="s">
        <v>125</v>
      </c>
      <c r="AB26" s="430" t="s">
        <v>125</v>
      </c>
      <c r="AC26" s="430" t="s">
        <v>125</v>
      </c>
      <c r="AD26" s="430" t="s">
        <v>125</v>
      </c>
      <c r="AE26" s="423">
        <v>46170</v>
      </c>
      <c r="AF26" s="423">
        <v>46170</v>
      </c>
      <c r="AG26" s="423">
        <v>46171</v>
      </c>
      <c r="AH26" s="423">
        <v>46176</v>
      </c>
      <c r="AI26" s="423">
        <v>46181</v>
      </c>
      <c r="AJ26" s="423"/>
      <c r="AK26" s="423"/>
      <c r="AL26" s="24"/>
      <c r="AM26" s="24"/>
      <c r="AN26" s="24"/>
      <c r="AO26" s="24"/>
    </row>
    <row r="27" spans="2:41" s="22" customFormat="1" ht="105">
      <c r="B27" s="438">
        <v>19340781</v>
      </c>
      <c r="C27" s="438" t="s">
        <v>941</v>
      </c>
      <c r="D27" s="511">
        <v>2</v>
      </c>
      <c r="E27" s="438"/>
      <c r="F27" s="438"/>
      <c r="G27" s="438" t="s">
        <v>1230</v>
      </c>
      <c r="H27" s="438"/>
      <c r="I27" s="438"/>
      <c r="J27" s="482"/>
      <c r="K27" s="484"/>
      <c r="L27" s="482" t="s">
        <v>753</v>
      </c>
      <c r="M27" s="482" t="s">
        <v>727</v>
      </c>
      <c r="N27" s="495"/>
      <c r="O27" s="491" t="s">
        <v>882</v>
      </c>
      <c r="P27" s="481" t="s">
        <v>1232</v>
      </c>
      <c r="Q27" s="491" t="s">
        <v>1199</v>
      </c>
      <c r="R27" s="478">
        <v>0</v>
      </c>
      <c r="S27" s="478"/>
      <c r="T27" s="478">
        <v>25</v>
      </c>
      <c r="U27" s="479"/>
      <c r="V27" s="479">
        <f t="shared" si="0"/>
        <v>25</v>
      </c>
      <c r="W27" s="479"/>
      <c r="Y27" s="520"/>
      <c r="Z27" s="430" t="s">
        <v>125</v>
      </c>
      <c r="AA27" s="430" t="s">
        <v>125</v>
      </c>
      <c r="AB27" s="430" t="s">
        <v>125</v>
      </c>
      <c r="AC27" s="430" t="s">
        <v>125</v>
      </c>
      <c r="AD27" s="430" t="s">
        <v>125</v>
      </c>
      <c r="AE27" s="423">
        <v>46176</v>
      </c>
      <c r="AF27" s="423">
        <v>46176</v>
      </c>
      <c r="AG27" s="423">
        <v>46177</v>
      </c>
      <c r="AH27" s="423">
        <v>46182</v>
      </c>
      <c r="AI27" s="423">
        <v>46185</v>
      </c>
      <c r="AJ27" s="423"/>
      <c r="AK27" s="423"/>
      <c r="AL27" s="24"/>
      <c r="AM27" s="24"/>
      <c r="AN27" s="24"/>
      <c r="AO27" s="24"/>
    </row>
    <row r="28" spans="2:41" s="22" customFormat="1" ht="69.95">
      <c r="B28" s="438">
        <v>19340986</v>
      </c>
      <c r="C28" s="438" t="s">
        <v>945</v>
      </c>
      <c r="D28" s="511">
        <v>2</v>
      </c>
      <c r="E28" s="438"/>
      <c r="F28" s="438"/>
      <c r="G28" s="438" t="s">
        <v>1230</v>
      </c>
      <c r="H28" s="438"/>
      <c r="I28" s="438"/>
      <c r="J28" s="482"/>
      <c r="K28" s="484"/>
      <c r="L28" s="482" t="s">
        <v>753</v>
      </c>
      <c r="M28" s="482" t="s">
        <v>727</v>
      </c>
      <c r="N28" s="495"/>
      <c r="O28" s="491" t="s">
        <v>882</v>
      </c>
      <c r="P28" s="481" t="s">
        <v>1233</v>
      </c>
      <c r="Q28" s="491" t="s">
        <v>1199</v>
      </c>
      <c r="R28" s="478">
        <v>0</v>
      </c>
      <c r="S28" s="478"/>
      <c r="T28" s="478">
        <v>20</v>
      </c>
      <c r="U28" s="479"/>
      <c r="V28" s="479">
        <f t="shared" si="0"/>
        <v>20</v>
      </c>
      <c r="W28" s="479"/>
      <c r="Y28" s="520"/>
      <c r="Z28" s="430" t="s">
        <v>125</v>
      </c>
      <c r="AA28" s="430" t="s">
        <v>125</v>
      </c>
      <c r="AB28" s="430" t="s">
        <v>125</v>
      </c>
      <c r="AC28" s="430" t="s">
        <v>125</v>
      </c>
      <c r="AD28" s="430" t="s">
        <v>125</v>
      </c>
      <c r="AE28" s="423">
        <v>46183</v>
      </c>
      <c r="AF28" s="423">
        <v>46183</v>
      </c>
      <c r="AG28" s="423">
        <v>46184</v>
      </c>
      <c r="AH28" s="423">
        <v>46189</v>
      </c>
      <c r="AI28" s="423">
        <v>46192</v>
      </c>
      <c r="AJ28" s="423"/>
      <c r="AK28" s="423"/>
      <c r="AL28" s="24"/>
      <c r="AM28" s="24"/>
      <c r="AN28" s="24"/>
      <c r="AO28" s="24"/>
    </row>
    <row r="29" spans="2:41" s="22" customFormat="1" ht="87.6">
      <c r="B29" s="438">
        <v>19340756</v>
      </c>
      <c r="C29" s="438" t="s">
        <v>939</v>
      </c>
      <c r="D29" s="511">
        <v>2</v>
      </c>
      <c r="E29" s="438"/>
      <c r="F29" s="438"/>
      <c r="G29" s="438" t="s">
        <v>1230</v>
      </c>
      <c r="H29" s="438"/>
      <c r="I29" s="438"/>
      <c r="J29" s="482"/>
      <c r="K29" s="484"/>
      <c r="L29" s="482" t="s">
        <v>753</v>
      </c>
      <c r="M29" s="482" t="s">
        <v>727</v>
      </c>
      <c r="N29" s="495"/>
      <c r="O29" s="491" t="s">
        <v>882</v>
      </c>
      <c r="P29" s="481" t="s">
        <v>1234</v>
      </c>
      <c r="Q29" s="525" t="s">
        <v>1191</v>
      </c>
      <c r="R29" s="478">
        <v>0</v>
      </c>
      <c r="S29" s="478"/>
      <c r="T29" s="478">
        <v>20</v>
      </c>
      <c r="U29" s="479"/>
      <c r="V29" s="479">
        <f t="shared" si="0"/>
        <v>20</v>
      </c>
      <c r="W29" s="479" t="s">
        <v>785</v>
      </c>
      <c r="Y29" s="520"/>
      <c r="Z29" s="430" t="s">
        <v>125</v>
      </c>
      <c r="AA29" s="430" t="s">
        <v>125</v>
      </c>
      <c r="AB29" s="430" t="s">
        <v>125</v>
      </c>
      <c r="AC29" s="430" t="s">
        <v>125</v>
      </c>
      <c r="AD29" s="430" t="s">
        <v>125</v>
      </c>
      <c r="AE29" s="423">
        <v>46168</v>
      </c>
      <c r="AF29" s="423">
        <v>46168</v>
      </c>
      <c r="AG29" s="423">
        <v>46169</v>
      </c>
      <c r="AH29" s="423">
        <v>46176</v>
      </c>
      <c r="AI29" s="423">
        <v>46181</v>
      </c>
      <c r="AJ29" s="423"/>
      <c r="AK29" s="423"/>
      <c r="AL29" s="24"/>
      <c r="AM29" s="24"/>
      <c r="AN29" s="24"/>
      <c r="AO29" s="24"/>
    </row>
    <row r="30" spans="2:41" s="22" customFormat="1" ht="52.5">
      <c r="B30" s="438">
        <v>19553713</v>
      </c>
      <c r="C30" s="438" t="s">
        <v>1235</v>
      </c>
      <c r="D30" s="511">
        <v>2</v>
      </c>
      <c r="E30" s="438" t="s">
        <v>1236</v>
      </c>
      <c r="F30" s="438" t="s">
        <v>95</v>
      </c>
      <c r="G30" s="438" t="s">
        <v>1189</v>
      </c>
      <c r="H30" s="437" t="s">
        <v>108</v>
      </c>
      <c r="I30" s="511" t="s">
        <v>795</v>
      </c>
      <c r="J30" s="484" t="s">
        <v>795</v>
      </c>
      <c r="K30" s="484">
        <v>1</v>
      </c>
      <c r="L30" s="527" t="s">
        <v>1237</v>
      </c>
      <c r="M30" s="473" t="s">
        <v>1198</v>
      </c>
      <c r="N30" s="495"/>
      <c r="O30" s="479" t="s">
        <v>882</v>
      </c>
      <c r="P30" s="481" t="s">
        <v>132</v>
      </c>
      <c r="Q30" s="481" t="s">
        <v>1204</v>
      </c>
      <c r="R30" s="479">
        <v>0</v>
      </c>
      <c r="S30" s="479"/>
      <c r="T30" s="526">
        <v>0</v>
      </c>
      <c r="U30" s="479"/>
      <c r="V30" s="479">
        <f t="shared" si="0"/>
        <v>0</v>
      </c>
      <c r="W30" s="479" t="s">
        <v>785</v>
      </c>
      <c r="Y30" s="520"/>
      <c r="Z30" s="430">
        <v>46170</v>
      </c>
      <c r="AA30" s="430">
        <v>46175</v>
      </c>
      <c r="AB30" s="430">
        <v>46178</v>
      </c>
      <c r="AC30" s="430">
        <v>46181</v>
      </c>
      <c r="AD30" s="430">
        <v>46181</v>
      </c>
      <c r="AE30" s="423">
        <v>46211</v>
      </c>
      <c r="AF30" s="423">
        <v>46217</v>
      </c>
      <c r="AG30" s="423">
        <v>46223</v>
      </c>
      <c r="AH30" s="423">
        <v>46223</v>
      </c>
      <c r="AI30" s="423">
        <v>46227</v>
      </c>
      <c r="AJ30" s="423"/>
      <c r="AK30" s="423"/>
      <c r="AL30" s="24"/>
      <c r="AM30" s="24"/>
      <c r="AN30" s="24"/>
      <c r="AO30" s="24"/>
    </row>
    <row r="31" spans="2:41" s="22" customFormat="1" ht="69.95">
      <c r="B31" s="438">
        <v>19515645</v>
      </c>
      <c r="C31" s="438" t="s">
        <v>892</v>
      </c>
      <c r="D31" s="511">
        <v>1</v>
      </c>
      <c r="E31" s="438" t="s">
        <v>1238</v>
      </c>
      <c r="F31" s="438" t="s">
        <v>95</v>
      </c>
      <c r="G31" s="438" t="s">
        <v>1230</v>
      </c>
      <c r="H31" s="438" t="s">
        <v>108</v>
      </c>
      <c r="I31" s="438"/>
      <c r="J31" s="482" t="s">
        <v>1239</v>
      </c>
      <c r="K31" s="484"/>
      <c r="L31" s="482" t="s">
        <v>1229</v>
      </c>
      <c r="M31" s="473" t="s">
        <v>1208</v>
      </c>
      <c r="N31" s="495" t="s">
        <v>1240</v>
      </c>
      <c r="O31" s="479"/>
      <c r="P31" s="481" t="s">
        <v>1241</v>
      </c>
      <c r="Q31" s="495" t="s">
        <v>1204</v>
      </c>
      <c r="R31" s="479">
        <v>0</v>
      </c>
      <c r="S31" s="479">
        <v>0</v>
      </c>
      <c r="T31" s="479">
        <v>10</v>
      </c>
      <c r="U31" s="479">
        <v>0</v>
      </c>
      <c r="V31" s="479">
        <f t="shared" si="0"/>
        <v>10</v>
      </c>
      <c r="W31" s="479" t="s">
        <v>785</v>
      </c>
      <c r="Y31" s="520"/>
      <c r="Z31" s="430" t="s">
        <v>125</v>
      </c>
      <c r="AA31" s="430" t="s">
        <v>125</v>
      </c>
      <c r="AB31" s="430" t="s">
        <v>125</v>
      </c>
      <c r="AC31" s="430" t="s">
        <v>125</v>
      </c>
      <c r="AD31" s="430" t="s">
        <v>125</v>
      </c>
      <c r="AE31" s="430">
        <v>46147</v>
      </c>
      <c r="AF31" s="430">
        <v>46147</v>
      </c>
      <c r="AG31" s="430">
        <v>46148</v>
      </c>
      <c r="AH31" s="430"/>
      <c r="AI31" s="430">
        <v>46150</v>
      </c>
      <c r="AJ31" s="423"/>
      <c r="AK31" s="423" t="s">
        <v>1242</v>
      </c>
      <c r="AL31" s="24"/>
      <c r="AM31" s="24"/>
      <c r="AN31" s="24"/>
      <c r="AO31" s="24"/>
    </row>
    <row r="32" spans="2:41" s="22" customFormat="1" ht="69.95">
      <c r="B32" s="438">
        <v>19552762</v>
      </c>
      <c r="C32" s="438" t="s">
        <v>949</v>
      </c>
      <c r="D32" s="498">
        <v>1</v>
      </c>
      <c r="E32" s="476" t="s">
        <v>1188</v>
      </c>
      <c r="F32" s="476"/>
      <c r="G32" s="438" t="s">
        <v>1189</v>
      </c>
      <c r="H32" s="476"/>
      <c r="I32" s="476"/>
      <c r="J32" s="482"/>
      <c r="K32" s="484"/>
      <c r="L32" s="482" t="s">
        <v>753</v>
      </c>
      <c r="M32" s="482" t="s">
        <v>727</v>
      </c>
      <c r="N32" s="495"/>
      <c r="O32" s="479" t="s">
        <v>882</v>
      </c>
      <c r="P32" s="481" t="s">
        <v>564</v>
      </c>
      <c r="Q32" s="525" t="s">
        <v>1191</v>
      </c>
      <c r="R32" s="479">
        <v>0</v>
      </c>
      <c r="S32" s="479"/>
      <c r="T32" s="479">
        <v>0</v>
      </c>
      <c r="U32" s="479"/>
      <c r="V32" s="479">
        <f t="shared" si="0"/>
        <v>0</v>
      </c>
      <c r="W32" s="479" t="s">
        <v>785</v>
      </c>
      <c r="Y32" s="520" t="s">
        <v>1243</v>
      </c>
      <c r="Z32" s="430">
        <v>46154</v>
      </c>
      <c r="AA32" s="430">
        <v>46154</v>
      </c>
      <c r="AB32" s="430">
        <v>46154</v>
      </c>
      <c r="AC32" s="430">
        <v>46154</v>
      </c>
      <c r="AD32" s="430" t="s">
        <v>785</v>
      </c>
      <c r="AE32" s="423">
        <v>46161</v>
      </c>
      <c r="AF32" s="423">
        <v>46162</v>
      </c>
      <c r="AG32" s="423">
        <v>46163</v>
      </c>
      <c r="AH32" s="430" t="s">
        <v>125</v>
      </c>
      <c r="AI32" s="423">
        <v>46168</v>
      </c>
      <c r="AJ32" s="423"/>
      <c r="AK32" s="423" t="s">
        <v>1193</v>
      </c>
      <c r="AL32" s="24"/>
      <c r="AM32" s="24"/>
      <c r="AN32" s="24"/>
      <c r="AO32" s="24"/>
    </row>
    <row r="33" spans="2:41" s="22" customFormat="1" ht="105">
      <c r="B33" s="524">
        <v>19469754</v>
      </c>
      <c r="C33" s="438" t="s">
        <v>1244</v>
      </c>
      <c r="D33" s="494">
        <v>2</v>
      </c>
      <c r="E33" s="481"/>
      <c r="F33" s="481"/>
      <c r="G33" s="485" t="s">
        <v>780</v>
      </c>
      <c r="H33" s="481"/>
      <c r="I33" s="481"/>
      <c r="J33" s="482"/>
      <c r="K33" s="484"/>
      <c r="L33" s="482" t="s">
        <v>727</v>
      </c>
      <c r="M33" s="482" t="s">
        <v>727</v>
      </c>
      <c r="N33" s="495"/>
      <c r="O33" s="479"/>
      <c r="P33" s="431" t="s">
        <v>181</v>
      </c>
      <c r="Q33" s="481" t="s">
        <v>1199</v>
      </c>
      <c r="R33" s="479">
        <v>0</v>
      </c>
      <c r="S33" s="479">
        <v>0</v>
      </c>
      <c r="T33" s="479">
        <v>0</v>
      </c>
      <c r="U33" s="479">
        <v>160</v>
      </c>
      <c r="V33" s="479">
        <f t="shared" si="0"/>
        <v>160</v>
      </c>
      <c r="W33" s="479"/>
      <c r="Y33" s="520" t="s">
        <v>1245</v>
      </c>
      <c r="Z33" s="430" t="s">
        <v>125</v>
      </c>
      <c r="AA33" s="430" t="s">
        <v>125</v>
      </c>
      <c r="AB33" s="430" t="s">
        <v>125</v>
      </c>
      <c r="AC33" s="430" t="s">
        <v>125</v>
      </c>
      <c r="AD33" s="430" t="s">
        <v>125</v>
      </c>
      <c r="AE33" s="423" t="s">
        <v>125</v>
      </c>
      <c r="AF33" s="423" t="s">
        <v>125</v>
      </c>
      <c r="AG33" s="423" t="s">
        <v>125</v>
      </c>
      <c r="AH33" s="423"/>
      <c r="AI33" s="423"/>
      <c r="AJ33" s="423"/>
      <c r="AK33" s="423"/>
      <c r="AL33" s="24"/>
      <c r="AM33" s="24"/>
      <c r="AN33" s="24"/>
      <c r="AO33" s="24"/>
    </row>
    <row r="34" spans="2:41" s="22" customFormat="1" ht="35.1">
      <c r="B34" s="438">
        <v>19515992</v>
      </c>
      <c r="C34" s="523" t="s">
        <v>1083</v>
      </c>
      <c r="D34" s="498">
        <v>1</v>
      </c>
      <c r="E34" s="476"/>
      <c r="F34" s="476"/>
      <c r="G34" s="438" t="s">
        <v>1189</v>
      </c>
      <c r="H34" s="476" t="s">
        <v>146</v>
      </c>
      <c r="I34" s="476" t="s">
        <v>795</v>
      </c>
      <c r="J34" s="482" t="s">
        <v>795</v>
      </c>
      <c r="K34" s="484"/>
      <c r="L34" s="482" t="s">
        <v>737</v>
      </c>
      <c r="M34" s="482" t="s">
        <v>523</v>
      </c>
      <c r="N34" s="495"/>
      <c r="O34" s="479" t="s">
        <v>870</v>
      </c>
      <c r="P34" s="481"/>
      <c r="Q34" s="495" t="s">
        <v>1204</v>
      </c>
      <c r="R34" s="479">
        <v>36</v>
      </c>
      <c r="S34" s="479"/>
      <c r="T34" s="479">
        <v>240</v>
      </c>
      <c r="U34" s="479"/>
      <c r="V34" s="479">
        <f t="shared" si="0"/>
        <v>276</v>
      </c>
      <c r="W34" s="479"/>
      <c r="Y34" s="520"/>
      <c r="Z34" s="430"/>
      <c r="AA34" s="430"/>
      <c r="AB34" s="430"/>
      <c r="AC34" s="430">
        <v>46181</v>
      </c>
      <c r="AD34" s="430"/>
      <c r="AE34" s="423"/>
      <c r="AF34" s="423"/>
      <c r="AG34" s="423"/>
      <c r="AH34" s="423"/>
      <c r="AI34" s="423">
        <v>46227</v>
      </c>
      <c r="AJ34" s="423"/>
      <c r="AK34" s="423"/>
      <c r="AL34" s="24"/>
      <c r="AM34" s="24"/>
      <c r="AN34" s="24"/>
      <c r="AO34" s="24"/>
    </row>
    <row r="35" spans="2:41" s="22" customFormat="1" ht="52.5">
      <c r="B35" s="438">
        <v>19515995</v>
      </c>
      <c r="C35" s="438" t="s">
        <v>975</v>
      </c>
      <c r="D35" s="498">
        <v>2</v>
      </c>
      <c r="E35" s="476"/>
      <c r="F35" s="476" t="s">
        <v>95</v>
      </c>
      <c r="G35" s="438" t="s">
        <v>1189</v>
      </c>
      <c r="H35" s="476" t="s">
        <v>146</v>
      </c>
      <c r="I35" s="476" t="s">
        <v>795</v>
      </c>
      <c r="J35" s="522" t="s">
        <v>1246</v>
      </c>
      <c r="K35" s="484"/>
      <c r="L35" s="482" t="s">
        <v>897</v>
      </c>
      <c r="M35" s="473" t="s">
        <v>1208</v>
      </c>
      <c r="N35" s="495"/>
      <c r="O35" s="495"/>
      <c r="P35" s="495" t="s">
        <v>1247</v>
      </c>
      <c r="Q35" s="495" t="s">
        <v>1204</v>
      </c>
      <c r="R35" s="652">
        <v>80</v>
      </c>
      <c r="S35" s="479">
        <v>0</v>
      </c>
      <c r="T35" s="479">
        <v>40</v>
      </c>
      <c r="U35" s="479">
        <v>0</v>
      </c>
      <c r="V35" s="479">
        <f t="shared" si="0"/>
        <v>120</v>
      </c>
      <c r="W35" s="479" t="s">
        <v>785</v>
      </c>
      <c r="Y35" s="520"/>
      <c r="Z35" s="430">
        <v>46182</v>
      </c>
      <c r="AA35" s="430">
        <v>46184</v>
      </c>
      <c r="AB35" s="430">
        <v>46188</v>
      </c>
      <c r="AC35" s="430">
        <v>46190</v>
      </c>
      <c r="AD35" s="430" t="s">
        <v>785</v>
      </c>
      <c r="AE35" s="423">
        <v>46202</v>
      </c>
      <c r="AF35" s="423">
        <v>46204</v>
      </c>
      <c r="AG35" s="423">
        <v>46206</v>
      </c>
      <c r="AH35" s="423"/>
      <c r="AI35" s="423">
        <v>46213</v>
      </c>
      <c r="AJ35" s="423"/>
      <c r="AK35" s="423"/>
      <c r="AL35" s="24"/>
      <c r="AM35" s="24"/>
      <c r="AN35" s="24"/>
      <c r="AO35" s="24"/>
    </row>
    <row r="36" spans="2:41" s="22" customFormat="1" ht="52.5">
      <c r="B36" s="438">
        <v>19516003</v>
      </c>
      <c r="C36" s="438" t="s">
        <v>970</v>
      </c>
      <c r="D36" s="498">
        <v>2</v>
      </c>
      <c r="E36" s="476"/>
      <c r="F36" s="476" t="s">
        <v>95</v>
      </c>
      <c r="G36" s="438" t="s">
        <v>1189</v>
      </c>
      <c r="H36" s="476" t="s">
        <v>146</v>
      </c>
      <c r="I36" s="476" t="s">
        <v>795</v>
      </c>
      <c r="J36" s="500" t="s">
        <v>1246</v>
      </c>
      <c r="K36" s="479"/>
      <c r="L36" s="497" t="s">
        <v>897</v>
      </c>
      <c r="M36" s="473" t="s">
        <v>1208</v>
      </c>
      <c r="N36" s="495"/>
      <c r="O36" s="495"/>
      <c r="P36" s="495" t="s">
        <v>1248</v>
      </c>
      <c r="Q36" s="495" t="s">
        <v>1204</v>
      </c>
      <c r="R36" s="653"/>
      <c r="S36" s="479">
        <v>0</v>
      </c>
      <c r="T36" s="479">
        <v>40</v>
      </c>
      <c r="U36" s="479">
        <v>0</v>
      </c>
      <c r="V36" s="479">
        <f t="shared" si="0"/>
        <v>40</v>
      </c>
      <c r="W36" s="479" t="s">
        <v>785</v>
      </c>
      <c r="Y36" s="494"/>
      <c r="Z36" s="430">
        <v>46182</v>
      </c>
      <c r="AA36" s="430">
        <v>46184</v>
      </c>
      <c r="AB36" s="430">
        <v>46189</v>
      </c>
      <c r="AC36" s="430">
        <v>46190</v>
      </c>
      <c r="AD36" s="430" t="s">
        <v>785</v>
      </c>
      <c r="AE36" s="423">
        <v>46210</v>
      </c>
      <c r="AF36" s="423">
        <v>46212</v>
      </c>
      <c r="AG36" s="423">
        <v>46216</v>
      </c>
      <c r="AH36" s="423"/>
      <c r="AI36" s="423">
        <v>46220</v>
      </c>
      <c r="AJ36" s="518"/>
      <c r="AK36" s="518"/>
      <c r="AL36" s="24"/>
      <c r="AM36" s="24"/>
      <c r="AN36" s="517"/>
      <c r="AO36" s="517"/>
    </row>
    <row r="37" spans="2:41" s="134" customFormat="1" ht="52.5">
      <c r="B37" s="510">
        <v>19555923</v>
      </c>
      <c r="C37" s="510" t="s">
        <v>912</v>
      </c>
      <c r="D37" s="487">
        <v>1</v>
      </c>
      <c r="E37" s="505"/>
      <c r="F37" s="505"/>
      <c r="G37" s="505" t="s">
        <v>1230</v>
      </c>
      <c r="H37" s="505"/>
      <c r="I37" s="505"/>
      <c r="J37" s="475"/>
      <c r="K37" s="475"/>
      <c r="L37" s="472" t="s">
        <v>1249</v>
      </c>
      <c r="M37" s="482" t="s">
        <v>727</v>
      </c>
      <c r="N37" s="504"/>
      <c r="O37" s="504" t="s">
        <v>882</v>
      </c>
      <c r="P37" s="516" t="s">
        <v>462</v>
      </c>
      <c r="Q37" s="491" t="s">
        <v>1199</v>
      </c>
      <c r="R37" s="475">
        <v>0</v>
      </c>
      <c r="S37" s="475"/>
      <c r="T37" s="475">
        <v>15</v>
      </c>
      <c r="U37" s="475"/>
      <c r="V37" s="479">
        <f t="shared" si="0"/>
        <v>15</v>
      </c>
      <c r="W37" s="479"/>
      <c r="Y37" s="515" t="s">
        <v>1250</v>
      </c>
      <c r="Z37" s="430" t="s">
        <v>125</v>
      </c>
      <c r="AA37" s="430" t="s">
        <v>125</v>
      </c>
      <c r="AB37" s="430" t="s">
        <v>125</v>
      </c>
      <c r="AC37" s="430" t="s">
        <v>125</v>
      </c>
      <c r="AD37" s="430" t="s">
        <v>125</v>
      </c>
      <c r="AE37" s="429"/>
      <c r="AF37" s="429"/>
      <c r="AG37" s="429"/>
      <c r="AH37" s="429"/>
      <c r="AI37" s="429">
        <v>46175</v>
      </c>
      <c r="AJ37" s="514" t="s">
        <v>1251</v>
      </c>
      <c r="AK37" s="513"/>
      <c r="AL37" s="135"/>
      <c r="AM37" s="135"/>
      <c r="AN37" s="135"/>
      <c r="AO37" s="135"/>
    </row>
    <row r="38" spans="2:41" s="22" customFormat="1" ht="87.6">
      <c r="B38" s="438">
        <v>19129965</v>
      </c>
      <c r="C38" s="512" t="s">
        <v>1055</v>
      </c>
      <c r="D38" s="498">
        <v>3</v>
      </c>
      <c r="E38" s="476" t="s">
        <v>1252</v>
      </c>
      <c r="F38" s="476"/>
      <c r="G38" s="476" t="s">
        <v>1189</v>
      </c>
      <c r="H38" s="476" t="s">
        <v>108</v>
      </c>
      <c r="I38" s="476" t="s">
        <v>795</v>
      </c>
      <c r="J38" s="479" t="s">
        <v>795</v>
      </c>
      <c r="K38" s="479"/>
      <c r="L38" s="479" t="s">
        <v>1249</v>
      </c>
      <c r="M38" s="479" t="s">
        <v>1198</v>
      </c>
      <c r="N38" s="495"/>
      <c r="O38" s="495" t="s">
        <v>882</v>
      </c>
      <c r="P38" s="495" t="s">
        <v>1253</v>
      </c>
      <c r="Q38" s="495" t="s">
        <v>1191</v>
      </c>
      <c r="R38" s="479">
        <v>10</v>
      </c>
      <c r="S38" s="479">
        <v>0</v>
      </c>
      <c r="T38" s="479">
        <v>25</v>
      </c>
      <c r="U38" s="479"/>
      <c r="V38" s="479">
        <f t="shared" si="0"/>
        <v>35</v>
      </c>
      <c r="W38" s="479" t="s">
        <v>785</v>
      </c>
      <c r="Y38" s="494"/>
      <c r="Z38" s="430"/>
      <c r="AA38" s="430"/>
      <c r="AB38" s="430"/>
      <c r="AC38" s="430">
        <v>46192</v>
      </c>
      <c r="AD38" s="430"/>
      <c r="AE38" s="423"/>
      <c r="AF38" s="423"/>
      <c r="AG38" s="423"/>
      <c r="AH38" s="423"/>
      <c r="AI38" s="423">
        <v>46204</v>
      </c>
      <c r="AJ38" s="423"/>
      <c r="AK38" s="423"/>
      <c r="AL38" s="24"/>
      <c r="AM38" s="24"/>
      <c r="AN38" s="24"/>
      <c r="AO38" s="24"/>
    </row>
    <row r="39" spans="2:41" s="22" customFormat="1" ht="69.95">
      <c r="B39" s="438">
        <v>19131416</v>
      </c>
      <c r="C39" s="438" t="s">
        <v>874</v>
      </c>
      <c r="D39" s="487">
        <v>2</v>
      </c>
      <c r="E39" s="505"/>
      <c r="F39" s="505" t="s">
        <v>1254</v>
      </c>
      <c r="G39" s="505" t="s">
        <v>1196</v>
      </c>
      <c r="H39" s="505"/>
      <c r="I39" s="505" t="s">
        <v>795</v>
      </c>
      <c r="J39" s="479"/>
      <c r="K39" s="479"/>
      <c r="L39" s="479" t="s">
        <v>1255</v>
      </c>
      <c r="M39" s="482" t="s">
        <v>727</v>
      </c>
      <c r="N39" s="431" t="s">
        <v>1256</v>
      </c>
      <c r="O39" s="495" t="s">
        <v>882</v>
      </c>
      <c r="P39" s="431" t="s">
        <v>181</v>
      </c>
      <c r="Q39" s="431" t="s">
        <v>1199</v>
      </c>
      <c r="R39" s="479">
        <v>0</v>
      </c>
      <c r="S39" s="479">
        <v>0</v>
      </c>
      <c r="T39" s="479">
        <v>60</v>
      </c>
      <c r="U39" s="479">
        <v>0</v>
      </c>
      <c r="V39" s="479">
        <f t="shared" ref="V39:V70" si="1">SUM(R39:U39)</f>
        <v>60</v>
      </c>
      <c r="W39" s="479" t="s">
        <v>785</v>
      </c>
      <c r="Y39" s="511" t="s">
        <v>1257</v>
      </c>
      <c r="Z39" s="430" t="s">
        <v>125</v>
      </c>
      <c r="AA39" s="430" t="s">
        <v>125</v>
      </c>
      <c r="AB39" s="430" t="s">
        <v>125</v>
      </c>
      <c r="AC39" s="430" t="s">
        <v>125</v>
      </c>
      <c r="AD39" s="430" t="s">
        <v>125</v>
      </c>
      <c r="AE39" s="423" t="s">
        <v>876</v>
      </c>
      <c r="AF39" s="423">
        <v>46206</v>
      </c>
      <c r="AG39" s="423">
        <v>46213</v>
      </c>
      <c r="AH39" s="423"/>
      <c r="AI39" s="423">
        <v>46220</v>
      </c>
      <c r="AJ39" s="423" t="s">
        <v>1258</v>
      </c>
      <c r="AK39" s="423"/>
      <c r="AL39" s="24"/>
      <c r="AM39" s="24"/>
      <c r="AN39" s="24"/>
      <c r="AO39" s="24"/>
    </row>
    <row r="40" spans="2:41" s="134" customFormat="1" ht="57.95">
      <c r="B40" s="510">
        <v>19226704</v>
      </c>
      <c r="C40" s="510" t="s">
        <v>890</v>
      </c>
      <c r="D40" s="487">
        <v>1</v>
      </c>
      <c r="E40" s="505"/>
      <c r="F40" s="505" t="s">
        <v>95</v>
      </c>
      <c r="G40" s="500" t="s">
        <v>1259</v>
      </c>
      <c r="H40" s="505" t="s">
        <v>108</v>
      </c>
      <c r="I40" s="505" t="s">
        <v>795</v>
      </c>
      <c r="J40" s="475" t="s">
        <v>795</v>
      </c>
      <c r="K40" s="475"/>
      <c r="L40" s="482" t="s">
        <v>1229</v>
      </c>
      <c r="M40" s="473" t="s">
        <v>1208</v>
      </c>
      <c r="N40" s="504"/>
      <c r="O40" s="504" t="s">
        <v>882</v>
      </c>
      <c r="P40" s="504" t="s">
        <v>1260</v>
      </c>
      <c r="Q40" s="504" t="s">
        <v>1191</v>
      </c>
      <c r="R40" s="475">
        <v>10</v>
      </c>
      <c r="S40" s="475">
        <v>0</v>
      </c>
      <c r="T40" s="475">
        <v>0</v>
      </c>
      <c r="U40" s="475">
        <v>0</v>
      </c>
      <c r="V40" s="479">
        <f t="shared" si="1"/>
        <v>10</v>
      </c>
      <c r="W40" s="479" t="s">
        <v>785</v>
      </c>
      <c r="X40" s="134" t="s">
        <v>1261</v>
      </c>
      <c r="Y40" s="487" t="s">
        <v>1262</v>
      </c>
      <c r="Z40" s="430">
        <v>46150</v>
      </c>
      <c r="AA40" s="430">
        <v>46153</v>
      </c>
      <c r="AB40" s="430">
        <v>46153</v>
      </c>
      <c r="AC40" s="430">
        <v>46155</v>
      </c>
      <c r="AD40" s="430" t="s">
        <v>125</v>
      </c>
      <c r="AE40" s="430" t="s">
        <v>125</v>
      </c>
      <c r="AF40" s="430" t="s">
        <v>125</v>
      </c>
      <c r="AG40" s="430" t="s">
        <v>125</v>
      </c>
      <c r="AH40" s="430" t="s">
        <v>125</v>
      </c>
      <c r="AI40" s="430" t="s">
        <v>125</v>
      </c>
      <c r="AJ40" s="429"/>
      <c r="AK40" s="429" t="s">
        <v>231</v>
      </c>
      <c r="AL40" s="135"/>
      <c r="AM40" s="135"/>
      <c r="AN40" s="24"/>
      <c r="AO40" s="24"/>
    </row>
    <row r="41" spans="2:41" s="22" customFormat="1" ht="35.1">
      <c r="B41" s="438">
        <v>19312547</v>
      </c>
      <c r="C41" s="438" t="s">
        <v>1012</v>
      </c>
      <c r="D41" s="494">
        <v>1</v>
      </c>
      <c r="E41" s="509" t="s">
        <v>1207</v>
      </c>
      <c r="F41" s="481"/>
      <c r="G41" s="438" t="s">
        <v>1189</v>
      </c>
      <c r="H41" s="509"/>
      <c r="I41" s="481"/>
      <c r="J41" s="479"/>
      <c r="K41" s="479"/>
      <c r="L41" s="496" t="s">
        <v>768</v>
      </c>
      <c r="M41" s="496" t="s">
        <v>768</v>
      </c>
      <c r="N41" s="495"/>
      <c r="O41" s="495"/>
      <c r="P41" s="495"/>
      <c r="Q41" s="495"/>
      <c r="R41" s="479">
        <v>8</v>
      </c>
      <c r="S41" s="479"/>
      <c r="T41" s="479">
        <v>20</v>
      </c>
      <c r="U41" s="479"/>
      <c r="V41" s="479">
        <f t="shared" si="1"/>
        <v>28</v>
      </c>
      <c r="W41" s="479"/>
      <c r="Y41" s="479"/>
      <c r="Z41" s="430">
        <v>46155</v>
      </c>
      <c r="AA41" s="430">
        <v>46155</v>
      </c>
      <c r="AB41" s="430">
        <v>46155</v>
      </c>
      <c r="AC41" s="430">
        <v>46157</v>
      </c>
      <c r="AD41" s="430"/>
      <c r="AE41" s="423">
        <v>46161</v>
      </c>
      <c r="AF41" s="423">
        <v>46161</v>
      </c>
      <c r="AG41" s="423">
        <v>46161</v>
      </c>
      <c r="AH41" s="423"/>
      <c r="AI41" s="423">
        <v>46178</v>
      </c>
      <c r="AJ41" s="423"/>
      <c r="AK41" s="423"/>
      <c r="AL41" s="24"/>
      <c r="AM41" s="24"/>
      <c r="AN41" s="24"/>
      <c r="AO41" s="24"/>
    </row>
    <row r="42" spans="2:41" s="22" customFormat="1" ht="16.5" customHeight="1">
      <c r="B42" s="438">
        <v>19392732</v>
      </c>
      <c r="C42" s="438" t="s">
        <v>1024</v>
      </c>
      <c r="D42" s="498">
        <v>2</v>
      </c>
      <c r="E42" s="476"/>
      <c r="F42" s="438" t="s">
        <v>95</v>
      </c>
      <c r="G42" s="438" t="s">
        <v>1189</v>
      </c>
      <c r="H42" s="476" t="s">
        <v>146</v>
      </c>
      <c r="I42" s="476"/>
      <c r="J42" s="479" t="s">
        <v>1263</v>
      </c>
      <c r="K42" s="479">
        <v>1</v>
      </c>
      <c r="L42" s="479" t="s">
        <v>1229</v>
      </c>
      <c r="M42" s="479" t="s">
        <v>523</v>
      </c>
      <c r="N42" s="495"/>
      <c r="O42" s="495"/>
      <c r="P42" s="495" t="s">
        <v>392</v>
      </c>
      <c r="Q42" s="495" t="s">
        <v>1204</v>
      </c>
      <c r="R42" s="479">
        <v>0</v>
      </c>
      <c r="S42" s="479"/>
      <c r="T42" s="479">
        <v>0</v>
      </c>
      <c r="U42" s="479"/>
      <c r="V42" s="479">
        <f t="shared" si="1"/>
        <v>0</v>
      </c>
      <c r="W42" s="479" t="s">
        <v>785</v>
      </c>
      <c r="Y42" s="494"/>
      <c r="Z42" s="430">
        <v>46170</v>
      </c>
      <c r="AA42" s="430">
        <v>46175</v>
      </c>
      <c r="AB42" s="430">
        <v>46178</v>
      </c>
      <c r="AC42" s="430">
        <v>46181</v>
      </c>
      <c r="AD42" s="430">
        <v>46181</v>
      </c>
      <c r="AE42" s="423">
        <v>46211</v>
      </c>
      <c r="AF42" s="423">
        <v>46217</v>
      </c>
      <c r="AG42" s="423">
        <v>46220</v>
      </c>
      <c r="AH42" s="423">
        <v>46223</v>
      </c>
      <c r="AI42" s="423">
        <v>46227</v>
      </c>
      <c r="AJ42" s="423"/>
      <c r="AK42" s="423"/>
      <c r="AL42" s="24"/>
      <c r="AM42" s="24"/>
      <c r="AN42" s="24"/>
      <c r="AO42" s="24"/>
    </row>
    <row r="43" spans="2:41" s="22" customFormat="1" ht="35.1">
      <c r="B43" s="438">
        <v>19538930</v>
      </c>
      <c r="C43" s="438" t="s">
        <v>1035</v>
      </c>
      <c r="D43" s="498">
        <v>1</v>
      </c>
      <c r="E43" s="476"/>
      <c r="F43" s="438" t="s">
        <v>95</v>
      </c>
      <c r="G43" s="438" t="s">
        <v>1189</v>
      </c>
      <c r="H43" s="476" t="s">
        <v>1264</v>
      </c>
      <c r="I43" s="476" t="s">
        <v>1265</v>
      </c>
      <c r="J43" s="498" t="s">
        <v>1266</v>
      </c>
      <c r="K43" s="479">
        <v>5</v>
      </c>
      <c r="L43" s="479" t="s">
        <v>1229</v>
      </c>
      <c r="M43" s="479" t="s">
        <v>523</v>
      </c>
      <c r="N43" s="495"/>
      <c r="O43" s="495"/>
      <c r="P43" s="495" t="s">
        <v>392</v>
      </c>
      <c r="Q43" s="495" t="s">
        <v>1204</v>
      </c>
      <c r="R43" s="479">
        <v>100</v>
      </c>
      <c r="S43" s="479">
        <v>20</v>
      </c>
      <c r="T43" s="479">
        <v>212</v>
      </c>
      <c r="U43" s="479"/>
      <c r="V43" s="479">
        <f t="shared" si="1"/>
        <v>332</v>
      </c>
      <c r="W43" s="479" t="s">
        <v>785</v>
      </c>
      <c r="Y43" s="494" t="s">
        <v>1267</v>
      </c>
      <c r="Z43" s="430">
        <v>46170</v>
      </c>
      <c r="AA43" s="430">
        <v>46175</v>
      </c>
      <c r="AB43" s="430">
        <v>46178</v>
      </c>
      <c r="AC43" s="430">
        <v>46181</v>
      </c>
      <c r="AD43" s="430">
        <v>46181</v>
      </c>
      <c r="AE43" s="423">
        <v>46211</v>
      </c>
      <c r="AF43" s="423">
        <v>46217</v>
      </c>
      <c r="AG43" s="423">
        <v>46220</v>
      </c>
      <c r="AH43" s="423">
        <v>46223</v>
      </c>
      <c r="AI43" s="423">
        <v>46227</v>
      </c>
      <c r="AJ43" s="423"/>
      <c r="AK43" s="423"/>
      <c r="AL43" s="24"/>
      <c r="AM43" s="24"/>
      <c r="AN43" s="24"/>
      <c r="AO43" s="24"/>
    </row>
    <row r="44" spans="2:41" s="134" customFormat="1" ht="52.5">
      <c r="B44" s="508">
        <v>18860603</v>
      </c>
      <c r="C44" s="505" t="s">
        <v>209</v>
      </c>
      <c r="D44" s="507">
        <v>1</v>
      </c>
      <c r="E44" s="506" t="s">
        <v>1268</v>
      </c>
      <c r="F44" s="506" t="s">
        <v>110</v>
      </c>
      <c r="G44" s="506" t="s">
        <v>1230</v>
      </c>
      <c r="H44" s="506"/>
      <c r="I44" s="506"/>
      <c r="J44" s="475" t="s">
        <v>1269</v>
      </c>
      <c r="K44" s="475"/>
      <c r="L44" s="472" t="s">
        <v>897</v>
      </c>
      <c r="M44" s="472" t="s">
        <v>1208</v>
      </c>
      <c r="N44" s="431"/>
      <c r="O44" s="504"/>
      <c r="P44" s="505" t="s">
        <v>1270</v>
      </c>
      <c r="Q44" s="504"/>
      <c r="R44" s="475">
        <v>0</v>
      </c>
      <c r="S44" s="475"/>
      <c r="T44" s="475">
        <v>25.5</v>
      </c>
      <c r="U44" s="475"/>
      <c r="V44" s="475">
        <f t="shared" si="1"/>
        <v>25.5</v>
      </c>
      <c r="W44" s="475"/>
      <c r="Y44" s="503"/>
      <c r="Z44" s="430" t="s">
        <v>125</v>
      </c>
      <c r="AA44" s="430" t="s">
        <v>125</v>
      </c>
      <c r="AB44" s="430" t="s">
        <v>125</v>
      </c>
      <c r="AC44" s="430" t="s">
        <v>125</v>
      </c>
      <c r="AD44" s="430" t="s">
        <v>125</v>
      </c>
      <c r="AE44" s="430" t="s">
        <v>125</v>
      </c>
      <c r="AF44" s="430" t="s">
        <v>125</v>
      </c>
      <c r="AG44" s="429"/>
      <c r="AH44" s="429"/>
      <c r="AI44" s="429">
        <v>46153</v>
      </c>
      <c r="AJ44" s="429"/>
      <c r="AK44" s="429" t="s">
        <v>1242</v>
      </c>
      <c r="AL44" s="135"/>
      <c r="AM44" s="135"/>
      <c r="AN44" s="135"/>
      <c r="AO44" s="135"/>
    </row>
    <row r="45" spans="2:41" s="22" customFormat="1" ht="69.95">
      <c r="B45" s="502">
        <v>19579019</v>
      </c>
      <c r="C45" s="476" t="s">
        <v>877</v>
      </c>
      <c r="D45" s="498">
        <v>1</v>
      </c>
      <c r="E45" s="431" t="s">
        <v>1207</v>
      </c>
      <c r="F45" s="431" t="s">
        <v>95</v>
      </c>
      <c r="G45" s="438" t="s">
        <v>1189</v>
      </c>
      <c r="H45" s="431" t="s">
        <v>1271</v>
      </c>
      <c r="I45" s="431" t="s">
        <v>795</v>
      </c>
      <c r="J45" s="479" t="s">
        <v>795</v>
      </c>
      <c r="K45" s="479"/>
      <c r="L45" s="497" t="s">
        <v>727</v>
      </c>
      <c r="M45" s="482" t="s">
        <v>523</v>
      </c>
      <c r="N45" s="495" t="s">
        <v>1256</v>
      </c>
      <c r="O45" s="495"/>
      <c r="P45" s="495" t="s">
        <v>227</v>
      </c>
      <c r="Q45" s="495" t="s">
        <v>1199</v>
      </c>
      <c r="R45" s="479">
        <v>25</v>
      </c>
      <c r="S45" s="479">
        <v>0</v>
      </c>
      <c r="T45" s="479">
        <v>29</v>
      </c>
      <c r="U45" s="479">
        <v>0</v>
      </c>
      <c r="V45" s="479">
        <f t="shared" si="1"/>
        <v>54</v>
      </c>
      <c r="W45" s="479" t="s">
        <v>785</v>
      </c>
      <c r="Y45" s="494"/>
      <c r="Z45" s="430">
        <v>46142</v>
      </c>
      <c r="AA45" s="430">
        <v>46146</v>
      </c>
      <c r="AB45" s="430">
        <v>46147</v>
      </c>
      <c r="AC45" s="430">
        <v>46149</v>
      </c>
      <c r="AD45" s="430" t="s">
        <v>125</v>
      </c>
      <c r="AE45" s="423">
        <v>46155</v>
      </c>
      <c r="AF45" s="423">
        <v>46155</v>
      </c>
      <c r="AG45" s="423">
        <v>46155</v>
      </c>
      <c r="AH45" s="423"/>
      <c r="AI45" s="423">
        <v>46157</v>
      </c>
      <c r="AJ45" s="423"/>
      <c r="AK45" s="423" t="s">
        <v>1242</v>
      </c>
      <c r="AL45" s="24"/>
      <c r="AM45" s="24"/>
      <c r="AN45" s="24"/>
      <c r="AO45" s="24"/>
    </row>
    <row r="46" spans="2:41" s="22" customFormat="1" ht="103.35" customHeight="1">
      <c r="B46" s="499">
        <v>19572045</v>
      </c>
      <c r="C46" s="492" t="s">
        <v>868</v>
      </c>
      <c r="D46" s="501">
        <v>1</v>
      </c>
      <c r="E46" s="492"/>
      <c r="F46" s="492"/>
      <c r="G46" s="438" t="s">
        <v>1189</v>
      </c>
      <c r="H46" s="492"/>
      <c r="I46" s="492"/>
      <c r="J46" s="498" t="s">
        <v>1272</v>
      </c>
      <c r="K46" s="498"/>
      <c r="L46" s="22" t="s">
        <v>1273</v>
      </c>
      <c r="M46" s="482" t="s">
        <v>523</v>
      </c>
      <c r="N46" s="495"/>
      <c r="O46" s="495"/>
      <c r="P46" s="476" t="s">
        <v>1274</v>
      </c>
      <c r="Q46" s="495" t="s">
        <v>1191</v>
      </c>
      <c r="R46" s="479">
        <v>55</v>
      </c>
      <c r="S46" s="479">
        <v>0</v>
      </c>
      <c r="T46" s="479">
        <v>180</v>
      </c>
      <c r="U46" s="479">
        <v>0</v>
      </c>
      <c r="V46" s="479">
        <f t="shared" si="1"/>
        <v>235</v>
      </c>
      <c r="W46" s="479" t="s">
        <v>785</v>
      </c>
      <c r="Y46" s="494"/>
      <c r="Z46" s="430">
        <v>46155</v>
      </c>
      <c r="AA46" s="430">
        <v>46157</v>
      </c>
      <c r="AB46" s="430">
        <v>46162</v>
      </c>
      <c r="AC46" s="430">
        <v>46163</v>
      </c>
      <c r="AD46" s="430">
        <v>46167</v>
      </c>
      <c r="AE46" s="423"/>
      <c r="AF46" s="423"/>
      <c r="AG46" s="423"/>
      <c r="AH46" s="423"/>
      <c r="AI46" s="423">
        <v>46227</v>
      </c>
      <c r="AJ46" s="423"/>
      <c r="AK46" s="423"/>
      <c r="AL46" s="24"/>
      <c r="AM46" s="24"/>
      <c r="AN46" s="24"/>
      <c r="AO46" s="24"/>
    </row>
    <row r="47" spans="2:41" s="22" customFormat="1" ht="35.1">
      <c r="B47" s="493">
        <v>19023103</v>
      </c>
      <c r="C47" s="500" t="s">
        <v>648</v>
      </c>
      <c r="D47" s="498">
        <v>1</v>
      </c>
      <c r="E47" s="500"/>
      <c r="F47" s="500"/>
      <c r="G47" s="438" t="s">
        <v>1189</v>
      </c>
      <c r="H47" s="500"/>
      <c r="I47" s="500"/>
      <c r="J47" s="479"/>
      <c r="K47" s="479"/>
      <c r="L47" s="479" t="s">
        <v>768</v>
      </c>
      <c r="M47" s="496" t="s">
        <v>768</v>
      </c>
      <c r="N47" s="495"/>
      <c r="O47" s="495"/>
      <c r="P47" s="495"/>
      <c r="Q47" s="495"/>
      <c r="R47" s="479">
        <v>44</v>
      </c>
      <c r="S47" s="479"/>
      <c r="T47" s="479">
        <v>44</v>
      </c>
      <c r="U47" s="479"/>
      <c r="V47" s="479">
        <f t="shared" si="1"/>
        <v>88</v>
      </c>
      <c r="W47" s="479"/>
      <c r="Y47" s="494"/>
      <c r="Z47" s="430"/>
      <c r="AA47" s="430"/>
      <c r="AB47" s="430">
        <v>46168</v>
      </c>
      <c r="AC47" s="430">
        <v>46171</v>
      </c>
      <c r="AD47" s="430"/>
      <c r="AE47" s="423">
        <v>46176</v>
      </c>
      <c r="AF47" s="423">
        <v>46177</v>
      </c>
      <c r="AG47" s="423">
        <v>46178</v>
      </c>
      <c r="AH47" s="423"/>
      <c r="AI47" s="423">
        <v>46185</v>
      </c>
      <c r="AJ47" s="423"/>
      <c r="AK47" s="423"/>
      <c r="AL47" s="654"/>
      <c r="AM47" s="654"/>
      <c r="AN47" s="654"/>
      <c r="AO47" s="654"/>
    </row>
    <row r="48" spans="2:41" s="22" customFormat="1" ht="35.1">
      <c r="B48" s="499">
        <v>19026292</v>
      </c>
      <c r="C48" s="476" t="s">
        <v>666</v>
      </c>
      <c r="D48" s="498">
        <v>1</v>
      </c>
      <c r="E48" s="476" t="s">
        <v>1207</v>
      </c>
      <c r="F48" s="476"/>
      <c r="G48" s="476" t="s">
        <v>1194</v>
      </c>
      <c r="H48" s="476"/>
      <c r="I48" s="476"/>
      <c r="J48" s="479"/>
      <c r="K48" s="479"/>
      <c r="L48" s="497" t="s">
        <v>1275</v>
      </c>
      <c r="M48" s="496" t="s">
        <v>768</v>
      </c>
      <c r="N48" s="495"/>
      <c r="O48" s="495"/>
      <c r="P48" s="495"/>
      <c r="Q48" s="495"/>
      <c r="R48" s="479">
        <v>0</v>
      </c>
      <c r="S48" s="479"/>
      <c r="T48" s="479">
        <v>80</v>
      </c>
      <c r="U48" s="479"/>
      <c r="V48" s="479">
        <f t="shared" si="1"/>
        <v>80</v>
      </c>
      <c r="W48" s="479"/>
      <c r="Y48" s="494"/>
      <c r="Z48" s="430" t="s">
        <v>125</v>
      </c>
      <c r="AA48" s="430" t="s">
        <v>125</v>
      </c>
      <c r="AB48" s="430" t="s">
        <v>125</v>
      </c>
      <c r="AC48" s="430" t="s">
        <v>125</v>
      </c>
      <c r="AD48" s="430" t="s">
        <v>125</v>
      </c>
      <c r="AE48" s="430" t="s">
        <v>125</v>
      </c>
      <c r="AF48" s="430" t="s">
        <v>125</v>
      </c>
      <c r="AG48" s="430" t="s">
        <v>125</v>
      </c>
      <c r="AH48" s="423"/>
      <c r="AI48" s="423">
        <v>46157</v>
      </c>
      <c r="AJ48" s="423"/>
      <c r="AK48" s="423" t="s">
        <v>1242</v>
      </c>
      <c r="AL48" s="24"/>
      <c r="AM48" s="24"/>
      <c r="AN48" s="24"/>
      <c r="AO48" s="24"/>
    </row>
    <row r="49" spans="2:41" s="22" customFormat="1" ht="87.6">
      <c r="B49" s="488">
        <v>17773433</v>
      </c>
      <c r="C49" s="432" t="s">
        <v>1276</v>
      </c>
      <c r="D49" s="487">
        <v>1</v>
      </c>
      <c r="E49" s="432"/>
      <c r="F49" s="432" t="s">
        <v>110</v>
      </c>
      <c r="G49" s="30" t="s">
        <v>1277</v>
      </c>
      <c r="H49" s="432"/>
      <c r="I49" s="432"/>
      <c r="J49" s="431" t="s">
        <v>733</v>
      </c>
      <c r="K49" s="485"/>
      <c r="L49" s="431" t="s">
        <v>549</v>
      </c>
      <c r="M49" s="473" t="s">
        <v>1208</v>
      </c>
      <c r="N49" s="431"/>
      <c r="O49" s="431"/>
      <c r="P49" s="431" t="s">
        <v>312</v>
      </c>
      <c r="Q49" s="431" t="s">
        <v>313</v>
      </c>
      <c r="R49" s="475">
        <v>0</v>
      </c>
      <c r="S49" s="475">
        <v>0</v>
      </c>
      <c r="T49" s="475">
        <v>30</v>
      </c>
      <c r="U49" s="487">
        <v>0</v>
      </c>
      <c r="V49" s="479">
        <f t="shared" si="1"/>
        <v>30</v>
      </c>
      <c r="W49" s="479"/>
      <c r="Y49" s="486"/>
      <c r="Z49" s="430"/>
      <c r="AA49" s="430"/>
      <c r="AB49" s="430"/>
      <c r="AC49" s="430"/>
      <c r="AD49" s="430"/>
      <c r="AE49" s="423"/>
      <c r="AF49" s="423"/>
      <c r="AG49" s="423"/>
      <c r="AH49" s="423"/>
      <c r="AI49" s="423">
        <v>46192</v>
      </c>
      <c r="AJ49" s="423"/>
      <c r="AK49" s="423"/>
      <c r="AL49" s="24"/>
      <c r="AM49" s="24"/>
      <c r="AN49" s="24"/>
      <c r="AO49" s="24"/>
    </row>
    <row r="50" spans="2:41" s="22" customFormat="1" ht="52.5">
      <c r="B50" s="488">
        <v>14671966</v>
      </c>
      <c r="C50" s="432" t="s">
        <v>315</v>
      </c>
      <c r="D50" s="487">
        <v>2</v>
      </c>
      <c r="E50" s="487"/>
      <c r="F50" s="487"/>
      <c r="G50" s="30" t="s">
        <v>1277</v>
      </c>
      <c r="H50" s="487"/>
      <c r="I50" s="487"/>
      <c r="J50" s="431" t="s">
        <v>733</v>
      </c>
      <c r="K50" s="485"/>
      <c r="L50" s="431" t="s">
        <v>549</v>
      </c>
      <c r="M50" s="473" t="s">
        <v>1208</v>
      </c>
      <c r="N50" s="431"/>
      <c r="O50" s="431"/>
      <c r="P50" s="431" t="s">
        <v>1278</v>
      </c>
      <c r="Q50" s="431"/>
      <c r="R50" s="487">
        <v>0</v>
      </c>
      <c r="S50" s="487">
        <v>0</v>
      </c>
      <c r="T50" s="487">
        <v>30</v>
      </c>
      <c r="U50" s="485"/>
      <c r="V50" s="479">
        <f t="shared" si="1"/>
        <v>30</v>
      </c>
      <c r="W50" s="479"/>
      <c r="Y50" s="486"/>
      <c r="Z50" s="430"/>
      <c r="AA50" s="430"/>
      <c r="AB50" s="430"/>
      <c r="AC50" s="430"/>
      <c r="AD50" s="430"/>
      <c r="AE50" s="423"/>
      <c r="AF50" s="423"/>
      <c r="AG50" s="423"/>
      <c r="AH50" s="423"/>
      <c r="AI50" s="423">
        <v>46202</v>
      </c>
      <c r="AJ50" s="423"/>
      <c r="AK50" s="423"/>
      <c r="AL50" s="24"/>
      <c r="AM50" s="24"/>
      <c r="AN50" s="24"/>
      <c r="AO50" s="24"/>
    </row>
    <row r="51" spans="2:41" s="22" customFormat="1" ht="35.1">
      <c r="B51" s="493">
        <v>17803153</v>
      </c>
      <c r="C51" s="492" t="s">
        <v>205</v>
      </c>
      <c r="D51" s="487">
        <v>2</v>
      </c>
      <c r="E51" s="485"/>
      <c r="F51" s="485" t="s">
        <v>95</v>
      </c>
      <c r="G51" s="438" t="s">
        <v>1189</v>
      </c>
      <c r="H51" s="485" t="s">
        <v>1264</v>
      </c>
      <c r="I51" s="485" t="s">
        <v>785</v>
      </c>
      <c r="J51" s="431"/>
      <c r="K51" s="485"/>
      <c r="L51" s="22" t="s">
        <v>778</v>
      </c>
      <c r="M51" s="431" t="s">
        <v>523</v>
      </c>
      <c r="N51" s="431" t="s">
        <v>1256</v>
      </c>
      <c r="O51" s="431"/>
      <c r="P51" s="431" t="s">
        <v>181</v>
      </c>
      <c r="Q51" s="431" t="s">
        <v>1199</v>
      </c>
      <c r="R51" s="479">
        <v>40</v>
      </c>
      <c r="S51" s="479">
        <v>0</v>
      </c>
      <c r="T51" s="479">
        <v>115</v>
      </c>
      <c r="U51" s="479">
        <v>0</v>
      </c>
      <c r="V51" s="479">
        <f t="shared" si="1"/>
        <v>155</v>
      </c>
      <c r="W51" s="479" t="s">
        <v>785</v>
      </c>
      <c r="Y51" s="486"/>
      <c r="Z51" s="430"/>
      <c r="AA51" s="430"/>
      <c r="AB51" s="430"/>
      <c r="AC51" s="430">
        <v>46185</v>
      </c>
      <c r="AD51" s="430"/>
      <c r="AE51" s="423"/>
      <c r="AF51" s="423"/>
      <c r="AG51" s="423"/>
      <c r="AH51" s="423"/>
      <c r="AI51" s="423">
        <v>46215</v>
      </c>
      <c r="AJ51" s="423"/>
      <c r="AK51" s="423"/>
      <c r="AL51" s="24"/>
      <c r="AM51" s="24"/>
      <c r="AN51" s="24"/>
      <c r="AO51" s="24"/>
    </row>
    <row r="52" spans="2:41" s="22" customFormat="1" ht="52.5">
      <c r="B52" s="493">
        <v>18802857</v>
      </c>
      <c r="C52" s="492" t="s">
        <v>224</v>
      </c>
      <c r="D52" s="487">
        <v>2</v>
      </c>
      <c r="E52" s="485"/>
      <c r="F52" s="485" t="s">
        <v>95</v>
      </c>
      <c r="G52" s="485" t="s">
        <v>1259</v>
      </c>
      <c r="H52" s="485" t="s">
        <v>1271</v>
      </c>
      <c r="I52" s="485" t="s">
        <v>795</v>
      </c>
      <c r="J52" s="431"/>
      <c r="K52" s="485"/>
      <c r="L52" s="22" t="s">
        <v>778</v>
      </c>
      <c r="M52" s="431" t="s">
        <v>523</v>
      </c>
      <c r="N52" s="431" t="s">
        <v>1256</v>
      </c>
      <c r="O52" s="431"/>
      <c r="P52" s="431" t="s">
        <v>225</v>
      </c>
      <c r="Q52" s="431" t="s">
        <v>1279</v>
      </c>
      <c r="R52" s="479">
        <v>0</v>
      </c>
      <c r="S52" s="479">
        <v>0</v>
      </c>
      <c r="T52" s="479">
        <v>0</v>
      </c>
      <c r="U52" s="479">
        <v>0</v>
      </c>
      <c r="V52" s="479">
        <f t="shared" si="1"/>
        <v>0</v>
      </c>
      <c r="W52" s="479" t="s">
        <v>785</v>
      </c>
      <c r="Y52" s="486"/>
      <c r="Z52" s="430"/>
      <c r="AA52" s="430"/>
      <c r="AB52" s="430"/>
      <c r="AC52" s="430">
        <v>46185</v>
      </c>
      <c r="AD52" s="430"/>
      <c r="AE52" s="423"/>
      <c r="AF52" s="423"/>
      <c r="AG52" s="423"/>
      <c r="AH52" s="423"/>
      <c r="AI52" s="423" t="s">
        <v>125</v>
      </c>
      <c r="AJ52" s="423"/>
      <c r="AK52" s="423"/>
      <c r="AL52" s="24"/>
      <c r="AM52" s="24"/>
      <c r="AN52" s="24"/>
      <c r="AO52" s="24"/>
    </row>
    <row r="53" spans="2:41" s="22" customFormat="1" ht="52.5">
      <c r="B53" s="493">
        <v>18815112</v>
      </c>
      <c r="C53" s="492" t="s">
        <v>226</v>
      </c>
      <c r="D53" s="487">
        <v>2</v>
      </c>
      <c r="E53" s="485"/>
      <c r="F53" s="485" t="s">
        <v>95</v>
      </c>
      <c r="G53" s="438" t="s">
        <v>1189</v>
      </c>
      <c r="H53" s="485" t="s">
        <v>146</v>
      </c>
      <c r="I53" s="485" t="s">
        <v>795</v>
      </c>
      <c r="J53" s="431"/>
      <c r="K53" s="485"/>
      <c r="L53" s="22" t="s">
        <v>778</v>
      </c>
      <c r="M53" s="431" t="s">
        <v>523</v>
      </c>
      <c r="N53" s="431" t="s">
        <v>1256</v>
      </c>
      <c r="O53" s="431"/>
      <c r="P53" s="431" t="s">
        <v>227</v>
      </c>
      <c r="Q53" s="431" t="s">
        <v>1199</v>
      </c>
      <c r="R53" s="479">
        <v>0</v>
      </c>
      <c r="S53" s="479">
        <v>0</v>
      </c>
      <c r="T53" s="479">
        <v>80</v>
      </c>
      <c r="U53" s="479">
        <v>0</v>
      </c>
      <c r="V53" s="479">
        <f t="shared" si="1"/>
        <v>80</v>
      </c>
      <c r="W53" s="479" t="s">
        <v>785</v>
      </c>
      <c r="X53" s="22" t="s">
        <v>1280</v>
      </c>
      <c r="Y53" s="486"/>
      <c r="Z53" s="430"/>
      <c r="AA53" s="430" t="s">
        <v>125</v>
      </c>
      <c r="AB53" s="430" t="s">
        <v>125</v>
      </c>
      <c r="AC53" s="430">
        <v>46185</v>
      </c>
      <c r="AD53" s="430" t="s">
        <v>125</v>
      </c>
      <c r="AE53" s="423">
        <v>46205</v>
      </c>
      <c r="AF53" s="423">
        <v>46206</v>
      </c>
      <c r="AG53" s="423">
        <v>46209</v>
      </c>
      <c r="AH53" s="423" t="s">
        <v>125</v>
      </c>
      <c r="AI53" s="423">
        <v>46213</v>
      </c>
      <c r="AJ53" s="423" t="s">
        <v>1281</v>
      </c>
      <c r="AK53" s="423"/>
      <c r="AL53" s="24"/>
      <c r="AM53" s="24"/>
      <c r="AN53" s="24"/>
      <c r="AO53" s="24"/>
    </row>
    <row r="54" spans="2:41" s="22" customFormat="1" ht="52.5">
      <c r="B54" s="490">
        <v>16826540</v>
      </c>
      <c r="C54" s="49" t="s">
        <v>619</v>
      </c>
      <c r="D54" s="487">
        <v>1</v>
      </c>
      <c r="E54" s="485"/>
      <c r="F54" s="485"/>
      <c r="G54" s="485" t="s">
        <v>780</v>
      </c>
      <c r="H54" s="485" t="s">
        <v>1264</v>
      </c>
      <c r="I54" s="485" t="s">
        <v>785</v>
      </c>
      <c r="J54" s="431" t="s">
        <v>1282</v>
      </c>
      <c r="K54" s="485"/>
      <c r="L54" s="431" t="s">
        <v>727</v>
      </c>
      <c r="M54" s="482" t="s">
        <v>523</v>
      </c>
      <c r="N54" s="431" t="s">
        <v>1256</v>
      </c>
      <c r="O54" s="431" t="s">
        <v>125</v>
      </c>
      <c r="P54" s="431" t="s">
        <v>181</v>
      </c>
      <c r="Q54" s="431" t="s">
        <v>1199</v>
      </c>
      <c r="R54" s="479">
        <v>0</v>
      </c>
      <c r="S54" s="479">
        <v>0</v>
      </c>
      <c r="T54" s="479">
        <v>0</v>
      </c>
      <c r="U54" s="487">
        <v>70</v>
      </c>
      <c r="V54" s="135">
        <f t="shared" si="1"/>
        <v>70</v>
      </c>
      <c r="W54" s="479" t="s">
        <v>785</v>
      </c>
      <c r="Y54" s="486"/>
      <c r="Z54" s="430" t="s">
        <v>125</v>
      </c>
      <c r="AA54" s="430" t="s">
        <v>125</v>
      </c>
      <c r="AB54" s="430" t="s">
        <v>125</v>
      </c>
      <c r="AC54" s="430" t="s">
        <v>125</v>
      </c>
      <c r="AD54" s="430" t="s">
        <v>125</v>
      </c>
      <c r="AE54" s="430" t="s">
        <v>125</v>
      </c>
      <c r="AF54" s="430" t="s">
        <v>125</v>
      </c>
      <c r="AG54" s="430" t="s">
        <v>125</v>
      </c>
      <c r="AH54" s="430"/>
      <c r="AI54" s="423"/>
      <c r="AJ54" s="423" t="s">
        <v>1283</v>
      </c>
      <c r="AK54" s="423"/>
      <c r="AL54" s="24"/>
      <c r="AM54" s="24"/>
      <c r="AN54" s="24"/>
      <c r="AO54" s="24"/>
    </row>
    <row r="55" spans="2:41" s="22" customFormat="1" ht="52.5">
      <c r="B55" s="490">
        <v>17151985</v>
      </c>
      <c r="C55" s="431" t="s">
        <v>393</v>
      </c>
      <c r="D55" s="487">
        <v>2</v>
      </c>
      <c r="E55" s="485"/>
      <c r="F55" s="485"/>
      <c r="G55" s="485" t="s">
        <v>780</v>
      </c>
      <c r="H55" s="485" t="s">
        <v>1264</v>
      </c>
      <c r="I55" s="485" t="s">
        <v>785</v>
      </c>
      <c r="J55" s="484" t="s">
        <v>795</v>
      </c>
      <c r="K55" s="487">
        <v>1</v>
      </c>
      <c r="L55" s="431" t="s">
        <v>737</v>
      </c>
      <c r="M55" s="473" t="s">
        <v>1198</v>
      </c>
      <c r="N55" s="431"/>
      <c r="O55" s="431" t="s">
        <v>125</v>
      </c>
      <c r="P55" s="491" t="s">
        <v>395</v>
      </c>
      <c r="Q55" s="675" t="s">
        <v>1199</v>
      </c>
      <c r="R55" s="487">
        <v>0</v>
      </c>
      <c r="S55" s="487">
        <v>0</v>
      </c>
      <c r="T55" s="487">
        <v>0</v>
      </c>
      <c r="U55" s="487">
        <v>120</v>
      </c>
      <c r="V55" s="135">
        <f t="shared" si="1"/>
        <v>120</v>
      </c>
      <c r="W55" s="135"/>
      <c r="Y55" s="486"/>
      <c r="Z55" s="430" t="s">
        <v>125</v>
      </c>
      <c r="AA55" s="430" t="s">
        <v>125</v>
      </c>
      <c r="AB55" s="430" t="s">
        <v>125</v>
      </c>
      <c r="AC55" s="430" t="s">
        <v>125</v>
      </c>
      <c r="AD55" s="430" t="s">
        <v>125</v>
      </c>
      <c r="AE55" s="430" t="s">
        <v>125</v>
      </c>
      <c r="AF55" s="430" t="s">
        <v>125</v>
      </c>
      <c r="AG55" s="430" t="s">
        <v>125</v>
      </c>
      <c r="AH55" s="430" t="s">
        <v>125</v>
      </c>
      <c r="AI55" s="423">
        <v>46227</v>
      </c>
      <c r="AJ55" s="423"/>
      <c r="AK55" s="423"/>
      <c r="AL55" s="24"/>
      <c r="AM55" s="24"/>
      <c r="AN55" s="24"/>
      <c r="AO55" s="24"/>
    </row>
    <row r="56" spans="2:41" s="22" customFormat="1" ht="35.1">
      <c r="B56" s="490">
        <v>18035598</v>
      </c>
      <c r="C56" s="431" t="s">
        <v>416</v>
      </c>
      <c r="D56" s="487">
        <v>1</v>
      </c>
      <c r="E56" s="485"/>
      <c r="F56" s="485" t="s">
        <v>1254</v>
      </c>
      <c r="G56" s="437" t="s">
        <v>1277</v>
      </c>
      <c r="H56" s="485"/>
      <c r="I56" s="485" t="s">
        <v>795</v>
      </c>
      <c r="J56" s="431" t="s">
        <v>1284</v>
      </c>
      <c r="K56" s="485"/>
      <c r="L56" s="431" t="s">
        <v>549</v>
      </c>
      <c r="M56" s="473" t="s">
        <v>727</v>
      </c>
      <c r="N56" s="431" t="s">
        <v>1256</v>
      </c>
      <c r="O56" s="431" t="s">
        <v>1285</v>
      </c>
      <c r="P56" s="431" t="s">
        <v>227</v>
      </c>
      <c r="Q56" s="675"/>
      <c r="R56" s="485"/>
      <c r="S56" s="485"/>
      <c r="T56" s="478">
        <v>51</v>
      </c>
      <c r="U56" s="485"/>
      <c r="V56" s="135">
        <f t="shared" si="1"/>
        <v>51</v>
      </c>
      <c r="W56" s="135" t="s">
        <v>785</v>
      </c>
      <c r="Y56" s="486"/>
      <c r="Z56" s="430"/>
      <c r="AA56" s="430"/>
      <c r="AB56" s="430"/>
      <c r="AC56" s="430"/>
      <c r="AD56" s="430"/>
      <c r="AE56" s="423"/>
      <c r="AF56" s="423"/>
      <c r="AG56" s="423"/>
      <c r="AH56" s="423"/>
      <c r="AI56" s="423"/>
      <c r="AJ56" s="423"/>
      <c r="AK56" s="423"/>
      <c r="AL56" s="24"/>
      <c r="AM56" s="24"/>
      <c r="AN56" s="24"/>
      <c r="AO56" s="24"/>
    </row>
    <row r="57" spans="2:41" s="22" customFormat="1" ht="35.1">
      <c r="B57" s="488" t="s">
        <v>1286</v>
      </c>
      <c r="C57" s="431" t="s">
        <v>519</v>
      </c>
      <c r="D57" s="487">
        <v>2</v>
      </c>
      <c r="E57" s="485"/>
      <c r="F57" s="485"/>
      <c r="G57" s="485" t="s">
        <v>780</v>
      </c>
      <c r="H57" s="485"/>
      <c r="I57" s="485"/>
      <c r="J57" s="431"/>
      <c r="K57" s="485"/>
      <c r="L57" s="22" t="s">
        <v>1208</v>
      </c>
      <c r="M57" s="482" t="s">
        <v>523</v>
      </c>
      <c r="N57" s="431"/>
      <c r="O57" s="431"/>
      <c r="P57" s="431"/>
      <c r="Q57" s="431"/>
      <c r="R57" s="479">
        <v>0</v>
      </c>
      <c r="S57" s="479">
        <v>0</v>
      </c>
      <c r="T57" s="479">
        <v>0</v>
      </c>
      <c r="U57" s="489">
        <v>50</v>
      </c>
      <c r="V57" s="135">
        <f t="shared" si="1"/>
        <v>50</v>
      </c>
      <c r="W57" s="479" t="s">
        <v>785</v>
      </c>
      <c r="Y57" s="486"/>
      <c r="Z57" s="430"/>
      <c r="AA57" s="430"/>
      <c r="AB57" s="430"/>
      <c r="AC57" s="430"/>
      <c r="AD57" s="430"/>
      <c r="AE57" s="423"/>
      <c r="AF57" s="423"/>
      <c r="AG57" s="423"/>
      <c r="AH57" s="423"/>
      <c r="AI57" s="423"/>
      <c r="AJ57" s="423"/>
      <c r="AK57" s="423"/>
      <c r="AL57" s="24"/>
      <c r="AM57" s="24"/>
      <c r="AN57" s="24"/>
      <c r="AO57" s="24"/>
    </row>
    <row r="58" spans="2:41" s="22" customFormat="1" ht="35.1">
      <c r="B58" s="488">
        <v>17728181</v>
      </c>
      <c r="C58" s="431" t="s">
        <v>550</v>
      </c>
      <c r="D58" s="487">
        <v>1</v>
      </c>
      <c r="E58" s="485"/>
      <c r="F58" s="485" t="s">
        <v>1254</v>
      </c>
      <c r="G58" s="437" t="s">
        <v>1277</v>
      </c>
      <c r="H58" s="485"/>
      <c r="I58" s="485" t="s">
        <v>795</v>
      </c>
      <c r="J58" s="431" t="s">
        <v>1284</v>
      </c>
      <c r="K58" s="485"/>
      <c r="L58" s="431" t="s">
        <v>549</v>
      </c>
      <c r="M58" s="473" t="s">
        <v>727</v>
      </c>
      <c r="N58" s="431" t="s">
        <v>1256</v>
      </c>
      <c r="O58" s="431" t="s">
        <v>1285</v>
      </c>
      <c r="P58" s="431" t="s">
        <v>1287</v>
      </c>
      <c r="Q58" s="431" t="s">
        <v>1204</v>
      </c>
      <c r="R58" s="485"/>
      <c r="S58" s="485"/>
      <c r="T58" s="478">
        <v>51</v>
      </c>
      <c r="U58" s="485"/>
      <c r="V58" s="135">
        <f t="shared" si="1"/>
        <v>51</v>
      </c>
      <c r="W58" s="135" t="s">
        <v>785</v>
      </c>
      <c r="Y58" s="486"/>
      <c r="Z58" s="430"/>
      <c r="AA58" s="430"/>
      <c r="AB58" s="430"/>
      <c r="AC58" s="430"/>
      <c r="AD58" s="430"/>
      <c r="AE58" s="423"/>
      <c r="AF58" s="423"/>
      <c r="AG58" s="423"/>
      <c r="AH58" s="423"/>
      <c r="AI58" s="423"/>
      <c r="AJ58" s="423"/>
      <c r="AK58" s="423"/>
      <c r="AL58" s="24"/>
      <c r="AM58" s="24"/>
      <c r="AN58" s="24"/>
      <c r="AO58" s="24"/>
    </row>
    <row r="59" spans="2:41" s="22" customFormat="1" ht="29.1">
      <c r="B59" s="483">
        <v>18496892</v>
      </c>
      <c r="C59" s="134" t="s">
        <v>164</v>
      </c>
      <c r="D59" s="487">
        <v>2</v>
      </c>
      <c r="E59" s="485"/>
      <c r="F59" s="485" t="s">
        <v>1254</v>
      </c>
      <c r="G59" s="30" t="s">
        <v>1277</v>
      </c>
      <c r="H59" s="485"/>
      <c r="I59" s="485"/>
      <c r="J59" s="431"/>
      <c r="K59" s="485"/>
      <c r="L59" s="431" t="s">
        <v>897</v>
      </c>
      <c r="M59" s="473" t="s">
        <v>1208</v>
      </c>
      <c r="N59" s="431"/>
      <c r="O59" s="431"/>
      <c r="P59" s="134" t="s">
        <v>132</v>
      </c>
      <c r="Q59" s="431" t="s">
        <v>1204</v>
      </c>
      <c r="R59" s="475">
        <v>0</v>
      </c>
      <c r="S59" s="475"/>
      <c r="T59" s="475">
        <v>8</v>
      </c>
      <c r="U59" s="485"/>
      <c r="V59" s="135">
        <f t="shared" si="1"/>
        <v>8</v>
      </c>
      <c r="W59" s="135" t="s">
        <v>785</v>
      </c>
      <c r="X59" s="22" t="s">
        <v>1288</v>
      </c>
      <c r="Y59" s="486"/>
      <c r="Z59" s="430" t="s">
        <v>125</v>
      </c>
      <c r="AA59" s="430" t="s">
        <v>125</v>
      </c>
      <c r="AB59" s="430" t="s">
        <v>125</v>
      </c>
      <c r="AC59" s="430" t="s">
        <v>125</v>
      </c>
      <c r="AD59" s="430" t="s">
        <v>125</v>
      </c>
      <c r="AE59" s="430" t="s">
        <v>125</v>
      </c>
      <c r="AF59" s="430" t="s">
        <v>125</v>
      </c>
      <c r="AG59" s="423"/>
      <c r="AH59" s="423"/>
      <c r="AI59" s="423"/>
      <c r="AJ59" s="423"/>
      <c r="AK59" s="423"/>
      <c r="AL59" s="24"/>
      <c r="AM59" s="24"/>
      <c r="AN59" s="24"/>
      <c r="AO59" s="24"/>
    </row>
    <row r="60" spans="2:41" s="22" customFormat="1" ht="57.95">
      <c r="B60" s="483">
        <v>15834223</v>
      </c>
      <c r="C60" s="134" t="s">
        <v>213</v>
      </c>
      <c r="D60" s="24">
        <v>1</v>
      </c>
      <c r="E60" s="30"/>
      <c r="F60" s="30"/>
      <c r="G60" s="30" t="s">
        <v>780</v>
      </c>
      <c r="H60" s="485" t="s">
        <v>1264</v>
      </c>
      <c r="I60" s="485" t="s">
        <v>785</v>
      </c>
      <c r="J60" s="484" t="s">
        <v>795</v>
      </c>
      <c r="K60" s="24">
        <v>4</v>
      </c>
      <c r="L60" s="22" t="s">
        <v>762</v>
      </c>
      <c r="M60" s="473" t="s">
        <v>1198</v>
      </c>
      <c r="O60" s="22" t="s">
        <v>125</v>
      </c>
      <c r="P60" s="481" t="s">
        <v>392</v>
      </c>
      <c r="Q60" s="431" t="s">
        <v>1204</v>
      </c>
      <c r="R60" s="475">
        <v>0</v>
      </c>
      <c r="S60" s="475">
        <v>0</v>
      </c>
      <c r="T60" s="475">
        <v>0</v>
      </c>
      <c r="U60" s="24">
        <v>150</v>
      </c>
      <c r="V60" s="135">
        <f t="shared" si="1"/>
        <v>150</v>
      </c>
      <c r="W60" s="135" t="s">
        <v>785</v>
      </c>
      <c r="X60" s="22" t="s">
        <v>1289</v>
      </c>
      <c r="Y60" s="134" t="s">
        <v>1289</v>
      </c>
      <c r="Z60" s="423" t="s">
        <v>125</v>
      </c>
      <c r="AA60" s="423" t="s">
        <v>125</v>
      </c>
      <c r="AB60" s="423" t="s">
        <v>125</v>
      </c>
      <c r="AC60" s="423" t="s">
        <v>125</v>
      </c>
      <c r="AD60" s="423" t="s">
        <v>125</v>
      </c>
      <c r="AE60" s="423" t="s">
        <v>125</v>
      </c>
      <c r="AF60" s="423" t="s">
        <v>125</v>
      </c>
      <c r="AG60" s="423" t="s">
        <v>125</v>
      </c>
      <c r="AH60" s="423"/>
      <c r="AI60" s="423">
        <v>46227</v>
      </c>
      <c r="AJ60" s="423"/>
      <c r="AK60" s="423"/>
      <c r="AL60" s="24"/>
      <c r="AM60" s="24"/>
      <c r="AN60" s="24"/>
      <c r="AO60" s="24"/>
    </row>
    <row r="61" spans="2:41" s="22" customFormat="1" ht="29.1">
      <c r="B61" s="483">
        <v>15194636</v>
      </c>
      <c r="C61" s="134" t="s">
        <v>407</v>
      </c>
      <c r="D61" s="24">
        <v>2</v>
      </c>
      <c r="E61" s="30"/>
      <c r="F61" s="30"/>
      <c r="G61" s="30" t="s">
        <v>780</v>
      </c>
      <c r="H61" s="30" t="s">
        <v>1271</v>
      </c>
      <c r="I61" s="30" t="s">
        <v>785</v>
      </c>
      <c r="J61" s="22" t="s">
        <v>1290</v>
      </c>
      <c r="K61" s="30"/>
      <c r="L61" s="22" t="s">
        <v>1198</v>
      </c>
      <c r="M61" s="482" t="s">
        <v>523</v>
      </c>
      <c r="N61" s="22" t="s">
        <v>1240</v>
      </c>
      <c r="O61" s="22" t="s">
        <v>125</v>
      </c>
      <c r="P61" s="382" t="s">
        <v>1291</v>
      </c>
      <c r="Q61" s="22" t="s">
        <v>1199</v>
      </c>
      <c r="R61" s="475">
        <v>0</v>
      </c>
      <c r="S61" s="475">
        <v>0</v>
      </c>
      <c r="T61" s="475">
        <v>0</v>
      </c>
      <c r="U61" s="24">
        <v>20</v>
      </c>
      <c r="V61" s="24">
        <f t="shared" si="1"/>
        <v>20</v>
      </c>
      <c r="W61" s="479" t="s">
        <v>785</v>
      </c>
      <c r="Y61" s="424"/>
      <c r="Z61" s="423"/>
      <c r="AA61" s="423"/>
      <c r="AB61" s="423"/>
      <c r="AC61" s="423"/>
      <c r="AD61" s="423"/>
      <c r="AE61" s="423"/>
      <c r="AF61" s="423"/>
      <c r="AG61" s="423"/>
      <c r="AH61" s="423"/>
      <c r="AI61" s="423"/>
      <c r="AJ61" s="423"/>
      <c r="AK61" s="423"/>
      <c r="AL61" s="24"/>
      <c r="AM61" s="24"/>
      <c r="AN61" s="24"/>
      <c r="AO61" s="24"/>
    </row>
    <row r="62" spans="2:41" s="22" customFormat="1" ht="29.1">
      <c r="B62" s="483">
        <v>15194642</v>
      </c>
      <c r="C62" s="134" t="s">
        <v>408</v>
      </c>
      <c r="D62" s="24">
        <v>2</v>
      </c>
      <c r="E62" s="30"/>
      <c r="F62" s="30"/>
      <c r="G62" s="30" t="s">
        <v>780</v>
      </c>
      <c r="H62" s="30" t="s">
        <v>1271</v>
      </c>
      <c r="I62" s="30" t="s">
        <v>785</v>
      </c>
      <c r="J62" s="22" t="s">
        <v>1290</v>
      </c>
      <c r="K62" s="30"/>
      <c r="L62" s="22" t="s">
        <v>1198</v>
      </c>
      <c r="M62" s="482" t="s">
        <v>523</v>
      </c>
      <c r="N62" s="22" t="s">
        <v>1240</v>
      </c>
      <c r="O62" s="22" t="s">
        <v>125</v>
      </c>
      <c r="P62" s="382" t="s">
        <v>1291</v>
      </c>
      <c r="Q62" s="22" t="s">
        <v>1199</v>
      </c>
      <c r="R62" s="475">
        <v>0</v>
      </c>
      <c r="S62" s="475">
        <v>0</v>
      </c>
      <c r="T62" s="475">
        <v>0</v>
      </c>
      <c r="U62" s="135">
        <v>20</v>
      </c>
      <c r="V62" s="24">
        <f t="shared" si="1"/>
        <v>20</v>
      </c>
      <c r="W62" s="479" t="s">
        <v>785</v>
      </c>
      <c r="Y62" s="424"/>
      <c r="Z62" s="423"/>
      <c r="AA62" s="423"/>
      <c r="AB62" s="423"/>
      <c r="AC62" s="423"/>
      <c r="AD62" s="423"/>
      <c r="AE62" s="423"/>
      <c r="AF62" s="423"/>
      <c r="AG62" s="423"/>
      <c r="AH62" s="423"/>
      <c r="AI62" s="423"/>
      <c r="AJ62" s="423"/>
      <c r="AK62" s="423"/>
      <c r="AL62" s="24"/>
      <c r="AM62" s="24"/>
      <c r="AN62" s="24"/>
      <c r="AO62" s="24"/>
    </row>
    <row r="63" spans="2:41" s="22" customFormat="1" ht="29.1">
      <c r="B63" s="483">
        <v>17581155</v>
      </c>
      <c r="C63" s="134" t="s">
        <v>522</v>
      </c>
      <c r="D63" s="24">
        <v>1</v>
      </c>
      <c r="E63" s="30"/>
      <c r="F63" s="30" t="s">
        <v>1254</v>
      </c>
      <c r="G63" s="30" t="s">
        <v>1277</v>
      </c>
      <c r="H63" s="30"/>
      <c r="I63" s="30" t="s">
        <v>795</v>
      </c>
      <c r="K63" s="30"/>
      <c r="L63" s="22" t="s">
        <v>549</v>
      </c>
      <c r="M63" s="473" t="s">
        <v>727</v>
      </c>
      <c r="N63" s="22" t="s">
        <v>1292</v>
      </c>
      <c r="O63" s="431" t="s">
        <v>1285</v>
      </c>
      <c r="P63" s="22" t="s">
        <v>1216</v>
      </c>
      <c r="Q63" s="22" t="s">
        <v>1204</v>
      </c>
      <c r="R63" s="475">
        <v>0</v>
      </c>
      <c r="S63" s="475">
        <v>0</v>
      </c>
      <c r="T63" s="475">
        <v>110</v>
      </c>
      <c r="U63" s="24">
        <v>0</v>
      </c>
      <c r="V63" s="135">
        <f t="shared" si="1"/>
        <v>110</v>
      </c>
      <c r="W63" s="135" t="s">
        <v>785</v>
      </c>
      <c r="Y63" s="424" t="s">
        <v>1293</v>
      </c>
      <c r="Z63" s="423"/>
      <c r="AA63" s="423"/>
      <c r="AB63" s="423"/>
      <c r="AC63" s="423"/>
      <c r="AD63" s="423"/>
      <c r="AE63" s="423"/>
      <c r="AF63" s="423"/>
      <c r="AG63" s="423"/>
      <c r="AH63" s="423"/>
      <c r="AI63" s="423">
        <v>46220</v>
      </c>
      <c r="AJ63" s="423"/>
      <c r="AK63" s="423"/>
      <c r="AL63" s="24"/>
      <c r="AM63" s="24"/>
      <c r="AN63" s="24"/>
      <c r="AO63" s="24"/>
    </row>
    <row r="64" spans="2:41" s="22" customFormat="1" ht="29.1">
      <c r="B64" s="483">
        <v>15929265</v>
      </c>
      <c r="C64" s="134" t="s">
        <v>450</v>
      </c>
      <c r="D64" s="24">
        <v>2</v>
      </c>
      <c r="E64" s="30"/>
      <c r="F64" s="30"/>
      <c r="G64" s="30" t="s">
        <v>1277</v>
      </c>
      <c r="H64" s="30"/>
      <c r="I64" s="30"/>
      <c r="K64" s="30"/>
      <c r="R64" s="475"/>
      <c r="S64" s="475"/>
      <c r="T64" s="475">
        <v>70</v>
      </c>
      <c r="U64" s="30"/>
      <c r="V64" s="135">
        <f t="shared" si="1"/>
        <v>70</v>
      </c>
      <c r="W64" s="135"/>
      <c r="Y64" s="424"/>
      <c r="Z64" s="423"/>
      <c r="AA64" s="423"/>
      <c r="AB64" s="423"/>
      <c r="AC64" s="423"/>
      <c r="AD64" s="423"/>
      <c r="AE64" s="423"/>
      <c r="AF64" s="423"/>
      <c r="AG64" s="423"/>
      <c r="AH64" s="423"/>
      <c r="AI64" s="423"/>
      <c r="AJ64" s="423"/>
      <c r="AK64" s="423"/>
      <c r="AL64" s="24"/>
      <c r="AM64" s="24"/>
      <c r="AN64" s="24"/>
      <c r="AO64" s="24"/>
    </row>
    <row r="65" spans="1:41" s="22" customFormat="1" ht="29.1">
      <c r="B65" s="483">
        <v>15955970</v>
      </c>
      <c r="C65" s="134" t="s">
        <v>452</v>
      </c>
      <c r="D65" s="24">
        <v>2</v>
      </c>
      <c r="E65" s="30"/>
      <c r="F65" s="30"/>
      <c r="G65" s="30" t="s">
        <v>1277</v>
      </c>
      <c r="H65" s="30"/>
      <c r="I65" s="30"/>
      <c r="K65" s="30"/>
      <c r="R65" s="475"/>
      <c r="S65" s="475"/>
      <c r="T65" s="475">
        <v>30</v>
      </c>
      <c r="U65" s="30"/>
      <c r="V65" s="135">
        <f t="shared" si="1"/>
        <v>30</v>
      </c>
      <c r="W65" s="135"/>
      <c r="Y65" s="424"/>
      <c r="Z65" s="423"/>
      <c r="AA65" s="423"/>
      <c r="AB65" s="423"/>
      <c r="AC65" s="423"/>
      <c r="AD65" s="423"/>
      <c r="AE65" s="423"/>
      <c r="AF65" s="423"/>
      <c r="AG65" s="423"/>
      <c r="AH65" s="423"/>
      <c r="AI65" s="423"/>
      <c r="AJ65" s="423"/>
      <c r="AK65" s="423"/>
      <c r="AL65" s="24"/>
      <c r="AM65" s="24"/>
      <c r="AN65" s="24"/>
      <c r="AO65" s="24"/>
    </row>
    <row r="66" spans="1:41" s="22" customFormat="1" ht="29.1">
      <c r="B66" s="483">
        <v>17462586</v>
      </c>
      <c r="C66" s="134" t="s">
        <v>630</v>
      </c>
      <c r="D66" s="24">
        <v>2</v>
      </c>
      <c r="E66" s="30"/>
      <c r="F66" s="30"/>
      <c r="G66" s="30" t="s">
        <v>1277</v>
      </c>
      <c r="H66" s="30"/>
      <c r="I66" s="30"/>
      <c r="K66" s="30"/>
      <c r="R66" s="475"/>
      <c r="S66" s="475"/>
      <c r="T66" s="475">
        <v>50</v>
      </c>
      <c r="U66" s="30"/>
      <c r="V66" s="135">
        <f t="shared" si="1"/>
        <v>50</v>
      </c>
      <c r="W66" s="135"/>
      <c r="Y66" s="424"/>
      <c r="Z66" s="423"/>
      <c r="AA66" s="423"/>
      <c r="AB66" s="423"/>
      <c r="AC66" s="423"/>
      <c r="AD66" s="423"/>
      <c r="AE66" s="423"/>
      <c r="AF66" s="423"/>
      <c r="AG66" s="423"/>
      <c r="AH66" s="423"/>
      <c r="AI66" s="423"/>
      <c r="AJ66" s="423"/>
      <c r="AK66" s="423"/>
      <c r="AL66" s="24"/>
      <c r="AM66" s="24"/>
      <c r="AN66" s="24"/>
      <c r="AO66" s="24"/>
    </row>
    <row r="67" spans="1:41" s="22" customFormat="1" ht="29.1">
      <c r="B67" s="425">
        <v>19656622</v>
      </c>
      <c r="C67" s="22" t="s">
        <v>1113</v>
      </c>
      <c r="D67" s="24"/>
      <c r="E67" s="30"/>
      <c r="F67" s="30"/>
      <c r="G67" s="438" t="s">
        <v>1189</v>
      </c>
      <c r="H67" s="30"/>
      <c r="I67" s="30"/>
      <c r="K67" s="30"/>
      <c r="L67" s="22" t="s">
        <v>1220</v>
      </c>
      <c r="M67" s="482" t="s">
        <v>523</v>
      </c>
      <c r="P67" s="134" t="s">
        <v>132</v>
      </c>
      <c r="Q67" s="431" t="s">
        <v>1204</v>
      </c>
      <c r="R67" s="475">
        <v>0</v>
      </c>
      <c r="S67" s="475"/>
      <c r="T67" s="475">
        <v>0</v>
      </c>
      <c r="U67" s="480"/>
      <c r="V67" s="24">
        <f t="shared" si="1"/>
        <v>0</v>
      </c>
      <c r="W67" s="479" t="s">
        <v>785</v>
      </c>
      <c r="Y67" s="424"/>
      <c r="Z67" s="423"/>
      <c r="AA67" s="423"/>
      <c r="AB67" s="423"/>
      <c r="AC67" s="430">
        <v>46185</v>
      </c>
      <c r="AD67" s="423"/>
      <c r="AE67" s="423"/>
      <c r="AF67" s="423"/>
      <c r="AG67" s="423"/>
      <c r="AH67" s="423"/>
      <c r="AI67" s="423">
        <v>46227</v>
      </c>
      <c r="AJ67" s="423"/>
      <c r="AK67" s="423"/>
      <c r="AL67" s="24"/>
      <c r="AM67" s="24"/>
      <c r="AN67" s="24"/>
      <c r="AO67" s="24"/>
    </row>
    <row r="68" spans="1:41" s="22" customFormat="1" ht="29.1">
      <c r="B68" s="425">
        <v>19657044</v>
      </c>
      <c r="C68" s="22" t="s">
        <v>1026</v>
      </c>
      <c r="D68" s="24"/>
      <c r="E68" s="30"/>
      <c r="F68" s="30"/>
      <c r="G68" s="438" t="s">
        <v>1189</v>
      </c>
      <c r="H68" s="30"/>
      <c r="I68" s="30"/>
      <c r="K68" s="30"/>
      <c r="L68" s="22" t="s">
        <v>1229</v>
      </c>
      <c r="M68" s="482" t="s">
        <v>523</v>
      </c>
      <c r="P68" s="481" t="s">
        <v>392</v>
      </c>
      <c r="Q68" s="431" t="s">
        <v>1204</v>
      </c>
      <c r="R68" s="475">
        <v>0</v>
      </c>
      <c r="S68" s="475"/>
      <c r="T68" s="475">
        <v>0</v>
      </c>
      <c r="U68" s="480"/>
      <c r="V68" s="135">
        <f t="shared" si="1"/>
        <v>0</v>
      </c>
      <c r="W68" s="479" t="s">
        <v>785</v>
      </c>
      <c r="Y68" s="424"/>
      <c r="Z68" s="423"/>
      <c r="AA68" s="423"/>
      <c r="AB68" s="423"/>
      <c r="AC68" s="423">
        <v>46181</v>
      </c>
      <c r="AD68" s="423"/>
      <c r="AE68" s="423"/>
      <c r="AF68" s="423"/>
      <c r="AG68" s="423"/>
      <c r="AH68" s="423"/>
      <c r="AI68" s="423">
        <v>46227</v>
      </c>
      <c r="AJ68" s="423"/>
      <c r="AK68" s="423"/>
      <c r="AL68" s="24"/>
      <c r="AM68" s="24"/>
      <c r="AN68" s="24"/>
      <c r="AO68" s="24"/>
    </row>
    <row r="69" spans="1:41" ht="35.1">
      <c r="A69" s="22" t="s">
        <v>1294</v>
      </c>
      <c r="B69" s="440">
        <v>19138223</v>
      </c>
      <c r="C69" s="439" t="s">
        <v>1103</v>
      </c>
      <c r="F69" s="438" t="s">
        <v>95</v>
      </c>
      <c r="G69" s="30" t="s">
        <v>1194</v>
      </c>
      <c r="H69" s="30" t="s">
        <v>93</v>
      </c>
      <c r="J69" s="30"/>
      <c r="L69" s="22" t="s">
        <v>1295</v>
      </c>
      <c r="M69" s="22" t="s">
        <v>1198</v>
      </c>
      <c r="N69" s="22" t="s">
        <v>1240</v>
      </c>
      <c r="O69" s="22" t="s">
        <v>870</v>
      </c>
      <c r="Q69" s="431" t="s">
        <v>1199</v>
      </c>
      <c r="R69" s="475">
        <v>0</v>
      </c>
      <c r="S69" s="475"/>
      <c r="T69" s="475"/>
      <c r="V69" s="135">
        <f t="shared" si="1"/>
        <v>0</v>
      </c>
      <c r="W69" s="436"/>
      <c r="X69" s="256"/>
      <c r="Y69" s="426"/>
      <c r="AI69" s="423" t="s">
        <v>270</v>
      </c>
    </row>
    <row r="70" spans="1:41" ht="117.95">
      <c r="A70" s="22" t="s">
        <v>1294</v>
      </c>
      <c r="B70" s="440">
        <v>19577109</v>
      </c>
      <c r="C70" s="266" t="s">
        <v>1116</v>
      </c>
      <c r="F70" s="438" t="s">
        <v>95</v>
      </c>
      <c r="G70" s="30" t="s">
        <v>1189</v>
      </c>
      <c r="H70" s="30" t="s">
        <v>146</v>
      </c>
      <c r="I70" s="30" t="s">
        <v>1265</v>
      </c>
      <c r="J70" s="22" t="s">
        <v>785</v>
      </c>
      <c r="K70" s="30"/>
      <c r="L70" s="22" t="s">
        <v>1220</v>
      </c>
      <c r="M70" s="473" t="s">
        <v>523</v>
      </c>
      <c r="O70" s="22" t="s">
        <v>870</v>
      </c>
      <c r="P70" s="134" t="s">
        <v>132</v>
      </c>
      <c r="Q70" s="431" t="s">
        <v>1204</v>
      </c>
      <c r="R70" s="475">
        <v>45</v>
      </c>
      <c r="S70" s="475">
        <v>0</v>
      </c>
      <c r="T70" s="475">
        <v>135</v>
      </c>
      <c r="U70" s="478">
        <v>0</v>
      </c>
      <c r="V70" s="135">
        <f t="shared" si="1"/>
        <v>180</v>
      </c>
      <c r="W70" s="477" t="s">
        <v>785</v>
      </c>
      <c r="X70" s="256"/>
      <c r="Y70" s="426" t="s">
        <v>1296</v>
      </c>
      <c r="Z70" s="430">
        <v>46170</v>
      </c>
      <c r="AA70" s="430">
        <v>46175</v>
      </c>
      <c r="AB70" s="430">
        <v>46178</v>
      </c>
      <c r="AC70" s="430">
        <v>46181</v>
      </c>
      <c r="AD70" s="430">
        <v>46181</v>
      </c>
      <c r="AE70" s="423">
        <v>46211</v>
      </c>
      <c r="AF70" s="423">
        <v>46217</v>
      </c>
      <c r="AG70" s="423">
        <v>46223</v>
      </c>
      <c r="AH70" s="423">
        <v>46223</v>
      </c>
      <c r="AI70" s="423">
        <v>46227</v>
      </c>
    </row>
    <row r="71" spans="1:41" ht="87">
      <c r="A71" s="22" t="s">
        <v>1294</v>
      </c>
      <c r="B71" s="440">
        <v>19578849</v>
      </c>
      <c r="C71" s="266" t="s">
        <v>1049</v>
      </c>
      <c r="F71" s="438" t="s">
        <v>95</v>
      </c>
      <c r="G71" s="438" t="s">
        <v>1194</v>
      </c>
      <c r="H71" s="30" t="s">
        <v>146</v>
      </c>
      <c r="I71" s="30" t="s">
        <v>795</v>
      </c>
      <c r="J71" s="30" t="s">
        <v>795</v>
      </c>
      <c r="K71" s="24">
        <v>1</v>
      </c>
      <c r="L71" s="472" t="s">
        <v>1297</v>
      </c>
      <c r="M71" s="22" t="s">
        <v>1198</v>
      </c>
      <c r="O71" s="22" t="s">
        <v>882</v>
      </c>
      <c r="P71" t="s">
        <v>1298</v>
      </c>
      <c r="Q71" s="22" t="s">
        <v>1191</v>
      </c>
      <c r="R71" s="475">
        <v>0</v>
      </c>
      <c r="S71" s="475">
        <v>0</v>
      </c>
      <c r="T71" s="475">
        <v>40</v>
      </c>
      <c r="U71" s="24">
        <v>0</v>
      </c>
      <c r="V71" s="135">
        <f t="shared" ref="V71:V102" si="2">SUM(R71:U71)</f>
        <v>40</v>
      </c>
      <c r="W71" s="436" t="s">
        <v>785</v>
      </c>
      <c r="X71" s="256" t="s">
        <v>1299</v>
      </c>
      <c r="Y71" s="426"/>
      <c r="AC71" s="423">
        <v>46171</v>
      </c>
      <c r="AD71" s="423">
        <v>46174</v>
      </c>
      <c r="AE71" s="423">
        <v>46206</v>
      </c>
      <c r="AF71" s="423">
        <v>46209</v>
      </c>
      <c r="AG71" s="423">
        <v>46211</v>
      </c>
      <c r="AI71" s="423">
        <v>46213</v>
      </c>
    </row>
    <row r="72" spans="1:41" ht="43.5">
      <c r="A72" s="22" t="s">
        <v>1294</v>
      </c>
      <c r="B72" s="440">
        <v>19415928</v>
      </c>
      <c r="C72" s="266" t="s">
        <v>1047</v>
      </c>
      <c r="D72" s="24">
        <v>2</v>
      </c>
      <c r="F72" s="30" t="s">
        <v>95</v>
      </c>
      <c r="G72" s="476" t="s">
        <v>1189</v>
      </c>
      <c r="H72" s="30" t="s">
        <v>146</v>
      </c>
      <c r="I72" s="30" t="s">
        <v>785</v>
      </c>
      <c r="K72" s="30"/>
      <c r="L72" s="22" t="s">
        <v>753</v>
      </c>
      <c r="M72" s="22" t="s">
        <v>1208</v>
      </c>
      <c r="P72" s="22" t="s">
        <v>395</v>
      </c>
      <c r="Q72" s="22" t="s">
        <v>182</v>
      </c>
      <c r="R72" s="475">
        <v>20</v>
      </c>
      <c r="S72" s="475">
        <v>10</v>
      </c>
      <c r="T72" s="475">
        <v>40</v>
      </c>
      <c r="U72" s="30"/>
      <c r="V72" s="135">
        <f t="shared" si="2"/>
        <v>70</v>
      </c>
      <c r="W72" s="436"/>
      <c r="X72" s="256" t="s">
        <v>1300</v>
      </c>
      <c r="Y72" s="426"/>
      <c r="AC72" s="430">
        <v>46185</v>
      </c>
      <c r="AI72" s="423">
        <v>46206</v>
      </c>
    </row>
    <row r="73" spans="1:41" ht="72.599999999999994">
      <c r="A73" s="22" t="s">
        <v>1294</v>
      </c>
      <c r="B73" s="440">
        <v>19499649</v>
      </c>
      <c r="C73" s="266" t="s">
        <v>1051</v>
      </c>
      <c r="F73" s="438" t="s">
        <v>95</v>
      </c>
      <c r="G73" s="438" t="s">
        <v>1189</v>
      </c>
      <c r="H73" s="30" t="s">
        <v>146</v>
      </c>
      <c r="I73" s="30" t="s">
        <v>785</v>
      </c>
      <c r="J73" s="30" t="s">
        <v>795</v>
      </c>
      <c r="K73" s="24">
        <v>2</v>
      </c>
      <c r="L73" s="22" t="s">
        <v>762</v>
      </c>
      <c r="M73" s="22" t="s">
        <v>1198</v>
      </c>
      <c r="O73" s="22" t="s">
        <v>870</v>
      </c>
      <c r="P73" s="22" t="s">
        <v>294</v>
      </c>
      <c r="Q73" s="22" t="s">
        <v>1191</v>
      </c>
      <c r="R73" s="24">
        <v>21</v>
      </c>
      <c r="S73" s="24">
        <v>6</v>
      </c>
      <c r="T73" s="24">
        <v>40</v>
      </c>
      <c r="U73" s="24" t="s">
        <v>270</v>
      </c>
      <c r="V73" s="135">
        <f t="shared" si="2"/>
        <v>67</v>
      </c>
      <c r="W73" s="436" t="s">
        <v>785</v>
      </c>
      <c r="X73" s="256" t="s">
        <v>1301</v>
      </c>
      <c r="Y73" s="426"/>
      <c r="AC73" s="430">
        <v>46185</v>
      </c>
      <c r="AI73" s="423">
        <v>46202</v>
      </c>
    </row>
    <row r="74" spans="1:41" ht="29.1">
      <c r="A74" s="22" t="s">
        <v>1294</v>
      </c>
      <c r="B74" s="474">
        <v>18733228</v>
      </c>
      <c r="C74" s="439" t="s">
        <v>1063</v>
      </c>
      <c r="D74" s="24" t="s">
        <v>1302</v>
      </c>
      <c r="F74" s="30" t="s">
        <v>110</v>
      </c>
      <c r="G74" s="438" t="s">
        <v>1189</v>
      </c>
      <c r="K74" s="30"/>
      <c r="L74" s="22" t="s">
        <v>1303</v>
      </c>
      <c r="M74" s="473" t="s">
        <v>727</v>
      </c>
      <c r="P74" s="134" t="s">
        <v>1304</v>
      </c>
      <c r="R74" s="30"/>
      <c r="S74" s="30"/>
      <c r="T74" s="30"/>
      <c r="U74" s="30"/>
      <c r="V74" s="135">
        <f t="shared" si="2"/>
        <v>0</v>
      </c>
      <c r="W74" s="436"/>
      <c r="X74" s="256"/>
      <c r="Y74" s="426"/>
      <c r="AC74" s="423" t="s">
        <v>270</v>
      </c>
      <c r="AI74" s="423" t="s">
        <v>270</v>
      </c>
    </row>
    <row r="75" spans="1:41" ht="35.1">
      <c r="A75" s="22" t="s">
        <v>1294</v>
      </c>
      <c r="B75" s="440">
        <v>18795425</v>
      </c>
      <c r="C75" s="266" t="s">
        <v>1029</v>
      </c>
      <c r="D75" s="24" t="s">
        <v>1302</v>
      </c>
      <c r="F75" s="438" t="s">
        <v>95</v>
      </c>
      <c r="G75" s="438" t="s">
        <v>1189</v>
      </c>
      <c r="H75" s="30" t="s">
        <v>108</v>
      </c>
      <c r="I75" s="30" t="s">
        <v>795</v>
      </c>
      <c r="J75" s="30" t="s">
        <v>795</v>
      </c>
      <c r="K75" s="24">
        <v>1</v>
      </c>
      <c r="L75" s="472" t="s">
        <v>1249</v>
      </c>
      <c r="M75" s="22" t="s">
        <v>1198</v>
      </c>
      <c r="O75" s="22" t="s">
        <v>882</v>
      </c>
      <c r="P75" t="s">
        <v>385</v>
      </c>
      <c r="Q75" s="22" t="s">
        <v>1305</v>
      </c>
      <c r="R75" s="24">
        <v>15</v>
      </c>
      <c r="S75" s="24">
        <v>0</v>
      </c>
      <c r="T75" s="24">
        <v>30</v>
      </c>
      <c r="U75" s="24">
        <v>0</v>
      </c>
      <c r="V75" s="135">
        <f t="shared" si="2"/>
        <v>45</v>
      </c>
      <c r="W75" s="436"/>
      <c r="X75" s="256"/>
      <c r="Y75" s="426"/>
      <c r="Z75" s="423">
        <v>46164</v>
      </c>
      <c r="AA75" s="423">
        <v>46167</v>
      </c>
      <c r="AB75" s="423">
        <v>46168</v>
      </c>
      <c r="AC75" s="423">
        <v>46171</v>
      </c>
      <c r="AD75" s="423">
        <v>46174</v>
      </c>
      <c r="AE75" s="423">
        <v>46183</v>
      </c>
      <c r="AF75" s="423">
        <v>46184</v>
      </c>
      <c r="AG75" s="423">
        <v>46185</v>
      </c>
      <c r="AI75" s="423">
        <v>46190</v>
      </c>
    </row>
    <row r="76" spans="1:41" ht="35.1">
      <c r="A76" s="22" t="s">
        <v>1294</v>
      </c>
      <c r="B76" s="471">
        <v>18795484</v>
      </c>
      <c r="C76" s="266" t="s">
        <v>1088</v>
      </c>
      <c r="D76" s="24" t="s">
        <v>1302</v>
      </c>
      <c r="F76" s="438" t="s">
        <v>95</v>
      </c>
      <c r="G76" s="438" t="s">
        <v>1259</v>
      </c>
      <c r="H76" s="30" t="s">
        <v>108</v>
      </c>
      <c r="I76" s="30" t="s">
        <v>795</v>
      </c>
      <c r="J76" s="30" t="s">
        <v>795</v>
      </c>
      <c r="K76" s="24">
        <v>1</v>
      </c>
      <c r="L76" s="472" t="s">
        <v>1249</v>
      </c>
      <c r="M76" s="22" t="s">
        <v>1198</v>
      </c>
      <c r="O76" s="22" t="s">
        <v>882</v>
      </c>
      <c r="Q76" s="22" t="s">
        <v>1199</v>
      </c>
      <c r="R76" s="24">
        <v>5</v>
      </c>
      <c r="T76" s="24">
        <v>0</v>
      </c>
      <c r="V76" s="135">
        <f t="shared" si="2"/>
        <v>5</v>
      </c>
      <c r="W76" s="436"/>
      <c r="X76" s="256"/>
      <c r="Y76" s="426"/>
      <c r="AC76" s="430">
        <v>46192</v>
      </c>
      <c r="AI76" s="423" t="s">
        <v>125</v>
      </c>
    </row>
    <row r="77" spans="1:41" ht="35.1">
      <c r="A77" s="22"/>
      <c r="B77" s="471" t="s">
        <v>1306</v>
      </c>
      <c r="C77" s="30" t="s">
        <v>1107</v>
      </c>
      <c r="D77" s="24">
        <v>1</v>
      </c>
      <c r="F77" s="438" t="s">
        <v>95</v>
      </c>
      <c r="G77" s="438" t="s">
        <v>1189</v>
      </c>
      <c r="H77" s="30" t="s">
        <v>1264</v>
      </c>
      <c r="L77" s="22" t="s">
        <v>1208</v>
      </c>
      <c r="M77" s="22" t="s">
        <v>1208</v>
      </c>
      <c r="P77" s="22" t="s">
        <v>1216</v>
      </c>
      <c r="Q77" s="431" t="s">
        <v>1204</v>
      </c>
      <c r="R77" s="24">
        <v>80</v>
      </c>
      <c r="T77" s="24">
        <v>200</v>
      </c>
      <c r="V77" s="135">
        <f t="shared" si="2"/>
        <v>280</v>
      </c>
      <c r="W77" s="436" t="s">
        <v>785</v>
      </c>
      <c r="X77" s="256"/>
      <c r="Y77" s="426"/>
      <c r="Z77" s="423">
        <v>46177</v>
      </c>
      <c r="AA77" s="423">
        <v>46181</v>
      </c>
      <c r="AB77" s="423">
        <v>46183</v>
      </c>
      <c r="AC77" s="423">
        <v>46184</v>
      </c>
      <c r="AD77" s="423">
        <v>46184</v>
      </c>
      <c r="AE77" s="423">
        <v>46227</v>
      </c>
      <c r="AF77" s="423">
        <v>46231</v>
      </c>
      <c r="AG77" s="423">
        <v>46233</v>
      </c>
      <c r="AH77" s="423" t="s">
        <v>125</v>
      </c>
      <c r="AI77" s="423">
        <v>46227</v>
      </c>
    </row>
    <row r="78" spans="1:41" ht="30.95">
      <c r="A78" s="470"/>
      <c r="B78" s="469">
        <v>18802806</v>
      </c>
      <c r="C78" s="468" t="s">
        <v>1074</v>
      </c>
      <c r="D78" s="24">
        <v>2</v>
      </c>
      <c r="F78" s="466" t="s">
        <v>1307</v>
      </c>
      <c r="G78" s="438" t="s">
        <v>1189</v>
      </c>
      <c r="H78" s="30" t="s">
        <v>108</v>
      </c>
      <c r="I78" s="30" t="s">
        <v>795</v>
      </c>
      <c r="J78" s="437" t="s">
        <v>795</v>
      </c>
      <c r="L78" s="22" t="s">
        <v>1224</v>
      </c>
      <c r="M78" s="22" t="s">
        <v>1198</v>
      </c>
      <c r="O78" s="22" t="s">
        <v>882</v>
      </c>
      <c r="P78" s="22" t="s">
        <v>479</v>
      </c>
      <c r="Q78" s="22" t="s">
        <v>1199</v>
      </c>
      <c r="R78" s="24">
        <v>10</v>
      </c>
      <c r="S78" s="24">
        <v>0</v>
      </c>
      <c r="T78" s="24">
        <v>30</v>
      </c>
      <c r="U78" s="24">
        <v>0</v>
      </c>
      <c r="V78" s="135">
        <f t="shared" si="2"/>
        <v>40</v>
      </c>
      <c r="W78" s="436">
        <f>SUM(S78:V78)</f>
        <v>70</v>
      </c>
      <c r="X78" s="256"/>
      <c r="Y78" s="426"/>
      <c r="AC78" s="423">
        <v>46178</v>
      </c>
      <c r="AI78" s="423">
        <v>46196</v>
      </c>
    </row>
    <row r="79" spans="1:41" ht="30.95">
      <c r="A79" s="470"/>
      <c r="B79" s="469">
        <v>18802865</v>
      </c>
      <c r="C79" s="468" t="s">
        <v>1076</v>
      </c>
      <c r="D79" s="24">
        <v>2</v>
      </c>
      <c r="F79" s="466" t="s">
        <v>1308</v>
      </c>
      <c r="G79" s="438" t="s">
        <v>1189</v>
      </c>
      <c r="H79" s="30" t="s">
        <v>146</v>
      </c>
      <c r="I79" s="30" t="s">
        <v>795</v>
      </c>
      <c r="J79" s="437" t="s">
        <v>795</v>
      </c>
      <c r="L79" s="22" t="s">
        <v>1224</v>
      </c>
      <c r="M79" s="22" t="s">
        <v>1198</v>
      </c>
      <c r="O79" s="22" t="s">
        <v>882</v>
      </c>
      <c r="Q79" s="22" t="s">
        <v>1199</v>
      </c>
      <c r="R79" s="24">
        <v>10</v>
      </c>
      <c r="T79" s="24">
        <v>30</v>
      </c>
      <c r="V79" s="135">
        <f t="shared" si="2"/>
        <v>40</v>
      </c>
      <c r="W79" s="427"/>
      <c r="X79" s="256"/>
      <c r="Y79" s="426"/>
      <c r="AC79" s="430">
        <v>46185</v>
      </c>
      <c r="AI79" s="423">
        <v>46206</v>
      </c>
    </row>
    <row r="80" spans="1:41" ht="72.599999999999994">
      <c r="B80" s="469">
        <v>19604793</v>
      </c>
      <c r="C80" s="468" t="s">
        <v>1057</v>
      </c>
      <c r="D80" s="24">
        <v>1</v>
      </c>
      <c r="F80" s="466" t="s">
        <v>95</v>
      </c>
      <c r="G80" s="438" t="s">
        <v>1189</v>
      </c>
      <c r="H80" s="30" t="s">
        <v>146</v>
      </c>
      <c r="I80" s="30" t="s">
        <v>795</v>
      </c>
      <c r="J80" s="22" t="s">
        <v>795</v>
      </c>
      <c r="L80" s="22" t="s">
        <v>1104</v>
      </c>
      <c r="M80" s="22" t="s">
        <v>768</v>
      </c>
      <c r="P80" s="125" t="s">
        <v>1234</v>
      </c>
      <c r="Q80" s="22" t="s">
        <v>1191</v>
      </c>
      <c r="R80" s="24">
        <v>22</v>
      </c>
      <c r="T80" s="24">
        <v>60</v>
      </c>
      <c r="V80" s="135">
        <f t="shared" si="2"/>
        <v>82</v>
      </c>
      <c r="W80" s="427"/>
      <c r="X80" s="134" t="s">
        <v>1309</v>
      </c>
      <c r="Y80" s="426"/>
      <c r="Z80" s="423">
        <v>46176</v>
      </c>
      <c r="AA80" s="423">
        <v>46177</v>
      </c>
      <c r="AB80" s="423">
        <v>46178</v>
      </c>
      <c r="AC80" s="423">
        <v>46185</v>
      </c>
      <c r="AD80" s="423" t="s">
        <v>785</v>
      </c>
      <c r="AE80" s="423">
        <v>46192</v>
      </c>
      <c r="AF80" s="423">
        <v>46195</v>
      </c>
      <c r="AG80" s="423">
        <v>46196</v>
      </c>
      <c r="AI80" s="423">
        <v>46199</v>
      </c>
    </row>
    <row r="81" spans="1:42" ht="43.5">
      <c r="B81" s="467">
        <v>19634431</v>
      </c>
      <c r="C81" s="22" t="s">
        <v>1042</v>
      </c>
      <c r="D81" s="24">
        <v>1</v>
      </c>
      <c r="F81" s="466" t="s">
        <v>95</v>
      </c>
      <c r="G81" s="30" t="s">
        <v>1230</v>
      </c>
      <c r="H81" s="30" t="s">
        <v>1271</v>
      </c>
      <c r="L81" s="22" t="s">
        <v>1104</v>
      </c>
      <c r="M81" s="22" t="s">
        <v>768</v>
      </c>
      <c r="P81" s="418" t="s">
        <v>1310</v>
      </c>
      <c r="Q81" s="22" t="s">
        <v>1191</v>
      </c>
      <c r="R81" s="24">
        <v>0</v>
      </c>
      <c r="T81" s="24">
        <v>24</v>
      </c>
      <c r="V81" s="135">
        <f t="shared" si="2"/>
        <v>24</v>
      </c>
      <c r="W81" s="427"/>
      <c r="X81" s="256"/>
      <c r="Y81" s="426"/>
      <c r="Z81" s="423" t="s">
        <v>125</v>
      </c>
      <c r="AA81" s="423" t="s">
        <v>125</v>
      </c>
      <c r="AB81" s="423" t="s">
        <v>125</v>
      </c>
      <c r="AC81" s="423" t="s">
        <v>125</v>
      </c>
      <c r="AD81" s="423" t="s">
        <v>125</v>
      </c>
      <c r="AE81" s="423">
        <v>46164</v>
      </c>
      <c r="AF81" s="423">
        <v>46168</v>
      </c>
      <c r="AG81" s="423">
        <v>46169</v>
      </c>
      <c r="AI81" s="423">
        <v>46178</v>
      </c>
    </row>
    <row r="82" spans="1:42" ht="57.95">
      <c r="B82" s="425">
        <v>18947608</v>
      </c>
      <c r="C82" s="22" t="s">
        <v>639</v>
      </c>
      <c r="D82" s="24">
        <v>1</v>
      </c>
      <c r="G82" s="30" t="s">
        <v>1277</v>
      </c>
      <c r="L82" s="22" t="s">
        <v>1104</v>
      </c>
      <c r="M82" s="22" t="s">
        <v>768</v>
      </c>
      <c r="Q82" s="22" t="s">
        <v>1191</v>
      </c>
      <c r="R82" s="24">
        <v>0</v>
      </c>
      <c r="T82" s="24">
        <v>36</v>
      </c>
      <c r="V82" s="135">
        <f t="shared" si="2"/>
        <v>36</v>
      </c>
      <c r="W82" s="427"/>
      <c r="X82" s="256" t="s">
        <v>1311</v>
      </c>
      <c r="Y82" s="426"/>
      <c r="Z82" s="423" t="s">
        <v>125</v>
      </c>
      <c r="AA82" s="423" t="s">
        <v>125</v>
      </c>
      <c r="AB82" s="423" t="s">
        <v>125</v>
      </c>
      <c r="AC82" s="423" t="s">
        <v>125</v>
      </c>
      <c r="AD82" s="423" t="s">
        <v>125</v>
      </c>
      <c r="AE82" s="423" t="s">
        <v>125</v>
      </c>
      <c r="AF82" s="423" t="s">
        <v>125</v>
      </c>
      <c r="AG82" s="423" t="s">
        <v>125</v>
      </c>
      <c r="AI82" s="423">
        <v>46160</v>
      </c>
      <c r="AK82" s="465" t="s">
        <v>1312</v>
      </c>
    </row>
    <row r="83" spans="1:42" s="454" customFormat="1" ht="45.6">
      <c r="A83" s="655" t="s">
        <v>1313</v>
      </c>
      <c r="B83" s="464">
        <v>12810844</v>
      </c>
      <c r="C83" s="385" t="s">
        <v>1314</v>
      </c>
      <c r="D83" s="461">
        <v>1</v>
      </c>
      <c r="E83" s="463"/>
      <c r="F83" s="451" t="s">
        <v>95</v>
      </c>
      <c r="G83" s="438" t="s">
        <v>1189</v>
      </c>
      <c r="H83" s="463"/>
      <c r="I83" s="463"/>
      <c r="J83" s="462"/>
      <c r="K83" s="461"/>
      <c r="L83" s="462" t="s">
        <v>768</v>
      </c>
      <c r="M83" s="462" t="s">
        <v>768</v>
      </c>
      <c r="N83" s="462"/>
      <c r="O83" s="462"/>
      <c r="P83" s="462"/>
      <c r="Q83" s="462"/>
      <c r="R83" s="461">
        <v>70</v>
      </c>
      <c r="S83" s="461"/>
      <c r="T83" s="461">
        <v>60</v>
      </c>
      <c r="U83" s="461"/>
      <c r="V83" s="135">
        <f t="shared" si="2"/>
        <v>130</v>
      </c>
      <c r="W83" s="460"/>
      <c r="X83" s="459"/>
      <c r="Y83" s="458"/>
      <c r="Z83" s="457"/>
      <c r="AA83" s="457">
        <v>46215</v>
      </c>
      <c r="AB83" s="457">
        <v>46216</v>
      </c>
      <c r="AC83" s="457">
        <v>46217</v>
      </c>
      <c r="AD83" s="457"/>
      <c r="AE83" s="457">
        <v>46227</v>
      </c>
      <c r="AF83" s="457">
        <v>46230</v>
      </c>
      <c r="AG83" s="457">
        <v>46231</v>
      </c>
      <c r="AH83" s="457"/>
      <c r="AI83" s="457">
        <v>46227</v>
      </c>
      <c r="AJ83" s="456"/>
      <c r="AK83" s="456"/>
      <c r="AL83" s="455"/>
      <c r="AM83" s="455"/>
      <c r="AN83" s="455"/>
      <c r="AO83" s="455"/>
    </row>
    <row r="84" spans="1:42" ht="72.599999999999994">
      <c r="A84" s="655"/>
      <c r="B84" s="420">
        <v>13753424</v>
      </c>
      <c r="C84" s="322" t="s">
        <v>1121</v>
      </c>
      <c r="D84" s="24">
        <v>1</v>
      </c>
      <c r="F84" s="453" t="s">
        <v>95</v>
      </c>
      <c r="G84" s="438" t="s">
        <v>1189</v>
      </c>
      <c r="L84" s="22" t="s">
        <v>1104</v>
      </c>
      <c r="M84" s="22" t="s">
        <v>768</v>
      </c>
      <c r="P84" s="22" t="s">
        <v>1315</v>
      </c>
      <c r="R84" s="24">
        <v>40</v>
      </c>
      <c r="T84" s="24">
        <v>40</v>
      </c>
      <c r="V84" s="135">
        <f t="shared" si="2"/>
        <v>80</v>
      </c>
      <c r="W84" s="427"/>
      <c r="X84" s="256" t="s">
        <v>1316</v>
      </c>
      <c r="Y84" s="426"/>
      <c r="Z84" s="423">
        <v>46211</v>
      </c>
      <c r="AA84" s="423">
        <v>46212</v>
      </c>
      <c r="AB84" s="423">
        <v>46213</v>
      </c>
      <c r="AC84" s="423">
        <v>46218</v>
      </c>
      <c r="AE84" s="423">
        <v>46223</v>
      </c>
      <c r="AF84" s="423">
        <v>46224</v>
      </c>
      <c r="AG84" s="423">
        <v>46225</v>
      </c>
      <c r="AI84" s="423">
        <v>46226</v>
      </c>
    </row>
    <row r="85" spans="1:42" ht="30.95">
      <c r="A85" s="655"/>
      <c r="B85" s="420">
        <v>14391784</v>
      </c>
      <c r="C85" s="322" t="s">
        <v>1071</v>
      </c>
      <c r="D85" s="24">
        <v>1</v>
      </c>
      <c r="F85" s="453" t="s">
        <v>110</v>
      </c>
      <c r="G85" s="438" t="s">
        <v>1189</v>
      </c>
      <c r="L85" s="22" t="s">
        <v>1104</v>
      </c>
      <c r="M85" s="22" t="s">
        <v>768</v>
      </c>
      <c r="R85" s="24">
        <v>15</v>
      </c>
      <c r="T85" s="24">
        <v>15</v>
      </c>
      <c r="V85" s="135">
        <f t="shared" si="2"/>
        <v>30</v>
      </c>
      <c r="W85" s="427"/>
      <c r="X85" s="256"/>
      <c r="Y85" s="426"/>
      <c r="Z85" s="423">
        <v>46202</v>
      </c>
      <c r="AA85" s="423">
        <v>46203</v>
      </c>
      <c r="AB85" s="423">
        <v>46204</v>
      </c>
      <c r="AC85" s="423">
        <v>46211</v>
      </c>
      <c r="AE85" s="444">
        <v>46218</v>
      </c>
      <c r="AF85" s="444">
        <v>46219</v>
      </c>
      <c r="AG85" s="444">
        <v>46220</v>
      </c>
      <c r="AI85" s="423">
        <v>46223</v>
      </c>
    </row>
    <row r="86" spans="1:42" s="454" customFormat="1" ht="72.599999999999994">
      <c r="A86" s="655"/>
      <c r="B86" s="451">
        <v>18922156</v>
      </c>
      <c r="C86" s="385" t="s">
        <v>1105</v>
      </c>
      <c r="D86" s="461">
        <v>1</v>
      </c>
      <c r="E86" s="463"/>
      <c r="F86" s="451" t="s">
        <v>110</v>
      </c>
      <c r="G86" s="451" t="s">
        <v>1194</v>
      </c>
      <c r="H86" s="463"/>
      <c r="I86" s="463"/>
      <c r="J86" s="462"/>
      <c r="K86" s="461"/>
      <c r="L86" s="462" t="s">
        <v>1317</v>
      </c>
      <c r="M86" s="462" t="s">
        <v>768</v>
      </c>
      <c r="N86" s="462"/>
      <c r="O86" s="462"/>
      <c r="P86" s="462"/>
      <c r="Q86" s="462"/>
      <c r="R86" s="461">
        <v>0</v>
      </c>
      <c r="S86" s="461"/>
      <c r="T86" s="461">
        <v>70</v>
      </c>
      <c r="U86" s="461"/>
      <c r="V86" s="135">
        <f t="shared" si="2"/>
        <v>70</v>
      </c>
      <c r="W86" s="460"/>
      <c r="X86" s="459" t="s">
        <v>1318</v>
      </c>
      <c r="Y86" s="458"/>
      <c r="Z86" s="457" t="s">
        <v>125</v>
      </c>
      <c r="AA86" s="457" t="s">
        <v>125</v>
      </c>
      <c r="AB86" s="457" t="s">
        <v>125</v>
      </c>
      <c r="AC86" s="457" t="s">
        <v>125</v>
      </c>
      <c r="AD86" s="457"/>
      <c r="AE86" s="457">
        <v>46218</v>
      </c>
      <c r="AF86" s="457">
        <v>46219</v>
      </c>
      <c r="AG86" s="457">
        <v>46220</v>
      </c>
      <c r="AH86" s="457"/>
      <c r="AI86" s="457">
        <v>46225</v>
      </c>
      <c r="AJ86" s="456"/>
      <c r="AK86" s="456"/>
      <c r="AL86" s="455"/>
      <c r="AM86" s="455"/>
      <c r="AN86" s="455"/>
      <c r="AO86" s="455"/>
    </row>
    <row r="87" spans="1:42" ht="29.1">
      <c r="A87" s="23" t="s">
        <v>1319</v>
      </c>
      <c r="B87" s="425">
        <v>18505556</v>
      </c>
      <c r="C87" s="428" t="s">
        <v>1032</v>
      </c>
      <c r="D87" s="24">
        <v>2</v>
      </c>
      <c r="F87" s="453" t="s">
        <v>95</v>
      </c>
      <c r="G87" s="30" t="s">
        <v>1189</v>
      </c>
      <c r="L87" s="22" t="s">
        <v>1198</v>
      </c>
      <c r="M87" s="22" t="s">
        <v>1198</v>
      </c>
      <c r="O87" s="22" t="s">
        <v>870</v>
      </c>
      <c r="P87" s="22" t="s">
        <v>1320</v>
      </c>
      <c r="Q87" s="22" t="s">
        <v>1199</v>
      </c>
      <c r="R87" s="24">
        <v>105</v>
      </c>
      <c r="S87" s="24">
        <v>40</v>
      </c>
      <c r="T87" s="24">
        <v>190</v>
      </c>
      <c r="U87" s="24" t="s">
        <v>270</v>
      </c>
      <c r="V87" s="135">
        <f t="shared" si="2"/>
        <v>335</v>
      </c>
      <c r="W87" s="427"/>
      <c r="X87" s="256"/>
      <c r="Y87" s="426"/>
      <c r="AC87" s="423" t="s">
        <v>270</v>
      </c>
      <c r="AI87" s="423" t="s">
        <v>270</v>
      </c>
    </row>
    <row r="88" spans="1:42" ht="41.45" customHeight="1">
      <c r="A88" s="441"/>
      <c r="B88" s="452">
        <v>19671563</v>
      </c>
      <c r="C88" s="134" t="s">
        <v>1100</v>
      </c>
      <c r="D88" s="448">
        <v>1</v>
      </c>
      <c r="E88" s="450"/>
      <c r="F88" s="451" t="s">
        <v>95</v>
      </c>
      <c r="G88" s="450" t="s">
        <v>1196</v>
      </c>
      <c r="H88" s="450" t="s">
        <v>146</v>
      </c>
      <c r="I88" s="450" t="s">
        <v>795</v>
      </c>
      <c r="J88" s="449" t="s">
        <v>795</v>
      </c>
      <c r="K88" s="448">
        <v>1</v>
      </c>
      <c r="L88" s="449" t="s">
        <v>1220</v>
      </c>
      <c r="M88" s="449" t="s">
        <v>523</v>
      </c>
      <c r="N88" s="449"/>
      <c r="O88" s="449" t="s">
        <v>882</v>
      </c>
      <c r="P88" s="134" t="s">
        <v>132</v>
      </c>
      <c r="Q88" s="431" t="s">
        <v>1204</v>
      </c>
      <c r="R88" s="448">
        <v>0</v>
      </c>
      <c r="S88" s="448">
        <v>0</v>
      </c>
      <c r="T88" s="448">
        <v>30</v>
      </c>
      <c r="U88" s="448">
        <v>0</v>
      </c>
      <c r="V88" s="135">
        <f t="shared" si="2"/>
        <v>30</v>
      </c>
      <c r="W88" s="447" t="s">
        <v>785</v>
      </c>
      <c r="X88" s="446"/>
      <c r="Y88" s="445"/>
      <c r="Z88" s="430" t="s">
        <v>125</v>
      </c>
      <c r="AA88" s="430" t="s">
        <v>125</v>
      </c>
      <c r="AB88" s="430" t="s">
        <v>125</v>
      </c>
      <c r="AC88" s="430" t="s">
        <v>125</v>
      </c>
      <c r="AD88" s="444" t="s">
        <v>125</v>
      </c>
      <c r="AE88" s="444">
        <v>46174</v>
      </c>
      <c r="AF88" s="444">
        <v>46175</v>
      </c>
      <c r="AG88" s="444">
        <v>46176</v>
      </c>
      <c r="AH88" s="444" t="s">
        <v>125</v>
      </c>
      <c r="AI88" s="444">
        <v>46181</v>
      </c>
      <c r="AJ88" s="443"/>
      <c r="AK88" s="443"/>
      <c r="AL88" s="442"/>
      <c r="AM88" s="442"/>
      <c r="AN88" s="442"/>
      <c r="AO88" s="442"/>
      <c r="AP88" s="441"/>
    </row>
    <row r="89" spans="1:42" ht="35.1">
      <c r="A89" s="134"/>
      <c r="B89" s="440">
        <v>19658859</v>
      </c>
      <c r="C89" s="439" t="s">
        <v>1068</v>
      </c>
      <c r="F89" s="438" t="s">
        <v>95</v>
      </c>
      <c r="G89" s="438" t="s">
        <v>1196</v>
      </c>
      <c r="J89" s="437"/>
      <c r="L89" s="22" t="s">
        <v>523</v>
      </c>
      <c r="M89" s="22" t="s">
        <v>523</v>
      </c>
      <c r="P89" s="22" t="s">
        <v>181</v>
      </c>
      <c r="Q89" s="22" t="s">
        <v>1199</v>
      </c>
      <c r="R89" s="24">
        <v>20</v>
      </c>
      <c r="V89" s="135">
        <f t="shared" si="2"/>
        <v>20</v>
      </c>
      <c r="W89" s="436"/>
      <c r="X89" s="256"/>
      <c r="Y89" s="426"/>
      <c r="AI89" s="423" t="s">
        <v>270</v>
      </c>
    </row>
    <row r="90" spans="1:42" ht="35.1">
      <c r="A90" s="134"/>
      <c r="B90" s="440">
        <v>19659117</v>
      </c>
      <c r="C90" s="439" t="s">
        <v>1321</v>
      </c>
      <c r="F90" s="438" t="s">
        <v>95</v>
      </c>
      <c r="G90" s="438" t="s">
        <v>1196</v>
      </c>
      <c r="J90" s="437"/>
      <c r="L90" s="22" t="s">
        <v>523</v>
      </c>
      <c r="M90" s="22" t="s">
        <v>523</v>
      </c>
      <c r="P90" s="22" t="s">
        <v>132</v>
      </c>
      <c r="Q90" s="431" t="s">
        <v>1204</v>
      </c>
      <c r="R90" s="24">
        <v>20</v>
      </c>
      <c r="V90" s="135">
        <f t="shared" si="2"/>
        <v>20</v>
      </c>
      <c r="W90" s="436"/>
      <c r="X90" s="256"/>
      <c r="Y90" s="426"/>
      <c r="AI90" s="423" t="s">
        <v>270</v>
      </c>
    </row>
    <row r="91" spans="1:42" ht="52.5">
      <c r="B91" s="435">
        <v>17270728</v>
      </c>
      <c r="C91" s="432" t="s">
        <v>362</v>
      </c>
      <c r="D91" s="24">
        <v>2</v>
      </c>
      <c r="F91" s="30" t="s">
        <v>1254</v>
      </c>
      <c r="G91" s="30" t="s">
        <v>1277</v>
      </c>
      <c r="L91" s="22" t="s">
        <v>549</v>
      </c>
      <c r="M91" s="22" t="s">
        <v>523</v>
      </c>
      <c r="P91" s="22" t="s">
        <v>1322</v>
      </c>
      <c r="Q91" s="22" t="s">
        <v>1204</v>
      </c>
      <c r="R91" s="24">
        <v>0</v>
      </c>
      <c r="S91" s="24">
        <v>0</v>
      </c>
      <c r="T91" s="24">
        <v>100</v>
      </c>
      <c r="U91" s="24">
        <v>0</v>
      </c>
      <c r="V91" s="135">
        <f t="shared" si="2"/>
        <v>100</v>
      </c>
      <c r="W91" s="427"/>
      <c r="X91" s="256"/>
      <c r="Y91" s="426"/>
      <c r="AI91" s="423">
        <v>46185</v>
      </c>
    </row>
    <row r="92" spans="1:42" ht="35.1">
      <c r="A92" s="23">
        <v>3</v>
      </c>
      <c r="B92" s="358">
        <v>16824279</v>
      </c>
      <c r="C92" s="432" t="s">
        <v>360</v>
      </c>
      <c r="D92" s="24">
        <v>2</v>
      </c>
      <c r="F92" s="30" t="s">
        <v>1254</v>
      </c>
      <c r="G92" s="30" t="s">
        <v>1277</v>
      </c>
      <c r="I92" s="30" t="s">
        <v>785</v>
      </c>
      <c r="L92" s="22" t="s">
        <v>1323</v>
      </c>
      <c r="M92" s="22" t="s">
        <v>523</v>
      </c>
      <c r="N92" s="22" t="s">
        <v>1240</v>
      </c>
      <c r="O92" s="431" t="s">
        <v>1285</v>
      </c>
      <c r="P92" s="22" t="s">
        <v>132</v>
      </c>
      <c r="Q92" s="22" t="s">
        <v>1204</v>
      </c>
      <c r="R92" s="24">
        <v>0</v>
      </c>
      <c r="S92" s="24">
        <v>0</v>
      </c>
      <c r="T92" s="24">
        <v>0</v>
      </c>
      <c r="U92" s="24">
        <v>0</v>
      </c>
      <c r="V92" s="135">
        <f t="shared" si="2"/>
        <v>0</v>
      </c>
      <c r="W92" s="427"/>
      <c r="X92" s="256"/>
      <c r="Y92" s="426" t="s">
        <v>122</v>
      </c>
    </row>
    <row r="93" spans="1:42" ht="72.599999999999994">
      <c r="B93" s="433">
        <v>18622558</v>
      </c>
      <c r="C93" s="432" t="s">
        <v>1201</v>
      </c>
      <c r="D93" s="24">
        <v>2</v>
      </c>
      <c r="F93" s="30" t="s">
        <v>1254</v>
      </c>
      <c r="G93" s="30" t="s">
        <v>1277</v>
      </c>
      <c r="L93" s="434" t="s">
        <v>1203</v>
      </c>
      <c r="M93" s="22" t="s">
        <v>523</v>
      </c>
      <c r="N93" s="22" t="s">
        <v>1324</v>
      </c>
      <c r="O93" s="431" t="s">
        <v>1285</v>
      </c>
      <c r="P93" s="22" t="s">
        <v>1325</v>
      </c>
      <c r="Q93" s="22" t="s">
        <v>1204</v>
      </c>
      <c r="R93" s="24">
        <v>0</v>
      </c>
      <c r="S93" s="24">
        <v>0</v>
      </c>
      <c r="T93" s="24">
        <v>0</v>
      </c>
      <c r="U93" s="24">
        <v>0</v>
      </c>
      <c r="V93" s="135">
        <f t="shared" si="2"/>
        <v>0</v>
      </c>
      <c r="W93" s="427"/>
      <c r="X93" s="256" t="s">
        <v>1326</v>
      </c>
      <c r="Y93" s="426"/>
    </row>
    <row r="94" spans="1:42" ht="52.5">
      <c r="B94" s="433">
        <v>18216449</v>
      </c>
      <c r="C94" s="432" t="s">
        <v>390</v>
      </c>
      <c r="D94" s="24">
        <v>2</v>
      </c>
      <c r="F94" s="30" t="s">
        <v>1254</v>
      </c>
      <c r="G94" s="30" t="s">
        <v>1277</v>
      </c>
      <c r="L94" s="431" t="s">
        <v>737</v>
      </c>
      <c r="M94" s="22" t="s">
        <v>523</v>
      </c>
      <c r="N94" s="22" t="s">
        <v>1240</v>
      </c>
      <c r="O94" s="431" t="s">
        <v>1285</v>
      </c>
      <c r="P94" s="22" t="s">
        <v>392</v>
      </c>
      <c r="Q94" s="22" t="s">
        <v>1204</v>
      </c>
      <c r="R94" s="24">
        <v>0</v>
      </c>
      <c r="S94" s="24">
        <v>0</v>
      </c>
      <c r="T94" s="24">
        <v>40</v>
      </c>
      <c r="U94" s="24">
        <v>0</v>
      </c>
      <c r="V94" s="135">
        <f t="shared" si="2"/>
        <v>40</v>
      </c>
      <c r="W94" s="427"/>
      <c r="X94" s="256"/>
      <c r="Y94" s="426"/>
    </row>
    <row r="95" spans="1:42" ht="43.5">
      <c r="B95" s="425">
        <v>18664459</v>
      </c>
      <c r="C95" s="432" t="s">
        <v>258</v>
      </c>
      <c r="D95" s="24">
        <v>2</v>
      </c>
      <c r="F95" s="30" t="s">
        <v>1254</v>
      </c>
      <c r="G95" s="30" t="s">
        <v>1277</v>
      </c>
      <c r="I95" s="30" t="s">
        <v>795</v>
      </c>
      <c r="L95" s="22" t="s">
        <v>549</v>
      </c>
      <c r="M95" s="22" t="s">
        <v>1327</v>
      </c>
      <c r="N95" s="22" t="s">
        <v>1328</v>
      </c>
      <c r="O95" s="431" t="s">
        <v>1285</v>
      </c>
      <c r="P95" s="22" t="s">
        <v>181</v>
      </c>
      <c r="Q95" s="22" t="s">
        <v>1199</v>
      </c>
      <c r="R95" s="24">
        <v>0</v>
      </c>
      <c r="S95" s="24">
        <v>0</v>
      </c>
      <c r="T95" s="24">
        <v>50</v>
      </c>
      <c r="U95" s="24">
        <v>0</v>
      </c>
      <c r="V95" s="135">
        <f t="shared" si="2"/>
        <v>50</v>
      </c>
      <c r="W95" s="427"/>
      <c r="X95" s="256" t="s">
        <v>1329</v>
      </c>
      <c r="Y95" s="426"/>
      <c r="AI95" s="423">
        <v>46227</v>
      </c>
    </row>
    <row r="96" spans="1:42" ht="43.5">
      <c r="B96" s="425">
        <v>18919143</v>
      </c>
      <c r="C96" s="432" t="s">
        <v>149</v>
      </c>
      <c r="D96" s="24">
        <v>2</v>
      </c>
      <c r="F96" s="30" t="s">
        <v>1254</v>
      </c>
      <c r="G96" s="30" t="s">
        <v>1277</v>
      </c>
      <c r="I96" s="30" t="s">
        <v>795</v>
      </c>
      <c r="L96" s="22" t="s">
        <v>549</v>
      </c>
      <c r="M96" s="22" t="s">
        <v>1330</v>
      </c>
      <c r="N96" s="22" t="s">
        <v>1240</v>
      </c>
      <c r="O96" s="431" t="s">
        <v>1285</v>
      </c>
      <c r="P96" s="22" t="s">
        <v>132</v>
      </c>
      <c r="Q96" s="22" t="s">
        <v>1204</v>
      </c>
      <c r="R96" s="24">
        <v>0</v>
      </c>
      <c r="S96" s="24">
        <v>0</v>
      </c>
      <c r="T96" s="24">
        <v>0</v>
      </c>
      <c r="U96" s="24">
        <v>0</v>
      </c>
      <c r="V96" s="135">
        <f t="shared" si="2"/>
        <v>0</v>
      </c>
      <c r="W96" s="427"/>
      <c r="X96" s="256" t="s">
        <v>1325</v>
      </c>
      <c r="Y96" s="426"/>
      <c r="AI96" s="423">
        <v>46185</v>
      </c>
    </row>
    <row r="97" spans="1:41" s="422" customFormat="1" ht="43.5">
      <c r="A97" s="23"/>
      <c r="B97" s="425">
        <v>19673670</v>
      </c>
      <c r="C97" s="30" t="s">
        <v>1124</v>
      </c>
      <c r="D97" s="24">
        <v>1</v>
      </c>
      <c r="E97" s="30"/>
      <c r="F97" s="30" t="s">
        <v>1254</v>
      </c>
      <c r="G97" s="30" t="s">
        <v>1189</v>
      </c>
      <c r="H97" s="30"/>
      <c r="I97" s="30" t="s">
        <v>795</v>
      </c>
      <c r="J97" s="22"/>
      <c r="K97" s="24"/>
      <c r="L97" s="22" t="s">
        <v>1224</v>
      </c>
      <c r="M97" s="22" t="s">
        <v>1226</v>
      </c>
      <c r="N97" s="22" t="s">
        <v>1240</v>
      </c>
      <c r="O97" s="22"/>
      <c r="P97" s="22" t="s">
        <v>1225</v>
      </c>
      <c r="Q97" s="22" t="s">
        <v>1204</v>
      </c>
      <c r="R97" s="24">
        <v>20</v>
      </c>
      <c r="S97" s="24">
        <v>0</v>
      </c>
      <c r="T97" s="24">
        <v>40</v>
      </c>
      <c r="U97" s="24">
        <v>0</v>
      </c>
      <c r="V97" s="135">
        <f t="shared" si="2"/>
        <v>60</v>
      </c>
      <c r="W97" s="427" t="s">
        <v>785</v>
      </c>
      <c r="X97" s="256"/>
      <c r="Y97" s="426"/>
      <c r="Z97" s="423"/>
      <c r="AA97" s="423"/>
      <c r="AB97" s="423"/>
      <c r="AC97" s="430">
        <v>46192</v>
      </c>
      <c r="AD97" s="423"/>
      <c r="AE97" s="423"/>
      <c r="AF97" s="423"/>
      <c r="AG97" s="423"/>
      <c r="AH97" s="423"/>
      <c r="AI97" s="423">
        <v>46209</v>
      </c>
      <c r="AL97" s="421"/>
      <c r="AM97" s="421"/>
      <c r="AN97" s="421"/>
      <c r="AO97" s="421"/>
    </row>
    <row r="98" spans="1:41" s="422" customFormat="1" ht="29.1">
      <c r="A98" s="23"/>
      <c r="B98" s="425">
        <v>19634192</v>
      </c>
      <c r="C98" s="30" t="s">
        <v>461</v>
      </c>
      <c r="D98" s="24">
        <v>2</v>
      </c>
      <c r="E98" s="30"/>
      <c r="F98" s="30" t="s">
        <v>1254</v>
      </c>
      <c r="G98" s="30" t="s">
        <v>1230</v>
      </c>
      <c r="H98" s="30"/>
      <c r="I98" s="30"/>
      <c r="J98" s="22"/>
      <c r="K98" s="24"/>
      <c r="L98" s="22" t="s">
        <v>1249</v>
      </c>
      <c r="M98" s="22" t="s">
        <v>1226</v>
      </c>
      <c r="N98" s="22"/>
      <c r="O98" s="22"/>
      <c r="P98" s="22" t="s">
        <v>462</v>
      </c>
      <c r="Q98" s="22" t="s">
        <v>1199</v>
      </c>
      <c r="R98" s="24">
        <v>0</v>
      </c>
      <c r="S98" s="24">
        <v>0</v>
      </c>
      <c r="T98" s="24">
        <v>10</v>
      </c>
      <c r="U98" s="24"/>
      <c r="V98" s="135">
        <f t="shared" si="2"/>
        <v>10</v>
      </c>
      <c r="W98" s="427"/>
      <c r="X98" s="256"/>
      <c r="Y98" s="426"/>
      <c r="Z98" s="423" t="s">
        <v>125</v>
      </c>
      <c r="AA98" s="423" t="s">
        <v>125</v>
      </c>
      <c r="AB98" s="423" t="s">
        <v>125</v>
      </c>
      <c r="AC98" s="423" t="s">
        <v>125</v>
      </c>
      <c r="AD98" s="429" t="s">
        <v>125</v>
      </c>
      <c r="AE98" s="423">
        <v>46153</v>
      </c>
      <c r="AF98" s="423">
        <v>46153</v>
      </c>
      <c r="AG98" s="423">
        <v>46160</v>
      </c>
      <c r="AH98" s="423">
        <v>46167</v>
      </c>
      <c r="AI98" s="423">
        <v>46170</v>
      </c>
      <c r="AL98" s="421"/>
      <c r="AM98" s="421"/>
      <c r="AN98" s="421"/>
      <c r="AO98" s="421"/>
    </row>
    <row r="99" spans="1:41" s="422" customFormat="1" ht="57.95">
      <c r="A99" s="23"/>
      <c r="B99" s="425">
        <v>19688476</v>
      </c>
      <c r="C99" s="22" t="s">
        <v>1331</v>
      </c>
      <c r="D99" s="24">
        <v>1</v>
      </c>
      <c r="E99" s="30"/>
      <c r="F99" s="30" t="s">
        <v>110</v>
      </c>
      <c r="G99" s="30" t="s">
        <v>1230</v>
      </c>
      <c r="H99" s="30"/>
      <c r="I99" s="30"/>
      <c r="J99" s="22"/>
      <c r="K99" s="24"/>
      <c r="L99" s="22" t="s">
        <v>523</v>
      </c>
      <c r="M99" s="22" t="s">
        <v>523</v>
      </c>
      <c r="N99" s="22" t="s">
        <v>1332</v>
      </c>
      <c r="O99" s="22"/>
      <c r="P99" s="22" t="s">
        <v>132</v>
      </c>
      <c r="Q99" s="22" t="s">
        <v>1204</v>
      </c>
      <c r="R99" s="24">
        <v>3</v>
      </c>
      <c r="S99" s="24">
        <v>0</v>
      </c>
      <c r="T99" s="24">
        <v>0</v>
      </c>
      <c r="U99" s="24">
        <v>0</v>
      </c>
      <c r="V99" s="135">
        <f t="shared" si="2"/>
        <v>3</v>
      </c>
      <c r="W99" s="427" t="s">
        <v>785</v>
      </c>
      <c r="X99" s="256" t="s">
        <v>1333</v>
      </c>
      <c r="Y99" s="426"/>
      <c r="Z99" s="423"/>
      <c r="AA99" s="423"/>
      <c r="AB99" s="423"/>
      <c r="AC99" s="423"/>
      <c r="AD99" s="423"/>
      <c r="AE99" s="423"/>
      <c r="AF99" s="423"/>
      <c r="AG99" s="423"/>
      <c r="AH99" s="423"/>
      <c r="AI99" s="423">
        <v>46178</v>
      </c>
      <c r="AL99" s="421"/>
      <c r="AM99" s="421"/>
      <c r="AN99" s="421"/>
      <c r="AO99" s="421"/>
    </row>
    <row r="100" spans="1:41" s="422" customFormat="1" ht="275.45">
      <c r="A100" s="23"/>
      <c r="B100" s="425">
        <v>19689311</v>
      </c>
      <c r="C100" s="22" t="s">
        <v>1079</v>
      </c>
      <c r="D100" s="24">
        <v>2</v>
      </c>
      <c r="E100" s="30"/>
      <c r="F100" s="30" t="s">
        <v>1254</v>
      </c>
      <c r="G100" s="30" t="s">
        <v>1259</v>
      </c>
      <c r="H100" s="30" t="s">
        <v>1264</v>
      </c>
      <c r="I100" s="30" t="s">
        <v>785</v>
      </c>
      <c r="J100" s="22" t="s">
        <v>1334</v>
      </c>
      <c r="K100" s="24">
        <v>2</v>
      </c>
      <c r="L100" s="134" t="s">
        <v>1226</v>
      </c>
      <c r="M100" s="22" t="s">
        <v>523</v>
      </c>
      <c r="N100" s="22" t="s">
        <v>1256</v>
      </c>
      <c r="O100" s="22" t="s">
        <v>870</v>
      </c>
      <c r="P100" s="22" t="s">
        <v>181</v>
      </c>
      <c r="Q100" s="22" t="s">
        <v>1199</v>
      </c>
      <c r="R100" s="24">
        <v>130</v>
      </c>
      <c r="S100" s="24">
        <v>10</v>
      </c>
      <c r="T100" s="24">
        <v>120</v>
      </c>
      <c r="U100" s="24">
        <v>0</v>
      </c>
      <c r="V100" s="135">
        <f t="shared" si="2"/>
        <v>260</v>
      </c>
      <c r="W100" s="427" t="s">
        <v>785</v>
      </c>
      <c r="X100" s="256" t="s">
        <v>1335</v>
      </c>
      <c r="Y100" s="426"/>
      <c r="Z100" s="423"/>
      <c r="AA100" s="423"/>
      <c r="AB100" s="423"/>
      <c r="AC100" s="423">
        <v>46218</v>
      </c>
      <c r="AD100" s="423"/>
      <c r="AE100" s="423"/>
      <c r="AF100" s="423"/>
      <c r="AG100" s="423"/>
      <c r="AH100" s="423"/>
      <c r="AI100" s="423" t="s">
        <v>125</v>
      </c>
      <c r="AL100" s="421"/>
      <c r="AM100" s="421"/>
      <c r="AN100" s="421"/>
      <c r="AO100" s="421"/>
    </row>
    <row r="101" spans="1:41" s="422" customFormat="1" ht="188.45">
      <c r="A101" s="23"/>
      <c r="B101" s="425">
        <v>19732234</v>
      </c>
      <c r="C101" s="22" t="s">
        <v>1081</v>
      </c>
      <c r="D101" s="24">
        <v>2</v>
      </c>
      <c r="E101" s="30"/>
      <c r="F101" s="30" t="s">
        <v>1254</v>
      </c>
      <c r="G101" s="30" t="s">
        <v>1259</v>
      </c>
      <c r="H101" s="30" t="s">
        <v>1264</v>
      </c>
      <c r="I101" s="30" t="s">
        <v>785</v>
      </c>
      <c r="J101" s="22" t="s">
        <v>1336</v>
      </c>
      <c r="K101" s="24">
        <v>2</v>
      </c>
      <c r="L101" s="134" t="s">
        <v>1226</v>
      </c>
      <c r="M101" s="22" t="s">
        <v>523</v>
      </c>
      <c r="N101" s="22" t="s">
        <v>1332</v>
      </c>
      <c r="O101" s="22" t="s">
        <v>870</v>
      </c>
      <c r="P101" s="22" t="s">
        <v>132</v>
      </c>
      <c r="Q101" s="22" t="s">
        <v>1204</v>
      </c>
      <c r="R101" s="24">
        <v>0</v>
      </c>
      <c r="S101" s="24">
        <v>0</v>
      </c>
      <c r="T101" s="24">
        <v>105</v>
      </c>
      <c r="U101" s="24"/>
      <c r="V101" s="135">
        <f t="shared" si="2"/>
        <v>105</v>
      </c>
      <c r="W101" s="427" t="s">
        <v>785</v>
      </c>
      <c r="X101" s="256" t="s">
        <v>1337</v>
      </c>
      <c r="Y101" s="426"/>
      <c r="Z101" s="423"/>
      <c r="AA101" s="423"/>
      <c r="AB101" s="423"/>
      <c r="AC101" s="423">
        <v>46218</v>
      </c>
      <c r="AD101" s="423"/>
      <c r="AE101" s="423"/>
      <c r="AF101" s="423"/>
      <c r="AG101" s="423"/>
      <c r="AH101" s="423"/>
      <c r="AI101" s="423" t="s">
        <v>125</v>
      </c>
      <c r="AL101" s="421"/>
      <c r="AM101" s="421"/>
      <c r="AN101" s="421"/>
      <c r="AO101" s="421"/>
    </row>
    <row r="102" spans="1:41" s="422" customFormat="1" ht="29.1">
      <c r="A102" s="23"/>
      <c r="B102" s="425">
        <v>14528192</v>
      </c>
      <c r="C102" s="22" t="s">
        <v>1040</v>
      </c>
      <c r="D102" s="24">
        <v>1</v>
      </c>
      <c r="E102" s="30"/>
      <c r="F102" s="30" t="s">
        <v>1254</v>
      </c>
      <c r="G102" s="30" t="s">
        <v>1230</v>
      </c>
      <c r="H102" s="30" t="s">
        <v>108</v>
      </c>
      <c r="I102" s="30" t="s">
        <v>795</v>
      </c>
      <c r="J102" s="22"/>
      <c r="K102" s="24">
        <v>1</v>
      </c>
      <c r="L102" s="22" t="s">
        <v>523</v>
      </c>
      <c r="M102" s="22" t="s">
        <v>523</v>
      </c>
      <c r="N102" s="22"/>
      <c r="O102" s="22"/>
      <c r="P102" s="22" t="s">
        <v>1338</v>
      </c>
      <c r="Q102" s="22" t="s">
        <v>1199</v>
      </c>
      <c r="R102" s="24">
        <v>0</v>
      </c>
      <c r="S102" s="24">
        <v>0</v>
      </c>
      <c r="T102" s="24">
        <v>10</v>
      </c>
      <c r="U102" s="24">
        <v>0</v>
      </c>
      <c r="V102" s="135">
        <f t="shared" si="2"/>
        <v>10</v>
      </c>
      <c r="W102" s="427" t="s">
        <v>785</v>
      </c>
      <c r="X102" s="256"/>
      <c r="Y102" s="426"/>
      <c r="Z102" s="423"/>
      <c r="AA102" s="423"/>
      <c r="AB102" s="423"/>
      <c r="AC102" s="423"/>
      <c r="AD102" s="423"/>
      <c r="AE102" s="423"/>
      <c r="AF102" s="423"/>
      <c r="AG102" s="423"/>
      <c r="AH102" s="423"/>
      <c r="AI102" s="423">
        <v>46171</v>
      </c>
      <c r="AL102" s="421"/>
      <c r="AM102" s="421"/>
      <c r="AN102" s="421"/>
      <c r="AO102" s="421"/>
    </row>
    <row r="103" spans="1:41" s="422" customFormat="1" ht="57.95">
      <c r="A103" s="23"/>
      <c r="B103" s="425">
        <v>19758513</v>
      </c>
      <c r="C103" s="428" t="s">
        <v>1339</v>
      </c>
      <c r="D103" s="24">
        <v>2</v>
      </c>
      <c r="E103" s="30"/>
      <c r="F103" s="30" t="s">
        <v>1254</v>
      </c>
      <c r="G103" s="30" t="s">
        <v>1194</v>
      </c>
      <c r="H103" s="30" t="s">
        <v>146</v>
      </c>
      <c r="I103" s="30" t="s">
        <v>795</v>
      </c>
      <c r="J103" s="22"/>
      <c r="K103" s="24">
        <v>2</v>
      </c>
      <c r="L103" s="22"/>
      <c r="M103" s="22"/>
      <c r="N103" s="22" t="s">
        <v>1240</v>
      </c>
      <c r="O103" s="22"/>
      <c r="P103" t="s">
        <v>1216</v>
      </c>
      <c r="Q103" s="22" t="s">
        <v>1204</v>
      </c>
      <c r="R103" s="24">
        <v>0</v>
      </c>
      <c r="S103" s="24">
        <v>0</v>
      </c>
      <c r="T103" s="24"/>
      <c r="U103" s="24">
        <v>0</v>
      </c>
      <c r="V103" s="24"/>
      <c r="W103" s="427"/>
      <c r="X103" s="256"/>
      <c r="Y103" s="426"/>
      <c r="Z103" s="423"/>
      <c r="AA103" s="423"/>
      <c r="AB103" s="423"/>
      <c r="AC103" s="423"/>
      <c r="AD103" s="423"/>
      <c r="AE103" s="423"/>
      <c r="AF103" s="423"/>
      <c r="AG103" s="423"/>
      <c r="AH103" s="423"/>
      <c r="AI103" s="423" t="s">
        <v>270</v>
      </c>
      <c r="AL103" s="421"/>
      <c r="AM103" s="421"/>
      <c r="AN103" s="421"/>
      <c r="AO103" s="421"/>
    </row>
    <row r="104" spans="1:41" s="422" customFormat="1" ht="43.5">
      <c r="A104" s="23" t="s">
        <v>1340</v>
      </c>
      <c r="B104" s="425">
        <v>19734138</v>
      </c>
      <c r="C104" s="22" t="s">
        <v>1341</v>
      </c>
      <c r="D104" s="24">
        <v>1</v>
      </c>
      <c r="E104" s="30"/>
      <c r="F104" s="30" t="s">
        <v>1254</v>
      </c>
      <c r="G104" s="30" t="s">
        <v>780</v>
      </c>
      <c r="H104" s="30" t="s">
        <v>1264</v>
      </c>
      <c r="I104" s="30" t="s">
        <v>785</v>
      </c>
      <c r="J104" s="22"/>
      <c r="K104" s="24">
        <v>1</v>
      </c>
      <c r="L104" s="22" t="s">
        <v>549</v>
      </c>
      <c r="M104" s="22" t="s">
        <v>523</v>
      </c>
      <c r="N104" s="22"/>
      <c r="O104" s="22"/>
      <c r="P104" s="22" t="s">
        <v>1342</v>
      </c>
      <c r="Q104" s="22" t="s">
        <v>1199</v>
      </c>
      <c r="R104" s="24"/>
      <c r="S104" s="24"/>
      <c r="T104" s="24"/>
      <c r="U104" s="24"/>
      <c r="V104" s="24"/>
      <c r="W104" s="427"/>
      <c r="X104" s="256"/>
      <c r="Y104" s="426"/>
      <c r="Z104" s="423"/>
      <c r="AA104" s="423"/>
      <c r="AB104" s="423"/>
      <c r="AC104" s="423"/>
      <c r="AD104" s="423"/>
      <c r="AE104" s="423"/>
      <c r="AF104" s="423"/>
      <c r="AG104" s="423"/>
      <c r="AH104" s="423"/>
      <c r="AI104" s="423"/>
      <c r="AL104" s="421"/>
      <c r="AM104" s="421"/>
      <c r="AN104" s="421"/>
      <c r="AO104" s="421"/>
    </row>
    <row r="105" spans="1:41" s="422" customFormat="1" ht="29.1">
      <c r="A105" s="23"/>
      <c r="B105" s="425">
        <v>19658083</v>
      </c>
      <c r="C105" s="134" t="s">
        <v>1098</v>
      </c>
      <c r="D105" s="24"/>
      <c r="E105" s="30"/>
      <c r="F105" s="30"/>
      <c r="G105" s="30" t="s">
        <v>1230</v>
      </c>
      <c r="H105" s="30"/>
      <c r="I105" s="30"/>
      <c r="J105" s="22"/>
      <c r="K105" s="24"/>
      <c r="L105" s="22"/>
      <c r="M105" s="22"/>
      <c r="N105" s="22"/>
      <c r="O105" s="22"/>
      <c r="P105" s="22"/>
      <c r="Q105" s="22"/>
      <c r="R105" s="24"/>
      <c r="S105" s="24"/>
      <c r="T105" s="24"/>
      <c r="U105" s="24"/>
      <c r="V105" s="24"/>
      <c r="W105" s="427"/>
      <c r="X105" s="256"/>
      <c r="Y105" s="426"/>
      <c r="Z105" s="423"/>
      <c r="AA105" s="423"/>
      <c r="AB105" s="423"/>
      <c r="AC105" s="423"/>
      <c r="AD105" s="423"/>
      <c r="AE105" s="423"/>
      <c r="AF105" s="423"/>
      <c r="AG105" s="423"/>
      <c r="AH105" s="423"/>
      <c r="AI105" s="423" t="s">
        <v>270</v>
      </c>
      <c r="AL105" s="421"/>
      <c r="AM105" s="421"/>
      <c r="AN105" s="421"/>
      <c r="AO105" s="421"/>
    </row>
    <row r="106" spans="1:41" s="422" customFormat="1">
      <c r="A106" s="23"/>
      <c r="B106" s="425"/>
      <c r="C106" s="30"/>
      <c r="D106" s="24"/>
      <c r="E106" s="30"/>
      <c r="F106" s="30"/>
      <c r="G106" s="30"/>
      <c r="H106" s="30"/>
      <c r="I106" s="30"/>
      <c r="J106" s="22"/>
      <c r="K106" s="24"/>
      <c r="L106" s="22"/>
      <c r="M106" s="22"/>
      <c r="N106" s="22"/>
      <c r="O106" s="22"/>
      <c r="P106" s="22"/>
      <c r="Q106" s="22"/>
      <c r="R106" s="24"/>
      <c r="S106" s="24"/>
      <c r="T106" s="24"/>
      <c r="U106" s="24"/>
      <c r="V106" s="24"/>
      <c r="W106" s="427"/>
      <c r="X106" s="256"/>
      <c r="Y106" s="426"/>
      <c r="Z106" s="423"/>
      <c r="AA106" s="423"/>
      <c r="AB106" s="423"/>
      <c r="AC106" s="423"/>
      <c r="AD106" s="423"/>
      <c r="AE106" s="423"/>
      <c r="AF106" s="423"/>
      <c r="AG106" s="423"/>
      <c r="AH106" s="423"/>
      <c r="AI106" s="423"/>
      <c r="AL106" s="421"/>
      <c r="AM106" s="421"/>
      <c r="AN106" s="421"/>
      <c r="AO106" s="421"/>
    </row>
    <row r="107" spans="1:41" s="422" customFormat="1">
      <c r="A107" s="23"/>
      <c r="B107" s="425"/>
      <c r="C107" s="30"/>
      <c r="D107" s="24"/>
      <c r="E107" s="30"/>
      <c r="F107" s="30"/>
      <c r="G107" s="30"/>
      <c r="H107" s="30"/>
      <c r="I107" s="30"/>
      <c r="J107" s="22"/>
      <c r="K107" s="24"/>
      <c r="L107" s="22"/>
      <c r="M107" s="22"/>
      <c r="N107" s="22"/>
      <c r="O107" s="22"/>
      <c r="P107" s="22"/>
      <c r="Q107" s="22"/>
      <c r="R107" s="24"/>
      <c r="S107" s="24"/>
      <c r="T107" s="24"/>
      <c r="U107" s="24"/>
      <c r="V107" s="24"/>
      <c r="W107" s="427"/>
      <c r="X107" s="256"/>
      <c r="Y107" s="426"/>
      <c r="Z107" s="423"/>
      <c r="AA107" s="423"/>
      <c r="AB107" s="423"/>
      <c r="AC107" s="423"/>
      <c r="AD107" s="423"/>
      <c r="AE107" s="423"/>
      <c r="AF107" s="423"/>
      <c r="AG107" s="423"/>
      <c r="AH107" s="423"/>
      <c r="AI107" s="423"/>
      <c r="AL107" s="421"/>
      <c r="AM107" s="421"/>
      <c r="AN107" s="421"/>
      <c r="AO107" s="421"/>
    </row>
    <row r="108" spans="1:41" s="422" customFormat="1">
      <c r="A108" s="23"/>
      <c r="B108" s="425"/>
      <c r="C108" s="30"/>
      <c r="D108" s="24"/>
      <c r="E108" s="30"/>
      <c r="F108" s="30"/>
      <c r="G108" s="30"/>
      <c r="H108" s="30"/>
      <c r="I108" s="30"/>
      <c r="J108" s="22"/>
      <c r="K108" s="24"/>
      <c r="L108" s="22"/>
      <c r="M108" s="22"/>
      <c r="N108" s="22"/>
      <c r="O108" s="22"/>
      <c r="P108" s="22"/>
      <c r="Q108" s="22"/>
      <c r="R108" s="24"/>
      <c r="S108" s="24"/>
      <c r="T108" s="24"/>
      <c r="U108" s="24"/>
      <c r="V108" s="24"/>
      <c r="W108" s="427"/>
      <c r="X108" s="256"/>
      <c r="Y108" s="426"/>
      <c r="Z108" s="423"/>
      <c r="AA108" s="423"/>
      <c r="AB108" s="423"/>
      <c r="AC108" s="423"/>
      <c r="AD108" s="423"/>
      <c r="AE108" s="423"/>
      <c r="AF108" s="423"/>
      <c r="AG108" s="423"/>
      <c r="AH108" s="423"/>
      <c r="AI108" s="423"/>
      <c r="AL108" s="421"/>
      <c r="AM108" s="421"/>
      <c r="AN108" s="421"/>
      <c r="AO108" s="421"/>
    </row>
    <row r="109" spans="1:41" s="422" customFormat="1">
      <c r="A109" s="23"/>
      <c r="B109" s="425"/>
      <c r="C109" s="30"/>
      <c r="D109" s="24"/>
      <c r="E109" s="30"/>
      <c r="F109" s="30"/>
      <c r="G109" s="30"/>
      <c r="H109" s="30"/>
      <c r="I109" s="30"/>
      <c r="J109" s="22"/>
      <c r="K109" s="24"/>
      <c r="L109" s="22"/>
      <c r="M109" s="22"/>
      <c r="N109" s="22"/>
      <c r="O109" s="22"/>
      <c r="P109" s="22"/>
      <c r="Q109" s="22"/>
      <c r="R109" s="24"/>
      <c r="S109" s="24"/>
      <c r="T109" s="24"/>
      <c r="U109" s="24"/>
      <c r="V109" s="24"/>
      <c r="W109" s="427"/>
      <c r="X109" s="256"/>
      <c r="Y109" s="426"/>
      <c r="Z109" s="423"/>
      <c r="AA109" s="423"/>
      <c r="AB109" s="423"/>
      <c r="AC109" s="423"/>
      <c r="AD109" s="423"/>
      <c r="AE109" s="423"/>
      <c r="AF109" s="423"/>
      <c r="AG109" s="423"/>
      <c r="AH109" s="423"/>
      <c r="AI109" s="423"/>
      <c r="AL109" s="421"/>
      <c r="AM109" s="421"/>
      <c r="AN109" s="421"/>
      <c r="AO109" s="421"/>
    </row>
    <row r="110" spans="1:41" s="422" customFormat="1">
      <c r="A110" s="23"/>
      <c r="B110" s="425"/>
      <c r="C110" s="30"/>
      <c r="D110" s="24"/>
      <c r="E110" s="30"/>
      <c r="F110" s="30"/>
      <c r="G110" s="30"/>
      <c r="H110" s="30"/>
      <c r="I110" s="30"/>
      <c r="J110" s="22"/>
      <c r="K110" s="24"/>
      <c r="L110" s="22"/>
      <c r="M110" s="22"/>
      <c r="N110" s="22"/>
      <c r="O110" s="22"/>
      <c r="P110" s="22"/>
      <c r="Q110" s="22"/>
      <c r="R110" s="24"/>
      <c r="S110" s="24"/>
      <c r="T110" s="24"/>
      <c r="U110" s="24"/>
      <c r="V110" s="24"/>
      <c r="W110" s="427"/>
      <c r="X110" s="256"/>
      <c r="Y110" s="426"/>
      <c r="Z110" s="423"/>
      <c r="AA110" s="423"/>
      <c r="AB110" s="423"/>
      <c r="AC110" s="423"/>
      <c r="AD110" s="423"/>
      <c r="AE110" s="423"/>
      <c r="AF110" s="423"/>
      <c r="AG110" s="423"/>
      <c r="AH110" s="423"/>
      <c r="AI110" s="423"/>
      <c r="AL110" s="421"/>
      <c r="AM110" s="421"/>
      <c r="AN110" s="421"/>
      <c r="AO110" s="421"/>
    </row>
    <row r="111" spans="1:41" s="422" customFormat="1">
      <c r="A111" s="23"/>
      <c r="B111" s="425"/>
      <c r="C111" s="30"/>
      <c r="D111" s="24"/>
      <c r="E111" s="30"/>
      <c r="F111" s="30"/>
      <c r="G111" s="30"/>
      <c r="H111" s="30"/>
      <c r="I111" s="30"/>
      <c r="J111" s="22"/>
      <c r="K111" s="24"/>
      <c r="L111" s="22"/>
      <c r="M111" s="22"/>
      <c r="N111" s="22"/>
      <c r="O111" s="22"/>
      <c r="P111" s="22"/>
      <c r="Q111" s="22"/>
      <c r="R111" s="24"/>
      <c r="S111" s="24"/>
      <c r="T111" s="24"/>
      <c r="U111" s="24"/>
      <c r="V111" s="24"/>
      <c r="W111" s="427"/>
      <c r="X111" s="256"/>
      <c r="Y111" s="426"/>
      <c r="Z111" s="423"/>
      <c r="AA111" s="423"/>
      <c r="AB111" s="423"/>
      <c r="AC111" s="423"/>
      <c r="AD111" s="423"/>
      <c r="AE111" s="423"/>
      <c r="AF111" s="423"/>
      <c r="AG111" s="423"/>
      <c r="AH111" s="423"/>
      <c r="AI111" s="423"/>
      <c r="AL111" s="421"/>
      <c r="AM111" s="421"/>
      <c r="AN111" s="421"/>
      <c r="AO111" s="421"/>
    </row>
    <row r="112" spans="1:41" s="422" customFormat="1">
      <c r="A112" s="23"/>
      <c r="B112" s="425"/>
      <c r="C112" s="30"/>
      <c r="D112" s="24"/>
      <c r="E112" s="30"/>
      <c r="F112" s="30"/>
      <c r="G112" s="30"/>
      <c r="H112" s="30"/>
      <c r="I112" s="30"/>
      <c r="J112" s="22"/>
      <c r="K112" s="24"/>
      <c r="L112" s="22"/>
      <c r="M112" s="22"/>
      <c r="N112" s="22"/>
      <c r="O112" s="22"/>
      <c r="P112" s="22"/>
      <c r="Q112" s="22"/>
      <c r="R112" s="24"/>
      <c r="S112" s="24"/>
      <c r="T112" s="24"/>
      <c r="U112" s="24"/>
      <c r="V112" s="24"/>
      <c r="W112" s="427"/>
      <c r="X112" s="256"/>
      <c r="Y112" s="426"/>
      <c r="Z112" s="423"/>
      <c r="AA112" s="423"/>
      <c r="AB112" s="423"/>
      <c r="AC112" s="423"/>
      <c r="AD112" s="423"/>
      <c r="AE112" s="423"/>
      <c r="AF112" s="423"/>
      <c r="AG112" s="423"/>
      <c r="AH112" s="423"/>
      <c r="AI112" s="423"/>
      <c r="AL112" s="421"/>
      <c r="AM112" s="421"/>
      <c r="AN112" s="421"/>
      <c r="AO112" s="421"/>
    </row>
    <row r="113" spans="2:41" s="423" customFormat="1">
      <c r="B113" s="425"/>
      <c r="C113" s="30"/>
      <c r="D113" s="24"/>
      <c r="E113" s="30"/>
      <c r="F113" s="30"/>
      <c r="G113" s="30"/>
      <c r="H113" s="30"/>
      <c r="I113" s="30"/>
      <c r="J113" s="22"/>
      <c r="K113" s="24"/>
      <c r="L113" s="22"/>
      <c r="M113" s="22"/>
      <c r="N113" s="22"/>
      <c r="O113" s="22"/>
      <c r="P113" s="22"/>
      <c r="Q113" s="22"/>
      <c r="R113" s="24"/>
      <c r="S113" s="24"/>
      <c r="T113" s="24"/>
      <c r="U113" s="24"/>
      <c r="V113" s="24"/>
      <c r="W113" s="427"/>
      <c r="X113" s="256"/>
      <c r="Y113" s="426"/>
      <c r="AJ113" s="422"/>
      <c r="AK113" s="422"/>
      <c r="AL113" s="421"/>
      <c r="AM113" s="421"/>
      <c r="AN113" s="421"/>
      <c r="AO113" s="421"/>
    </row>
    <row r="114" spans="2:41" s="423" customFormat="1">
      <c r="B114" s="425"/>
      <c r="C114" s="30"/>
      <c r="D114" s="24"/>
      <c r="E114" s="30"/>
      <c r="F114" s="30"/>
      <c r="G114" s="30"/>
      <c r="H114" s="30"/>
      <c r="I114" s="30"/>
      <c r="J114" s="22"/>
      <c r="K114" s="24"/>
      <c r="L114" s="22"/>
      <c r="M114" s="22"/>
      <c r="N114" s="22"/>
      <c r="O114" s="22"/>
      <c r="P114" s="22"/>
      <c r="Q114" s="22"/>
      <c r="R114" s="24"/>
      <c r="S114" s="24"/>
      <c r="T114" s="24"/>
      <c r="U114" s="24"/>
      <c r="V114" s="24"/>
      <c r="W114" s="427"/>
      <c r="X114" s="256"/>
      <c r="Y114" s="426"/>
      <c r="AJ114" s="422"/>
      <c r="AK114" s="422"/>
      <c r="AL114" s="421"/>
      <c r="AM114" s="421"/>
      <c r="AN114" s="421"/>
      <c r="AO114" s="421"/>
    </row>
    <row r="115" spans="2:41" s="423" customFormat="1">
      <c r="B115" s="425"/>
      <c r="C115" s="30"/>
      <c r="D115" s="24"/>
      <c r="E115" s="30"/>
      <c r="F115" s="30"/>
      <c r="G115" s="30"/>
      <c r="H115" s="30"/>
      <c r="I115" s="30"/>
      <c r="J115" s="22"/>
      <c r="K115" s="24"/>
      <c r="L115" s="22"/>
      <c r="M115" s="22"/>
      <c r="N115" s="22"/>
      <c r="O115" s="22"/>
      <c r="P115" s="22"/>
      <c r="Q115" s="22"/>
      <c r="R115" s="24"/>
      <c r="S115" s="24"/>
      <c r="T115" s="24"/>
      <c r="U115" s="24"/>
      <c r="V115" s="24"/>
      <c r="W115" s="427"/>
      <c r="X115" s="256"/>
      <c r="Y115" s="426"/>
      <c r="AJ115" s="422"/>
      <c r="AK115" s="422"/>
      <c r="AL115" s="421"/>
      <c r="AM115" s="421"/>
      <c r="AN115" s="421"/>
      <c r="AO115" s="421"/>
    </row>
    <row r="116" spans="2:41" s="423" customFormat="1">
      <c r="B116" s="425"/>
      <c r="C116" s="30"/>
      <c r="D116" s="24"/>
      <c r="E116" s="30"/>
      <c r="F116" s="30"/>
      <c r="G116" s="30"/>
      <c r="H116" s="30"/>
      <c r="I116" s="30"/>
      <c r="J116" s="22"/>
      <c r="K116" s="24"/>
      <c r="L116" s="22"/>
      <c r="M116" s="22"/>
      <c r="N116" s="22"/>
      <c r="O116" s="22"/>
      <c r="P116" s="22"/>
      <c r="Q116" s="22"/>
      <c r="R116" s="24"/>
      <c r="S116" s="24"/>
      <c r="T116" s="24"/>
      <c r="U116" s="24"/>
      <c r="V116" s="24"/>
      <c r="W116" s="427"/>
      <c r="X116" s="256"/>
      <c r="Y116" s="426"/>
      <c r="AJ116" s="422"/>
      <c r="AK116" s="422"/>
      <c r="AL116" s="421"/>
      <c r="AM116" s="421"/>
      <c r="AN116" s="421"/>
      <c r="AO116" s="421"/>
    </row>
    <row r="117" spans="2:41" s="423" customFormat="1">
      <c r="B117" s="425"/>
      <c r="C117" s="30"/>
      <c r="D117" s="24"/>
      <c r="E117" s="30"/>
      <c r="F117" s="30"/>
      <c r="G117" s="30"/>
      <c r="H117" s="30"/>
      <c r="I117" s="30"/>
      <c r="J117" s="22"/>
      <c r="K117" s="24"/>
      <c r="L117" s="22"/>
      <c r="M117" s="22"/>
      <c r="N117" s="22"/>
      <c r="O117" s="22"/>
      <c r="P117" s="22"/>
      <c r="Q117" s="22"/>
      <c r="R117" s="24"/>
      <c r="S117" s="24"/>
      <c r="T117" s="24"/>
      <c r="U117" s="24"/>
      <c r="V117" s="24"/>
      <c r="W117" s="427"/>
      <c r="X117" s="256"/>
      <c r="Y117" s="426"/>
      <c r="AJ117" s="422"/>
      <c r="AK117" s="422"/>
      <c r="AL117" s="421"/>
      <c r="AM117" s="421"/>
      <c r="AN117" s="421"/>
      <c r="AO117" s="421"/>
    </row>
  </sheetData>
  <autoFilter ref="A2:AP105" xr:uid="{F87F73C5-E4CF-4E71-BB37-B423C3583F91}"/>
  <mergeCells count="11">
    <mergeCell ref="A83:A86"/>
    <mergeCell ref="O5:O6"/>
    <mergeCell ref="P5:P6"/>
    <mergeCell ref="Q5:Q6"/>
    <mergeCell ref="R5:R6"/>
    <mergeCell ref="U5:U6"/>
    <mergeCell ref="V5:V6"/>
    <mergeCell ref="R35:R36"/>
    <mergeCell ref="AL47:AO47"/>
    <mergeCell ref="Q55:Q56"/>
    <mergeCell ref="S5:S6"/>
  </mergeCells>
  <conditionalFormatting sqref="B2">
    <cfRule type="duplicateValues" dxfId="618" priority="1"/>
    <cfRule type="duplicateValues" dxfId="617" priority="2"/>
    <cfRule type="duplicateValues" dxfId="616" priority="3"/>
    <cfRule type="duplicateValues" dxfId="615" priority="4"/>
    <cfRule type="duplicateValues" dxfId="614" priority="5"/>
  </conditionalFormatting>
  <conditionalFormatting sqref="B59">
    <cfRule type="duplicateValues" dxfId="613" priority="16"/>
    <cfRule type="duplicateValues" dxfId="612" priority="17"/>
    <cfRule type="duplicateValues" dxfId="611" priority="18"/>
  </conditionalFormatting>
  <conditionalFormatting sqref="B60">
    <cfRule type="duplicateValues" dxfId="610" priority="9"/>
    <cfRule type="duplicateValues" dxfId="609" priority="10"/>
    <cfRule type="duplicateValues" dxfId="608" priority="11"/>
    <cfRule type="duplicateValues" dxfId="607" priority="12"/>
    <cfRule type="duplicateValues" dxfId="606" priority="13"/>
    <cfRule type="duplicateValues" dxfId="605" priority="14"/>
    <cfRule type="duplicateValues" dxfId="604" priority="15"/>
  </conditionalFormatting>
  <conditionalFormatting sqref="B81 B77">
    <cfRule type="duplicateValues" dxfId="603" priority="8"/>
  </conditionalFormatting>
  <conditionalFormatting sqref="B95:B1048576 B1 B3:B91">
    <cfRule type="duplicateValues" dxfId="602" priority="6"/>
  </conditionalFormatting>
  <conditionalFormatting sqref="B95:B1048576 B81:B91 B1 B3:B77">
    <cfRule type="duplicateValues" dxfId="601" priority="7"/>
  </conditionalFormatting>
  <conditionalFormatting sqref="B95:B1048576 B82:B91 B3:B14 B57:B58 B16:B22 B24:B50 B64:B77">
    <cfRule type="duplicateValues" dxfId="600" priority="20"/>
  </conditionalFormatting>
  <conditionalFormatting sqref="B95:B1048576 B82:B91 B3:B77">
    <cfRule type="duplicateValues" dxfId="599" priority="21"/>
  </conditionalFormatting>
  <conditionalFormatting sqref="B95:B1048576 B82:B91 B57:B58 B3:B22 B24:B53 B64:B77">
    <cfRule type="duplicateValues" dxfId="598" priority="19"/>
  </conditionalFormatting>
  <pageMargins left="0.7" right="0.7" top="0.75" bottom="0.75" header="0.3" footer="0.3"/>
  <pageSetup scale="81" orientation="portrait" verticalDpi="4"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71B65-0174-4157-B513-875D2940EF51}">
  <dimension ref="A1:S39"/>
  <sheetViews>
    <sheetView showWhiteSpace="0" zoomScale="65" zoomScaleNormal="98" zoomScalePageLayoutView="80" workbookViewId="0">
      <selection activeCell="I18" sqref="I18"/>
    </sheetView>
  </sheetViews>
  <sheetFormatPr defaultColWidth="8.85546875" defaultRowHeight="14.45"/>
  <cols>
    <col min="1" max="1" width="18.28515625" style="203" bestFit="1" customWidth="1"/>
    <col min="2" max="2" width="15.85546875" style="203" bestFit="1" customWidth="1"/>
    <col min="3" max="3" width="12.42578125" style="203" customWidth="1"/>
    <col min="4" max="4" width="8.140625" style="203" bestFit="1" customWidth="1"/>
    <col min="5" max="5" width="8.140625" style="203" customWidth="1"/>
    <col min="6" max="6" width="14.140625" style="203" customWidth="1"/>
    <col min="7" max="7" width="11.42578125" style="203" customWidth="1"/>
    <col min="8" max="8" width="9.5703125" style="203" customWidth="1"/>
    <col min="9" max="9" width="11.42578125" style="203" customWidth="1"/>
    <col min="10" max="10" width="13.42578125" style="203" customWidth="1"/>
    <col min="11" max="11" width="14.42578125" style="203" bestFit="1" customWidth="1"/>
    <col min="12" max="12" width="13.42578125" style="203" customWidth="1"/>
    <col min="13" max="14" width="14.42578125" style="203" customWidth="1"/>
    <col min="15" max="15" width="12.42578125" style="203" bestFit="1" customWidth="1"/>
    <col min="16" max="17" width="12.42578125" style="203" customWidth="1"/>
    <col min="18" max="18" width="28.28515625" style="203" customWidth="1"/>
    <col min="19" max="34" width="9.140625" style="203"/>
    <col min="35" max="35" width="11.42578125" style="203" bestFit="1" customWidth="1"/>
    <col min="36" max="16384" width="8.85546875" style="203"/>
  </cols>
  <sheetData>
    <row r="1" spans="1:18">
      <c r="O1" s="204"/>
      <c r="P1" s="204"/>
      <c r="Q1" s="204"/>
    </row>
    <row r="2" spans="1:18" s="205" customFormat="1">
      <c r="B2" s="659" t="s">
        <v>809</v>
      </c>
      <c r="C2" s="659"/>
      <c r="D2" s="659"/>
      <c r="E2" s="659"/>
      <c r="F2" s="659"/>
      <c r="G2" s="659"/>
      <c r="H2" s="659"/>
      <c r="I2" s="659"/>
      <c r="J2" s="659"/>
      <c r="K2" s="659"/>
      <c r="L2" s="659"/>
      <c r="M2" s="659"/>
      <c r="N2" s="659"/>
      <c r="O2" s="659"/>
      <c r="P2" s="659"/>
      <c r="Q2" s="659"/>
      <c r="R2" s="659"/>
    </row>
    <row r="3" spans="1:18" s="206" customFormat="1" ht="116.1">
      <c r="B3" s="207" t="s">
        <v>1343</v>
      </c>
      <c r="C3" s="207" t="s">
        <v>1344</v>
      </c>
      <c r="D3" s="207" t="s">
        <v>1345</v>
      </c>
      <c r="E3" s="207" t="s">
        <v>1346</v>
      </c>
      <c r="F3" s="207" t="s">
        <v>1347</v>
      </c>
      <c r="G3" s="207" t="s">
        <v>1242</v>
      </c>
      <c r="H3" s="207" t="s">
        <v>1348</v>
      </c>
      <c r="I3" s="207" t="s">
        <v>1349</v>
      </c>
      <c r="J3" s="207" t="s">
        <v>1350</v>
      </c>
      <c r="K3" s="207" t="s">
        <v>1351</v>
      </c>
      <c r="L3" s="207" t="s">
        <v>1352</v>
      </c>
      <c r="M3" s="207" t="s">
        <v>1353</v>
      </c>
      <c r="N3" s="207" t="s">
        <v>1354</v>
      </c>
      <c r="O3" s="207" t="s">
        <v>1355</v>
      </c>
      <c r="P3" s="207" t="s">
        <v>1356</v>
      </c>
      <c r="Q3" s="207" t="s">
        <v>1357</v>
      </c>
      <c r="R3" s="207" t="s">
        <v>1177</v>
      </c>
    </row>
    <row r="4" spans="1:18">
      <c r="B4" s="660" t="s">
        <v>1358</v>
      </c>
      <c r="C4" s="208">
        <v>46150</v>
      </c>
      <c r="D4" s="209">
        <v>19</v>
      </c>
      <c r="E4" s="210">
        <v>1</v>
      </c>
      <c r="F4" s="211">
        <v>1</v>
      </c>
      <c r="G4" s="212">
        <v>1</v>
      </c>
      <c r="H4" s="213">
        <v>0</v>
      </c>
      <c r="I4" s="214">
        <f>E4</f>
        <v>1</v>
      </c>
      <c r="J4" s="214">
        <f>F4</f>
        <v>1</v>
      </c>
      <c r="K4" s="214">
        <f>G4</f>
        <v>1</v>
      </c>
      <c r="L4" s="214">
        <f>F4</f>
        <v>1</v>
      </c>
      <c r="M4" s="214">
        <v>6</v>
      </c>
      <c r="N4" s="214"/>
      <c r="O4" s="215">
        <f t="shared" ref="O4:O6" si="0">39/41</f>
        <v>0.95121951219512191</v>
      </c>
      <c r="P4" s="215">
        <v>1</v>
      </c>
      <c r="Q4" s="215">
        <f>K4/J4</f>
        <v>1</v>
      </c>
      <c r="R4" s="209"/>
    </row>
    <row r="5" spans="1:18">
      <c r="B5" s="661"/>
      <c r="C5" s="208">
        <f t="shared" ref="C5:C15" si="1">C4+7</f>
        <v>46157</v>
      </c>
      <c r="D5" s="209">
        <v>20</v>
      </c>
      <c r="E5" s="210">
        <v>8</v>
      </c>
      <c r="F5" s="211">
        <f>E5-H5</f>
        <v>7</v>
      </c>
      <c r="G5" s="212">
        <v>7</v>
      </c>
      <c r="H5" s="213">
        <v>1</v>
      </c>
      <c r="I5" s="214">
        <f>I4+E5</f>
        <v>9</v>
      </c>
      <c r="J5" s="214">
        <f>J4+F5</f>
        <v>8</v>
      </c>
      <c r="K5" s="214">
        <f>K4+G5</f>
        <v>8</v>
      </c>
      <c r="L5" s="214">
        <f t="shared" ref="L5:L13" si="2">$G5+L4</f>
        <v>8</v>
      </c>
      <c r="M5" s="214">
        <v>5</v>
      </c>
      <c r="N5" s="214"/>
      <c r="O5" s="215">
        <f t="shared" si="0"/>
        <v>0.95121951219512191</v>
      </c>
      <c r="P5" s="215">
        <v>1</v>
      </c>
      <c r="Q5" s="215">
        <f t="shared" ref="Q5" si="3">K5/J5</f>
        <v>1</v>
      </c>
      <c r="R5" s="209" t="s">
        <v>1359</v>
      </c>
    </row>
    <row r="6" spans="1:18">
      <c r="B6" s="661"/>
      <c r="C6" s="208">
        <f t="shared" si="1"/>
        <v>46164</v>
      </c>
      <c r="D6" s="209">
        <v>21</v>
      </c>
      <c r="E6" s="210">
        <v>1</v>
      </c>
      <c r="F6" s="211">
        <f>E6-H6</f>
        <v>0</v>
      </c>
      <c r="G6" s="212">
        <v>1</v>
      </c>
      <c r="H6" s="213">
        <f>H5</f>
        <v>1</v>
      </c>
      <c r="I6" s="214">
        <f t="shared" ref="I6:K16" si="4">I5+E6</f>
        <v>10</v>
      </c>
      <c r="J6" s="214">
        <f>J5+F6</f>
        <v>8</v>
      </c>
      <c r="K6" s="214">
        <f t="shared" si="4"/>
        <v>9</v>
      </c>
      <c r="L6" s="214">
        <f t="shared" si="2"/>
        <v>9</v>
      </c>
      <c r="M6" s="214">
        <v>8</v>
      </c>
      <c r="N6" s="214"/>
      <c r="O6" s="215">
        <f t="shared" si="0"/>
        <v>0.95121951219512191</v>
      </c>
      <c r="P6" s="217">
        <f t="shared" ref="P6:P16" si="5">K6/I6</f>
        <v>0.9</v>
      </c>
      <c r="Q6" s="215">
        <f>K6/J6</f>
        <v>1.125</v>
      </c>
      <c r="R6" s="218"/>
    </row>
    <row r="7" spans="1:18">
      <c r="B7" s="661"/>
      <c r="C7" s="208">
        <f t="shared" si="1"/>
        <v>46171</v>
      </c>
      <c r="D7" s="209">
        <v>22</v>
      </c>
      <c r="E7" s="210">
        <v>1</v>
      </c>
      <c r="F7" s="211">
        <f>2</f>
        <v>2</v>
      </c>
      <c r="G7" s="212">
        <v>1</v>
      </c>
      <c r="H7" s="213">
        <f>H6</f>
        <v>1</v>
      </c>
      <c r="I7" s="214">
        <f t="shared" si="4"/>
        <v>11</v>
      </c>
      <c r="J7" s="214">
        <f t="shared" si="4"/>
        <v>10</v>
      </c>
      <c r="K7" s="214">
        <f t="shared" si="4"/>
        <v>10</v>
      </c>
      <c r="L7" s="214">
        <f t="shared" si="2"/>
        <v>10</v>
      </c>
      <c r="M7" s="214">
        <v>31</v>
      </c>
      <c r="N7" s="214"/>
      <c r="O7" s="215">
        <f>40/(43-1)</f>
        <v>0.95238095238095233</v>
      </c>
      <c r="P7" s="217">
        <f t="shared" si="5"/>
        <v>0.90909090909090906</v>
      </c>
      <c r="Q7" s="215">
        <f>K7/J7</f>
        <v>1</v>
      </c>
      <c r="R7" s="219"/>
    </row>
    <row r="8" spans="1:18">
      <c r="B8" s="661"/>
      <c r="C8" s="208">
        <f t="shared" si="1"/>
        <v>46178</v>
      </c>
      <c r="D8" s="209">
        <v>23</v>
      </c>
      <c r="E8" s="210">
        <v>2</v>
      </c>
      <c r="F8" s="211">
        <f t="shared" ref="F8:F12" si="6">E8</f>
        <v>2</v>
      </c>
      <c r="G8" s="212">
        <v>2</v>
      </c>
      <c r="H8" s="213">
        <f>H7</f>
        <v>1</v>
      </c>
      <c r="I8" s="214">
        <f t="shared" si="4"/>
        <v>13</v>
      </c>
      <c r="J8" s="214">
        <f t="shared" si="4"/>
        <v>12</v>
      </c>
      <c r="K8" s="214">
        <f>K7+G8</f>
        <v>12</v>
      </c>
      <c r="L8" s="214">
        <f t="shared" si="2"/>
        <v>12</v>
      </c>
      <c r="M8" s="214">
        <v>26</v>
      </c>
      <c r="N8" s="214">
        <f>1+1+4</f>
        <v>6</v>
      </c>
      <c r="O8" s="215">
        <f t="shared" ref="O8:O16" si="7">45/45</f>
        <v>1</v>
      </c>
      <c r="P8" s="217">
        <f>K8/I8</f>
        <v>0.92307692307692313</v>
      </c>
      <c r="Q8" s="215">
        <f>K8/J8</f>
        <v>1</v>
      </c>
      <c r="R8" s="220"/>
    </row>
    <row r="9" spans="1:18">
      <c r="B9" s="661"/>
      <c r="C9" s="208">
        <f t="shared" si="1"/>
        <v>46185</v>
      </c>
      <c r="D9" s="209">
        <v>24</v>
      </c>
      <c r="E9" s="210">
        <v>16</v>
      </c>
      <c r="F9" s="211">
        <v>14</v>
      </c>
      <c r="G9" s="212">
        <v>2</v>
      </c>
      <c r="H9" s="213">
        <f>H8+1</f>
        <v>2</v>
      </c>
      <c r="I9" s="214">
        <f t="shared" si="4"/>
        <v>29</v>
      </c>
      <c r="J9" s="214">
        <f t="shared" si="4"/>
        <v>26</v>
      </c>
      <c r="K9" s="214">
        <f>K8+G9</f>
        <v>14</v>
      </c>
      <c r="L9" s="214">
        <f t="shared" si="2"/>
        <v>14</v>
      </c>
      <c r="M9" s="214">
        <f>1+19</f>
        <v>20</v>
      </c>
      <c r="N9" s="214">
        <v>11</v>
      </c>
      <c r="O9" s="215">
        <f t="shared" si="7"/>
        <v>1</v>
      </c>
      <c r="P9" s="217">
        <f t="shared" si="5"/>
        <v>0.48275862068965519</v>
      </c>
      <c r="Q9" s="215">
        <f>K9/J9</f>
        <v>0.53846153846153844</v>
      </c>
      <c r="R9" s="218" t="s">
        <v>1360</v>
      </c>
    </row>
    <row r="10" spans="1:18">
      <c r="B10" s="661"/>
      <c r="C10" s="208">
        <f t="shared" si="1"/>
        <v>46192</v>
      </c>
      <c r="D10" s="209">
        <v>25</v>
      </c>
      <c r="E10" s="210">
        <v>6</v>
      </c>
      <c r="F10" s="211">
        <v>4</v>
      </c>
      <c r="G10" s="212">
        <f>6+3+2</f>
        <v>11</v>
      </c>
      <c r="H10" s="213">
        <f>H9+1</f>
        <v>3</v>
      </c>
      <c r="I10" s="214">
        <f t="shared" si="4"/>
        <v>35</v>
      </c>
      <c r="J10" s="214">
        <f>J9+F10</f>
        <v>30</v>
      </c>
      <c r="K10" s="214">
        <f t="shared" si="4"/>
        <v>25</v>
      </c>
      <c r="L10" s="214">
        <f t="shared" si="2"/>
        <v>25</v>
      </c>
      <c r="M10" s="214">
        <v>16</v>
      </c>
      <c r="N10" s="214">
        <v>5</v>
      </c>
      <c r="O10" s="215">
        <f t="shared" si="7"/>
        <v>1</v>
      </c>
      <c r="P10" s="217">
        <f t="shared" si="5"/>
        <v>0.7142857142857143</v>
      </c>
      <c r="Q10" s="215">
        <f>K10/J10</f>
        <v>0.83333333333333337</v>
      </c>
      <c r="R10" s="220"/>
    </row>
    <row r="11" spans="1:18">
      <c r="B11" s="661"/>
      <c r="C11" s="208">
        <f>C10+7</f>
        <v>46199</v>
      </c>
      <c r="D11" s="209">
        <v>26</v>
      </c>
      <c r="E11" s="210">
        <v>0</v>
      </c>
      <c r="F11" s="211">
        <v>1</v>
      </c>
      <c r="G11" s="212"/>
      <c r="H11" s="213">
        <f>H10</f>
        <v>3</v>
      </c>
      <c r="I11" s="214">
        <f>I10+E11</f>
        <v>35</v>
      </c>
      <c r="J11" s="214">
        <f>J10+F11</f>
        <v>31</v>
      </c>
      <c r="K11" s="214">
        <f>K10+G11</f>
        <v>25</v>
      </c>
      <c r="L11" s="214">
        <f>$G11+L10</f>
        <v>25</v>
      </c>
      <c r="M11" s="214"/>
      <c r="N11" s="214"/>
      <c r="O11" s="215">
        <f t="shared" si="7"/>
        <v>1</v>
      </c>
      <c r="P11" s="217">
        <f t="shared" si="5"/>
        <v>0.7142857142857143</v>
      </c>
      <c r="Q11" s="215"/>
      <c r="R11" s="218"/>
    </row>
    <row r="12" spans="1:18">
      <c r="B12" s="661"/>
      <c r="C12" s="208">
        <f t="shared" si="1"/>
        <v>46206</v>
      </c>
      <c r="D12" s="209">
        <v>27</v>
      </c>
      <c r="E12" s="210">
        <v>0</v>
      </c>
      <c r="F12" s="211">
        <f t="shared" si="6"/>
        <v>0</v>
      </c>
      <c r="G12" s="212"/>
      <c r="H12" s="213">
        <f>H11</f>
        <v>3</v>
      </c>
      <c r="I12" s="214">
        <f t="shared" si="4"/>
        <v>35</v>
      </c>
      <c r="J12" s="214">
        <f t="shared" si="4"/>
        <v>31</v>
      </c>
      <c r="K12" s="214">
        <f t="shared" si="4"/>
        <v>25</v>
      </c>
      <c r="L12" s="214">
        <f t="shared" si="2"/>
        <v>25</v>
      </c>
      <c r="M12" s="214"/>
      <c r="N12" s="214"/>
      <c r="O12" s="215">
        <f t="shared" si="7"/>
        <v>1</v>
      </c>
      <c r="P12" s="217">
        <f t="shared" si="5"/>
        <v>0.7142857142857143</v>
      </c>
      <c r="Q12" s="215"/>
      <c r="R12" s="209"/>
    </row>
    <row r="13" spans="1:18">
      <c r="B13" s="661"/>
      <c r="C13" s="208">
        <f t="shared" si="1"/>
        <v>46213</v>
      </c>
      <c r="D13" s="209">
        <v>28</v>
      </c>
      <c r="E13" s="210">
        <f>1+7</f>
        <v>8</v>
      </c>
      <c r="F13" s="211">
        <v>10</v>
      </c>
      <c r="G13" s="212"/>
      <c r="H13" s="213">
        <f>H12</f>
        <v>3</v>
      </c>
      <c r="I13" s="214">
        <f t="shared" si="4"/>
        <v>43</v>
      </c>
      <c r="J13" s="214">
        <f t="shared" si="4"/>
        <v>41</v>
      </c>
      <c r="K13" s="214">
        <f t="shared" si="4"/>
        <v>25</v>
      </c>
      <c r="L13" s="214">
        <f t="shared" si="2"/>
        <v>25</v>
      </c>
      <c r="M13" s="214"/>
      <c r="N13" s="214"/>
      <c r="O13" s="215">
        <f t="shared" si="7"/>
        <v>1</v>
      </c>
      <c r="P13" s="217">
        <f t="shared" si="5"/>
        <v>0.58139534883720934</v>
      </c>
      <c r="Q13" s="217"/>
      <c r="R13" s="218"/>
    </row>
    <row r="14" spans="1:18">
      <c r="B14" s="661"/>
      <c r="C14" s="208">
        <f t="shared" si="1"/>
        <v>46220</v>
      </c>
      <c r="D14" s="209">
        <v>29</v>
      </c>
      <c r="E14" s="210">
        <f>4+1</f>
        <v>5</v>
      </c>
      <c r="F14" s="211">
        <f>3+1</f>
        <v>4</v>
      </c>
      <c r="G14" s="212"/>
      <c r="H14" s="213">
        <f>H13</f>
        <v>3</v>
      </c>
      <c r="I14" s="214">
        <f t="shared" si="4"/>
        <v>48</v>
      </c>
      <c r="J14" s="214">
        <f t="shared" si="4"/>
        <v>45</v>
      </c>
      <c r="K14" s="214">
        <f>K13+G14</f>
        <v>25</v>
      </c>
      <c r="L14" s="214">
        <f>$G14+L13</f>
        <v>25</v>
      </c>
      <c r="M14" s="214"/>
      <c r="N14" s="214"/>
      <c r="O14" s="215">
        <f t="shared" si="7"/>
        <v>1</v>
      </c>
      <c r="P14" s="217">
        <f t="shared" si="5"/>
        <v>0.52083333333333337</v>
      </c>
      <c r="Q14" s="217"/>
      <c r="R14" s="218"/>
    </row>
    <row r="15" spans="1:18">
      <c r="A15" s="205"/>
      <c r="B15" s="661"/>
      <c r="C15" s="208">
        <f t="shared" si="1"/>
        <v>46227</v>
      </c>
      <c r="D15" s="209">
        <v>30</v>
      </c>
      <c r="E15" s="636">
        <v>1</v>
      </c>
      <c r="F15" s="211">
        <v>0</v>
      </c>
      <c r="G15" s="637"/>
      <c r="H15" s="213">
        <f>H14</f>
        <v>3</v>
      </c>
      <c r="I15" s="214">
        <f t="shared" si="4"/>
        <v>49</v>
      </c>
      <c r="J15" s="214">
        <f>J14+F15</f>
        <v>45</v>
      </c>
      <c r="K15" s="214">
        <f>K14+G15</f>
        <v>25</v>
      </c>
      <c r="L15" s="214">
        <f>$G15+L14</f>
        <v>25</v>
      </c>
      <c r="M15" s="214"/>
      <c r="N15" s="214"/>
      <c r="O15" s="215">
        <f t="shared" si="7"/>
        <v>1</v>
      </c>
      <c r="P15" s="217">
        <f t="shared" si="5"/>
        <v>0.51020408163265307</v>
      </c>
      <c r="Q15" s="217"/>
      <c r="R15" s="229"/>
    </row>
    <row r="16" spans="1:18">
      <c r="B16" s="661"/>
      <c r="C16" s="208">
        <f>C15+7</f>
        <v>46234</v>
      </c>
      <c r="D16" s="209">
        <v>31</v>
      </c>
      <c r="E16" s="210">
        <v>0</v>
      </c>
      <c r="F16" s="211">
        <v>1</v>
      </c>
      <c r="G16" s="225"/>
      <c r="H16" s="213">
        <v>3</v>
      </c>
      <c r="I16" s="214">
        <f t="shared" si="4"/>
        <v>49</v>
      </c>
      <c r="J16" s="214">
        <f t="shared" si="4"/>
        <v>46</v>
      </c>
      <c r="K16" s="214">
        <f>K15+G16</f>
        <v>25</v>
      </c>
      <c r="L16" s="214">
        <f>$G16+L15</f>
        <v>25</v>
      </c>
      <c r="M16" s="214"/>
      <c r="N16" s="214"/>
      <c r="O16" s="215">
        <f t="shared" si="7"/>
        <v>1</v>
      </c>
      <c r="P16" s="217">
        <f t="shared" si="5"/>
        <v>0.51020408163265307</v>
      </c>
      <c r="Q16" s="217"/>
      <c r="R16" s="218" t="s">
        <v>1361</v>
      </c>
    </row>
    <row r="17" spans="1:19">
      <c r="E17" s="203">
        <f>SUM(E4:E16)</f>
        <v>49</v>
      </c>
      <c r="F17" s="203">
        <f>SUM(F4:F16)</f>
        <v>46</v>
      </c>
      <c r="G17" s="203">
        <f>SUM(G4:G16)</f>
        <v>25</v>
      </c>
    </row>
    <row r="20" spans="1:19">
      <c r="B20" s="659" t="s">
        <v>1362</v>
      </c>
      <c r="C20" s="659"/>
      <c r="D20" s="659"/>
      <c r="E20" s="659"/>
      <c r="F20" s="659"/>
      <c r="G20" s="659"/>
      <c r="H20" s="659"/>
      <c r="I20" s="659"/>
      <c r="J20" s="659"/>
      <c r="K20" s="659"/>
      <c r="L20" s="659"/>
      <c r="M20" s="659"/>
      <c r="N20" s="659"/>
      <c r="O20" s="659"/>
      <c r="P20" s="659"/>
      <c r="Q20" s="659"/>
      <c r="R20" s="659"/>
    </row>
    <row r="21" spans="1:19" ht="116.1">
      <c r="B21" s="214" t="s">
        <v>1343</v>
      </c>
      <c r="C21" s="214" t="s">
        <v>1344</v>
      </c>
      <c r="D21" s="214" t="s">
        <v>1345</v>
      </c>
      <c r="E21" s="214" t="s">
        <v>1346</v>
      </c>
      <c r="F21" s="214" t="s">
        <v>1347</v>
      </c>
      <c r="G21" s="226" t="s">
        <v>1242</v>
      </c>
      <c r="H21" s="214" t="s">
        <v>1363</v>
      </c>
      <c r="I21" s="214" t="s">
        <v>1349</v>
      </c>
      <c r="J21" s="214" t="s">
        <v>1350</v>
      </c>
      <c r="K21" s="214" t="s">
        <v>1351</v>
      </c>
      <c r="L21" s="214" t="s">
        <v>1364</v>
      </c>
      <c r="M21" s="214" t="s">
        <v>1365</v>
      </c>
      <c r="N21" s="207" t="s">
        <v>1354</v>
      </c>
      <c r="O21" s="214" t="s">
        <v>1355</v>
      </c>
      <c r="P21" s="214" t="s">
        <v>1366</v>
      </c>
      <c r="Q21" s="214" t="s">
        <v>1357</v>
      </c>
      <c r="R21" s="216" t="s">
        <v>1177</v>
      </c>
      <c r="S21" s="203" t="s">
        <v>122</v>
      </c>
    </row>
    <row r="22" spans="1:19">
      <c r="B22" s="662" t="s">
        <v>1367</v>
      </c>
      <c r="C22" s="208">
        <v>46150</v>
      </c>
      <c r="D22" s="209">
        <v>19</v>
      </c>
      <c r="E22" s="210">
        <v>1</v>
      </c>
      <c r="F22" s="638">
        <f>E22</f>
        <v>1</v>
      </c>
      <c r="G22" s="212">
        <v>1</v>
      </c>
      <c r="H22" s="213">
        <v>0</v>
      </c>
      <c r="I22" s="214">
        <f>E22</f>
        <v>1</v>
      </c>
      <c r="J22" s="214">
        <f>F22</f>
        <v>1</v>
      </c>
      <c r="K22" s="214">
        <f>G22</f>
        <v>1</v>
      </c>
      <c r="L22" s="214">
        <f>F22</f>
        <v>1</v>
      </c>
      <c r="M22" s="214">
        <v>11</v>
      </c>
      <c r="N22" s="214"/>
      <c r="O22" s="227">
        <f t="shared" ref="O22:O24" si="8">(73-5)/73</f>
        <v>0.93150684931506844</v>
      </c>
      <c r="P22" s="227">
        <v>1</v>
      </c>
      <c r="Q22" s="227">
        <f t="shared" ref="Q22:Q28" si="9">K22/J22</f>
        <v>1</v>
      </c>
      <c r="R22" s="209"/>
    </row>
    <row r="23" spans="1:19">
      <c r="A23" s="250"/>
      <c r="B23" s="663"/>
      <c r="C23" s="208">
        <f t="shared" ref="C23:C34" si="10">C22+7</f>
        <v>46157</v>
      </c>
      <c r="D23" s="209">
        <v>20</v>
      </c>
      <c r="E23" s="210">
        <v>3</v>
      </c>
      <c r="F23" s="638">
        <v>4</v>
      </c>
      <c r="G23" s="212">
        <v>4</v>
      </c>
      <c r="H23" s="213">
        <v>0</v>
      </c>
      <c r="I23" s="214">
        <f>I22+E23</f>
        <v>4</v>
      </c>
      <c r="J23" s="214">
        <f>J22+F23</f>
        <v>5</v>
      </c>
      <c r="K23" s="214">
        <f t="shared" ref="K23:K34" si="11">K22+G23</f>
        <v>5</v>
      </c>
      <c r="L23" s="214">
        <f t="shared" ref="L23:L34" si="12">L22+$G23</f>
        <v>5</v>
      </c>
      <c r="M23" s="214">
        <v>23</v>
      </c>
      <c r="N23" s="214"/>
      <c r="O23" s="227">
        <f t="shared" si="8"/>
        <v>0.93150684931506844</v>
      </c>
      <c r="P23" s="227">
        <v>1</v>
      </c>
      <c r="Q23" s="227">
        <f t="shared" si="9"/>
        <v>1</v>
      </c>
      <c r="R23" s="209"/>
    </row>
    <row r="24" spans="1:19">
      <c r="A24" s="250"/>
      <c r="B24" s="663"/>
      <c r="C24" s="208">
        <f t="shared" si="10"/>
        <v>46164</v>
      </c>
      <c r="D24" s="209">
        <v>21</v>
      </c>
      <c r="E24" s="210">
        <v>6</v>
      </c>
      <c r="F24" s="638">
        <v>8</v>
      </c>
      <c r="G24" s="212">
        <v>8</v>
      </c>
      <c r="H24" s="213">
        <v>0</v>
      </c>
      <c r="I24" s="214">
        <f>I23+E24</f>
        <v>10</v>
      </c>
      <c r="J24" s="214">
        <f t="shared" ref="J24:J34" si="13">J23+F24</f>
        <v>13</v>
      </c>
      <c r="K24" s="214">
        <f t="shared" si="11"/>
        <v>13</v>
      </c>
      <c r="L24" s="214">
        <f t="shared" si="12"/>
        <v>13</v>
      </c>
      <c r="M24" s="214">
        <v>23</v>
      </c>
      <c r="N24" s="214"/>
      <c r="O24" s="227">
        <f t="shared" si="8"/>
        <v>0.93150684931506844</v>
      </c>
      <c r="P24" s="228">
        <f>K24/I24</f>
        <v>1.3</v>
      </c>
      <c r="Q24" s="227">
        <f t="shared" si="9"/>
        <v>1</v>
      </c>
      <c r="R24" s="591"/>
    </row>
    <row r="25" spans="1:19">
      <c r="A25" s="332"/>
      <c r="B25" s="663"/>
      <c r="C25" s="208">
        <f t="shared" si="10"/>
        <v>46171</v>
      </c>
      <c r="D25" s="209">
        <v>22</v>
      </c>
      <c r="E25" s="210">
        <v>13</v>
      </c>
      <c r="F25" s="638">
        <v>12</v>
      </c>
      <c r="G25" s="212">
        <v>12</v>
      </c>
      <c r="H25" s="213">
        <v>0</v>
      </c>
      <c r="I25" s="214">
        <f t="shared" ref="I25:I34" si="14">I24+E25</f>
        <v>23</v>
      </c>
      <c r="J25" s="214">
        <f>J24+F25</f>
        <v>25</v>
      </c>
      <c r="K25" s="214">
        <f t="shared" si="11"/>
        <v>25</v>
      </c>
      <c r="L25" s="214">
        <f t="shared" si="12"/>
        <v>25</v>
      </c>
      <c r="M25" s="214">
        <v>15</v>
      </c>
      <c r="N25" s="214"/>
      <c r="O25" s="227">
        <f t="shared" ref="O25" si="15">(73-3)/73</f>
        <v>0.95890410958904104</v>
      </c>
      <c r="P25" s="228">
        <f t="shared" ref="P25:P34" si="16">K25/I25</f>
        <v>1.0869565217391304</v>
      </c>
      <c r="Q25" s="590">
        <f t="shared" si="9"/>
        <v>1</v>
      </c>
      <c r="R25" s="250"/>
    </row>
    <row r="26" spans="1:19">
      <c r="A26" s="332"/>
      <c r="B26" s="663"/>
      <c r="C26" s="208">
        <f t="shared" si="10"/>
        <v>46178</v>
      </c>
      <c r="D26" s="209">
        <v>23</v>
      </c>
      <c r="E26" s="210">
        <v>5</v>
      </c>
      <c r="F26" s="638">
        <f>6-H26</f>
        <v>5</v>
      </c>
      <c r="G26" s="212">
        <v>2</v>
      </c>
      <c r="H26" s="213">
        <v>1</v>
      </c>
      <c r="I26" s="214">
        <f t="shared" si="14"/>
        <v>28</v>
      </c>
      <c r="J26" s="214">
        <f t="shared" si="13"/>
        <v>30</v>
      </c>
      <c r="K26" s="214">
        <f t="shared" si="11"/>
        <v>27</v>
      </c>
      <c r="L26" s="214">
        <f t="shared" si="12"/>
        <v>27</v>
      </c>
      <c r="M26" s="214">
        <v>12</v>
      </c>
      <c r="N26" s="214">
        <f>3</f>
        <v>3</v>
      </c>
      <c r="O26" s="227">
        <f t="shared" ref="O26" si="17">(76-1)/76</f>
        <v>0.98684210526315785</v>
      </c>
      <c r="P26" s="228">
        <f t="shared" si="16"/>
        <v>0.9642857142857143</v>
      </c>
      <c r="Q26" s="227">
        <f t="shared" si="9"/>
        <v>0.9</v>
      </c>
      <c r="R26" s="592" t="s">
        <v>1368</v>
      </c>
    </row>
    <row r="27" spans="1:19">
      <c r="A27" s="332"/>
      <c r="B27" s="663"/>
      <c r="C27" s="208">
        <f t="shared" si="10"/>
        <v>46185</v>
      </c>
      <c r="D27" s="209">
        <v>24</v>
      </c>
      <c r="E27" s="210">
        <v>5</v>
      </c>
      <c r="F27" s="638">
        <v>2</v>
      </c>
      <c r="G27" s="212">
        <f>1+2</f>
        <v>3</v>
      </c>
      <c r="H27" s="213">
        <f>H26</f>
        <v>1</v>
      </c>
      <c r="I27" s="214">
        <f t="shared" si="14"/>
        <v>33</v>
      </c>
      <c r="J27" s="214">
        <f t="shared" si="13"/>
        <v>32</v>
      </c>
      <c r="K27" s="214">
        <f t="shared" si="11"/>
        <v>30</v>
      </c>
      <c r="L27" s="214">
        <f t="shared" si="12"/>
        <v>30</v>
      </c>
      <c r="M27" s="214">
        <v>22</v>
      </c>
      <c r="N27" s="214">
        <v>2</v>
      </c>
      <c r="O27" s="227">
        <f t="shared" ref="O27:O34" si="18">(75)/75</f>
        <v>1</v>
      </c>
      <c r="P27" s="228">
        <f t="shared" si="16"/>
        <v>0.90909090909090906</v>
      </c>
      <c r="Q27" s="227">
        <f t="shared" si="9"/>
        <v>0.9375</v>
      </c>
      <c r="R27" s="229"/>
    </row>
    <row r="28" spans="1:19">
      <c r="A28" s="332"/>
      <c r="B28" s="663"/>
      <c r="C28" s="208">
        <f t="shared" si="10"/>
        <v>46192</v>
      </c>
      <c r="D28" s="209">
        <v>25</v>
      </c>
      <c r="E28" s="210">
        <v>2</v>
      </c>
      <c r="F28" s="638">
        <v>2</v>
      </c>
      <c r="G28" s="212">
        <v>2</v>
      </c>
      <c r="H28" s="213">
        <f>H27+5</f>
        <v>6</v>
      </c>
      <c r="I28" s="214">
        <f t="shared" si="14"/>
        <v>35</v>
      </c>
      <c r="J28" s="214">
        <f t="shared" si="13"/>
        <v>34</v>
      </c>
      <c r="K28" s="214">
        <f t="shared" si="11"/>
        <v>32</v>
      </c>
      <c r="L28" s="214">
        <f t="shared" si="12"/>
        <v>32</v>
      </c>
      <c r="M28" s="214">
        <f>40-15</f>
        <v>25</v>
      </c>
      <c r="N28" s="214">
        <v>2</v>
      </c>
      <c r="O28" s="227">
        <f t="shared" si="18"/>
        <v>1</v>
      </c>
      <c r="P28" s="228">
        <f t="shared" si="16"/>
        <v>0.91428571428571426</v>
      </c>
      <c r="Q28" s="227">
        <f t="shared" si="9"/>
        <v>0.94117647058823528</v>
      </c>
      <c r="R28" s="218"/>
      <c r="S28" s="203">
        <v>15</v>
      </c>
    </row>
    <row r="29" spans="1:19">
      <c r="A29" s="332"/>
      <c r="B29" s="663"/>
      <c r="C29" s="208">
        <f t="shared" si="10"/>
        <v>46199</v>
      </c>
      <c r="D29" s="209">
        <v>26</v>
      </c>
      <c r="E29" s="210">
        <v>3</v>
      </c>
      <c r="F29" s="638">
        <v>1</v>
      </c>
      <c r="G29" s="212"/>
      <c r="H29" s="213">
        <f t="shared" ref="H29:H34" si="19">H28</f>
        <v>6</v>
      </c>
      <c r="I29" s="214">
        <f t="shared" si="14"/>
        <v>38</v>
      </c>
      <c r="J29" s="214">
        <f t="shared" si="13"/>
        <v>35</v>
      </c>
      <c r="K29" s="214">
        <f t="shared" si="11"/>
        <v>32</v>
      </c>
      <c r="L29" s="214">
        <f t="shared" si="12"/>
        <v>32</v>
      </c>
      <c r="M29" s="214"/>
      <c r="N29" s="214"/>
      <c r="O29" s="227">
        <f t="shared" si="18"/>
        <v>1</v>
      </c>
      <c r="P29" s="228">
        <f t="shared" si="16"/>
        <v>0.84210526315789469</v>
      </c>
      <c r="Q29" s="228"/>
      <c r="R29" s="218" t="s">
        <v>1369</v>
      </c>
    </row>
    <row r="30" spans="1:19">
      <c r="A30" s="250"/>
      <c r="B30" s="663"/>
      <c r="C30" s="208">
        <f t="shared" si="10"/>
        <v>46206</v>
      </c>
      <c r="D30" s="209">
        <v>27</v>
      </c>
      <c r="E30" s="210">
        <v>5</v>
      </c>
      <c r="F30" s="638">
        <v>4</v>
      </c>
      <c r="G30" s="212"/>
      <c r="H30" s="213">
        <f t="shared" si="19"/>
        <v>6</v>
      </c>
      <c r="I30" s="214">
        <f t="shared" si="14"/>
        <v>43</v>
      </c>
      <c r="J30" s="214">
        <f t="shared" si="13"/>
        <v>39</v>
      </c>
      <c r="K30" s="214">
        <f t="shared" si="11"/>
        <v>32</v>
      </c>
      <c r="L30" s="214">
        <f t="shared" si="12"/>
        <v>32</v>
      </c>
      <c r="M30" s="214"/>
      <c r="N30" s="214"/>
      <c r="O30" s="227">
        <f t="shared" si="18"/>
        <v>1</v>
      </c>
      <c r="P30" s="228">
        <f t="shared" si="16"/>
        <v>0.7441860465116279</v>
      </c>
      <c r="Q30" s="228"/>
      <c r="R30" s="218"/>
    </row>
    <row r="31" spans="1:19" s="205" customFormat="1">
      <c r="B31" s="663"/>
      <c r="C31" s="230">
        <f t="shared" si="10"/>
        <v>46213</v>
      </c>
      <c r="D31" s="209">
        <v>28</v>
      </c>
      <c r="E31" s="210">
        <v>7</v>
      </c>
      <c r="F31" s="638">
        <v>6</v>
      </c>
      <c r="G31" s="212"/>
      <c r="H31" s="213">
        <f t="shared" si="19"/>
        <v>6</v>
      </c>
      <c r="I31" s="214">
        <f t="shared" si="14"/>
        <v>50</v>
      </c>
      <c r="J31" s="214">
        <f t="shared" si="13"/>
        <v>45</v>
      </c>
      <c r="K31" s="214">
        <f t="shared" si="11"/>
        <v>32</v>
      </c>
      <c r="L31" s="214">
        <f t="shared" si="12"/>
        <v>32</v>
      </c>
      <c r="M31" s="214"/>
      <c r="N31" s="214"/>
      <c r="O31" s="227">
        <f t="shared" si="18"/>
        <v>1</v>
      </c>
      <c r="P31" s="231">
        <f t="shared" si="16"/>
        <v>0.64</v>
      </c>
      <c r="Q31" s="231"/>
      <c r="R31" s="232" t="s">
        <v>1370</v>
      </c>
    </row>
    <row r="32" spans="1:19" ht="29.1">
      <c r="B32" s="663"/>
      <c r="C32" s="208">
        <f t="shared" si="10"/>
        <v>46220</v>
      </c>
      <c r="D32" s="209">
        <v>29</v>
      </c>
      <c r="E32" s="210">
        <v>13</v>
      </c>
      <c r="F32" s="638">
        <v>11</v>
      </c>
      <c r="G32" s="212"/>
      <c r="H32" s="213">
        <f t="shared" si="19"/>
        <v>6</v>
      </c>
      <c r="I32" s="214">
        <f t="shared" si="14"/>
        <v>63</v>
      </c>
      <c r="J32" s="214">
        <f t="shared" si="13"/>
        <v>56</v>
      </c>
      <c r="K32" s="214">
        <f t="shared" si="11"/>
        <v>32</v>
      </c>
      <c r="L32" s="214">
        <f t="shared" si="12"/>
        <v>32</v>
      </c>
      <c r="M32" s="214"/>
      <c r="N32" s="214"/>
      <c r="O32" s="227">
        <f t="shared" si="18"/>
        <v>1</v>
      </c>
      <c r="P32" s="228">
        <f t="shared" si="16"/>
        <v>0.50793650793650791</v>
      </c>
      <c r="Q32" s="228"/>
      <c r="R32" s="218" t="s">
        <v>1371</v>
      </c>
    </row>
    <row r="33" spans="2:18" ht="29.1">
      <c r="B33" s="663"/>
      <c r="C33" s="208">
        <f t="shared" si="10"/>
        <v>46227</v>
      </c>
      <c r="D33" s="209">
        <v>30</v>
      </c>
      <c r="E33" s="636">
        <v>14</v>
      </c>
      <c r="F33" s="638">
        <v>12</v>
      </c>
      <c r="G33" s="637"/>
      <c r="H33" s="213">
        <f t="shared" si="19"/>
        <v>6</v>
      </c>
      <c r="I33" s="214">
        <f t="shared" si="14"/>
        <v>77</v>
      </c>
      <c r="J33" s="214">
        <f t="shared" si="13"/>
        <v>68</v>
      </c>
      <c r="K33" s="214">
        <f t="shared" si="11"/>
        <v>32</v>
      </c>
      <c r="L33" s="214">
        <f t="shared" si="12"/>
        <v>32</v>
      </c>
      <c r="M33" s="214"/>
      <c r="N33" s="214"/>
      <c r="O33" s="227">
        <f t="shared" si="18"/>
        <v>1</v>
      </c>
      <c r="P33" s="228">
        <f t="shared" si="16"/>
        <v>0.41558441558441561</v>
      </c>
      <c r="Q33" s="228"/>
      <c r="R33" s="218" t="s">
        <v>1372</v>
      </c>
    </row>
    <row r="34" spans="2:18">
      <c r="B34" s="664"/>
      <c r="C34" s="208">
        <f t="shared" si="10"/>
        <v>46234</v>
      </c>
      <c r="D34" s="209">
        <v>31</v>
      </c>
      <c r="E34" s="210">
        <f>2+1</f>
        <v>3</v>
      </c>
      <c r="F34" s="638">
        <v>6</v>
      </c>
      <c r="G34" s="212"/>
      <c r="H34" s="213">
        <f t="shared" si="19"/>
        <v>6</v>
      </c>
      <c r="I34" s="214">
        <f t="shared" si="14"/>
        <v>80</v>
      </c>
      <c r="J34" s="214">
        <f t="shared" si="13"/>
        <v>74</v>
      </c>
      <c r="K34" s="214">
        <f t="shared" si="11"/>
        <v>32</v>
      </c>
      <c r="L34" s="214">
        <f t="shared" si="12"/>
        <v>32</v>
      </c>
      <c r="M34" s="214"/>
      <c r="N34" s="214"/>
      <c r="O34" s="227">
        <f t="shared" si="18"/>
        <v>1</v>
      </c>
      <c r="P34" s="228">
        <f t="shared" si="16"/>
        <v>0.4</v>
      </c>
      <c r="Q34" s="228"/>
      <c r="R34" s="218"/>
    </row>
    <row r="35" spans="2:18">
      <c r="E35" s="203">
        <f>SUM(E22:E34)</f>
        <v>80</v>
      </c>
      <c r="F35" s="203">
        <f>SUM(F22:F34)</f>
        <v>74</v>
      </c>
      <c r="G35" s="203">
        <f>SUM(G22:G34)</f>
        <v>32</v>
      </c>
    </row>
    <row r="36" spans="2:18">
      <c r="E36" s="639" t="s">
        <v>270</v>
      </c>
    </row>
    <row r="37" spans="2:18">
      <c r="C37" s="261"/>
      <c r="E37" s="261"/>
    </row>
    <row r="38" spans="2:18">
      <c r="C38" s="261"/>
      <c r="E38" s="261"/>
    </row>
    <row r="39" spans="2:18">
      <c r="C39" s="262"/>
      <c r="E39" s="262"/>
    </row>
  </sheetData>
  <mergeCells count="4">
    <mergeCell ref="B2:R2"/>
    <mergeCell ref="B4:B16"/>
    <mergeCell ref="B20:R20"/>
    <mergeCell ref="B22:B34"/>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3EB91-A354-41D1-B9DC-B6DE1F5451E2}">
  <sheetPr codeName="Sheet10">
    <outlinePr summaryRight="0"/>
  </sheetPr>
  <dimension ref="A1:CJ41"/>
  <sheetViews>
    <sheetView view="pageBreakPreview" zoomScale="50" zoomScaleNormal="48" zoomScaleSheetLayoutView="50" workbookViewId="0">
      <selection activeCell="L25" sqref="L25"/>
    </sheetView>
  </sheetViews>
  <sheetFormatPr defaultColWidth="11.42578125" defaultRowHeight="15" customHeight="1" outlineLevelCol="1"/>
  <cols>
    <col min="1" max="1" width="13.5703125" style="22" customWidth="1"/>
    <col min="2" max="4" width="11.42578125" style="25" customWidth="1"/>
    <col min="5" max="7" width="11.42578125" style="22" customWidth="1"/>
    <col min="8" max="8" width="13.7109375" style="30" bestFit="1" customWidth="1"/>
    <col min="9" max="9" width="17.42578125" style="24" customWidth="1"/>
    <col min="10" max="10" width="26.5703125" style="22" customWidth="1"/>
    <col min="11" max="13" width="11.42578125" style="22" customWidth="1"/>
    <col min="14" max="14" width="37.5703125" style="22" customWidth="1"/>
    <col min="15" max="15" width="11.42578125" style="28" customWidth="1"/>
    <col min="16" max="17" width="11.140625" style="28" hidden="1" customWidth="1"/>
    <col min="18" max="18" width="17.42578125" style="28" hidden="1" customWidth="1"/>
    <col min="19" max="19" width="17.28515625" style="28" hidden="1" customWidth="1"/>
    <col min="20" max="20" width="14.42578125" style="28" hidden="1" customWidth="1"/>
    <col min="21" max="21" width="18.42578125" style="22" hidden="1" customWidth="1"/>
    <col min="22" max="22" width="14.42578125" style="22" hidden="1" customWidth="1" collapsed="1"/>
    <col min="23" max="23" width="26.42578125" style="22" hidden="1" customWidth="1"/>
    <col min="24" max="24" width="12.42578125" style="22" hidden="1" customWidth="1"/>
    <col min="25" max="25" width="13.42578125" style="22" hidden="1" customWidth="1"/>
    <col min="26" max="26" width="12.5703125" style="22" hidden="1" customWidth="1"/>
    <col min="27" max="27" width="11.42578125" style="22" hidden="1" customWidth="1"/>
    <col min="28" max="28" width="44.42578125" style="29" hidden="1" customWidth="1" collapsed="1"/>
    <col min="29" max="29" width="22.140625" style="22" hidden="1" customWidth="1" outlineLevel="1"/>
    <col min="30" max="30" width="12" style="22" hidden="1" customWidth="1" outlineLevel="1"/>
    <col min="31" max="31" width="16.140625" style="25" hidden="1" customWidth="1" outlineLevel="1"/>
    <col min="32" max="32" width="20.5703125" style="31" hidden="1" customWidth="1" outlineLevel="1"/>
    <col min="33" max="33" width="13.7109375" style="31" hidden="1" customWidth="1" outlineLevel="1"/>
    <col min="34" max="34" width="12.7109375" style="22" hidden="1" customWidth="1" outlineLevel="1"/>
    <col min="35" max="35" width="11.42578125" style="22" hidden="1" customWidth="1" outlineLevel="1"/>
    <col min="36" max="36" width="12" style="26" hidden="1" customWidth="1" outlineLevel="1"/>
    <col min="37" max="37" width="13" style="22" hidden="1" customWidth="1" outlineLevel="1"/>
    <col min="38" max="38" width="21.5703125" style="22" hidden="1" customWidth="1" outlineLevel="1"/>
    <col min="39" max="39" width="14.85546875" style="27" hidden="1" customWidth="1"/>
    <col min="40" max="40" width="0.140625" style="27" customWidth="1"/>
    <col min="41" max="41" width="13.85546875" style="27" customWidth="1"/>
    <col min="42" max="42" width="22.140625" style="22" customWidth="1"/>
    <col min="43" max="43" width="22.85546875" style="25" customWidth="1"/>
    <col min="44" max="44" width="17.5703125" style="25" customWidth="1"/>
    <col min="45" max="45" width="13.28515625" style="27" customWidth="1"/>
    <col min="46" max="47" width="11.42578125" style="26" customWidth="1"/>
    <col min="48" max="55" width="11.42578125" style="22" customWidth="1"/>
    <col min="56" max="60" width="11.42578125" style="28" customWidth="1" outlineLevel="1"/>
    <col min="61" max="61" width="11.42578125" style="28" customWidth="1"/>
    <col min="62" max="64" width="11.42578125" style="28" customWidth="1" outlineLevel="1"/>
    <col min="65" max="65" width="11.42578125" style="32" customWidth="1" outlineLevel="1"/>
    <col min="66" max="66" width="11.42578125" style="22" customWidth="1"/>
    <col min="67" max="69" width="11.42578125" style="25" customWidth="1"/>
    <col min="70" max="70" width="11.42578125" style="22" customWidth="1"/>
    <col min="71" max="71" width="11.42578125" style="27" customWidth="1"/>
    <col min="72" max="72" width="11.42578125" style="22" customWidth="1"/>
    <col min="73" max="73" width="11.42578125" style="27" customWidth="1"/>
    <col min="74" max="78" width="11.42578125" style="22" customWidth="1"/>
    <col min="79" max="79" width="11.42578125" style="23" customWidth="1"/>
    <col min="80" max="80" width="11.42578125" style="105" customWidth="1"/>
    <col min="81" max="81" width="11.42578125" style="103" customWidth="1"/>
    <col min="82" max="88" width="11.42578125" style="23" customWidth="1"/>
    <col min="89" max="16384" width="11.42578125" style="23"/>
  </cols>
  <sheetData>
    <row r="1" spans="1:88" s="30" customFormat="1" ht="57.95" customHeight="1">
      <c r="A1" s="64" t="s">
        <v>0</v>
      </c>
      <c r="B1" s="66" t="s">
        <v>1</v>
      </c>
      <c r="C1" s="66" t="s">
        <v>2</v>
      </c>
      <c r="D1" s="67" t="s">
        <v>3</v>
      </c>
      <c r="E1" s="68" t="s">
        <v>4</v>
      </c>
      <c r="F1" s="65" t="s">
        <v>5</v>
      </c>
      <c r="G1" s="69" t="s">
        <v>6</v>
      </c>
      <c r="H1" s="65" t="s">
        <v>7</v>
      </c>
      <c r="I1" s="70" t="s">
        <v>8</v>
      </c>
      <c r="J1" s="71" t="s">
        <v>9</v>
      </c>
      <c r="K1" s="72" t="s">
        <v>10</v>
      </c>
      <c r="L1" s="73" t="s">
        <v>11</v>
      </c>
      <c r="M1" s="74" t="s">
        <v>12</v>
      </c>
      <c r="N1" s="75" t="s">
        <v>13</v>
      </c>
      <c r="O1" s="76" t="s">
        <v>14</v>
      </c>
      <c r="P1" s="67" t="s">
        <v>15</v>
      </c>
      <c r="Q1" s="67" t="s">
        <v>16</v>
      </c>
      <c r="R1" s="67" t="s">
        <v>17</v>
      </c>
      <c r="S1" s="67" t="s">
        <v>18</v>
      </c>
      <c r="T1" s="67" t="s">
        <v>19</v>
      </c>
      <c r="U1" s="76" t="s">
        <v>20</v>
      </c>
      <c r="V1" s="76" t="s">
        <v>21</v>
      </c>
      <c r="W1" s="76" t="s">
        <v>22</v>
      </c>
      <c r="X1" s="76" t="s">
        <v>23</v>
      </c>
      <c r="Y1" s="77" t="s">
        <v>24</v>
      </c>
      <c r="Z1" s="78" t="s">
        <v>25</v>
      </c>
      <c r="AA1" s="79" t="s">
        <v>26</v>
      </c>
      <c r="AB1" s="80" t="s">
        <v>27</v>
      </c>
      <c r="AC1" s="65" t="s">
        <v>28</v>
      </c>
      <c r="AD1" s="65" t="s">
        <v>29</v>
      </c>
      <c r="AE1" s="81" t="s">
        <v>30</v>
      </c>
      <c r="AF1" s="82" t="s">
        <v>31</v>
      </c>
      <c r="AG1" s="83" t="s">
        <v>32</v>
      </c>
      <c r="AH1" s="83" t="s">
        <v>33</v>
      </c>
      <c r="AI1" s="69" t="s">
        <v>34</v>
      </c>
      <c r="AJ1" s="80" t="s">
        <v>35</v>
      </c>
      <c r="AK1" s="65" t="s">
        <v>36</v>
      </c>
      <c r="AL1" s="65" t="s">
        <v>37</v>
      </c>
      <c r="AM1" s="84" t="s">
        <v>38</v>
      </c>
      <c r="AN1" s="85" t="s">
        <v>39</v>
      </c>
      <c r="AO1" s="85" t="s">
        <v>40</v>
      </c>
      <c r="AP1" s="86" t="s">
        <v>41</v>
      </c>
      <c r="AQ1" s="87" t="s">
        <v>42</v>
      </c>
      <c r="AR1" s="87" t="s">
        <v>43</v>
      </c>
      <c r="AS1" s="85" t="s">
        <v>44</v>
      </c>
      <c r="AT1" s="85" t="s">
        <v>45</v>
      </c>
      <c r="AU1" s="85" t="s">
        <v>46</v>
      </c>
      <c r="AV1" s="76" t="s">
        <v>47</v>
      </c>
      <c r="AW1" s="88" t="s">
        <v>48</v>
      </c>
      <c r="AX1" s="89" t="s">
        <v>49</v>
      </c>
      <c r="AY1" s="71" t="s">
        <v>50</v>
      </c>
      <c r="AZ1" s="75" t="s">
        <v>51</v>
      </c>
      <c r="BA1" s="75" t="s">
        <v>52</v>
      </c>
      <c r="BB1" s="90" t="s">
        <v>53</v>
      </c>
      <c r="BC1" s="90" t="s">
        <v>54</v>
      </c>
      <c r="BD1" s="91" t="s">
        <v>55</v>
      </c>
      <c r="BE1" s="91" t="s">
        <v>56</v>
      </c>
      <c r="BF1" s="91" t="s">
        <v>57</v>
      </c>
      <c r="BG1" s="91" t="s">
        <v>58</v>
      </c>
      <c r="BH1" s="91" t="s">
        <v>59</v>
      </c>
      <c r="BI1" s="92" t="s">
        <v>60</v>
      </c>
      <c r="BJ1" s="91" t="s">
        <v>61</v>
      </c>
      <c r="BK1" s="91" t="s">
        <v>62</v>
      </c>
      <c r="BL1" s="91" t="s">
        <v>63</v>
      </c>
      <c r="BM1" s="91" t="s">
        <v>64</v>
      </c>
      <c r="BN1" s="91" t="s">
        <v>65</v>
      </c>
      <c r="BO1" s="91" t="s">
        <v>66</v>
      </c>
      <c r="BP1" s="91" t="s">
        <v>67</v>
      </c>
      <c r="BQ1" s="91" t="s">
        <v>68</v>
      </c>
      <c r="BR1" s="91" t="s">
        <v>69</v>
      </c>
      <c r="BS1" s="91" t="s">
        <v>70</v>
      </c>
      <c r="BT1" s="91" t="s">
        <v>71</v>
      </c>
      <c r="BU1" s="91" t="s">
        <v>72</v>
      </c>
      <c r="BV1" s="91" t="s">
        <v>73</v>
      </c>
      <c r="BW1" s="91" t="s">
        <v>74</v>
      </c>
      <c r="BX1" s="91" t="s">
        <v>75</v>
      </c>
      <c r="BY1" s="91" t="s">
        <v>76</v>
      </c>
      <c r="BZ1" s="91" t="s">
        <v>77</v>
      </c>
      <c r="CA1" s="91" t="s">
        <v>78</v>
      </c>
      <c r="CB1" s="104" t="s">
        <v>79</v>
      </c>
      <c r="CC1" s="102" t="s">
        <v>80</v>
      </c>
      <c r="CD1" s="91" t="s">
        <v>81</v>
      </c>
      <c r="CE1" s="91" t="s">
        <v>82</v>
      </c>
      <c r="CF1" s="91" t="s">
        <v>83</v>
      </c>
      <c r="CG1" s="91" t="s">
        <v>84</v>
      </c>
      <c r="CH1" s="91" t="s">
        <v>85</v>
      </c>
      <c r="CI1" s="91" t="s">
        <v>86</v>
      </c>
      <c r="CJ1" s="91" t="s">
        <v>87</v>
      </c>
    </row>
    <row r="2" spans="1:88" ht="231.95">
      <c r="A2" s="147" t="s">
        <v>221</v>
      </c>
      <c r="B2" s="49">
        <f>12+13+8+15+5+8+7.5+7.5+6+3</f>
        <v>85</v>
      </c>
      <c r="C2" s="49">
        <f>VLOOKUP(Tracker7[[#This Row],[DCR ID - PTC]],'STLA (2)'!$B:$W,11,FALSE)</f>
        <v>80</v>
      </c>
      <c r="D2" s="49"/>
      <c r="E2" s="134"/>
      <c r="F2" s="134" t="s">
        <v>1373</v>
      </c>
      <c r="G2" s="134" t="s">
        <v>1373</v>
      </c>
      <c r="H2" s="154">
        <v>18241536</v>
      </c>
      <c r="I2" s="154">
        <v>18241536</v>
      </c>
      <c r="J2" s="134" t="s">
        <v>1374</v>
      </c>
      <c r="K2" s="134" t="s">
        <v>118</v>
      </c>
      <c r="L2" s="134"/>
      <c r="M2" s="134"/>
      <c r="N2" s="134" t="s">
        <v>1375</v>
      </c>
      <c r="O2" s="123" t="s">
        <v>106</v>
      </c>
      <c r="P2" s="123"/>
      <c r="Q2" s="123"/>
      <c r="R2" s="123"/>
      <c r="S2" s="123"/>
      <c r="T2" s="123"/>
      <c r="U2" s="134"/>
      <c r="V2" s="134"/>
      <c r="W2" s="134"/>
      <c r="X2" s="134"/>
      <c r="Y2" s="134"/>
      <c r="Z2" s="134"/>
      <c r="AA2" s="134"/>
      <c r="AB2" s="29">
        <v>46171</v>
      </c>
      <c r="AC2" s="134"/>
      <c r="AD2" s="134" t="s">
        <v>93</v>
      </c>
      <c r="AE2" s="49"/>
      <c r="AF2" s="136"/>
      <c r="AG2" s="137">
        <v>46065.846319444441</v>
      </c>
      <c r="AH2" s="134" t="s">
        <v>100</v>
      </c>
      <c r="AI2" s="134" t="s">
        <v>95</v>
      </c>
      <c r="AJ2" s="138">
        <v>46142.145833333336</v>
      </c>
      <c r="AK2" s="134" t="s">
        <v>218</v>
      </c>
      <c r="AL2" s="137">
        <v>46020.573912037034</v>
      </c>
      <c r="AM2" s="139"/>
      <c r="AN2" s="139"/>
      <c r="AO2" s="116">
        <f>VLOOKUP(Tracker7[[#This Row],[DCR ID - PTC]],'STLA (2)'!$B:$W,21,FALSE)</f>
        <v>46157</v>
      </c>
      <c r="AP2" s="134"/>
      <c r="AQ2" s="49"/>
      <c r="AR2" s="49"/>
      <c r="AS2" s="139">
        <v>46163</v>
      </c>
      <c r="AT2" s="138">
        <v>46137</v>
      </c>
      <c r="AU2" s="138">
        <v>46162</v>
      </c>
      <c r="AV2" s="134"/>
      <c r="AW2" s="134"/>
      <c r="AX2" s="108" t="s">
        <v>97</v>
      </c>
      <c r="AY2" s="108" t="s">
        <v>908</v>
      </c>
      <c r="AZ2" s="134"/>
      <c r="BA2" s="134"/>
      <c r="BB2" s="134"/>
      <c r="BC2" s="134"/>
      <c r="BD2" s="123"/>
      <c r="BE2" s="123"/>
      <c r="BF2" s="123"/>
      <c r="BG2" s="123"/>
      <c r="BH2" s="123"/>
      <c r="BI2" s="123"/>
      <c r="BJ2" s="123"/>
      <c r="BK2" s="123"/>
      <c r="BL2" s="123"/>
      <c r="BM2" s="117"/>
      <c r="BN2" s="123"/>
      <c r="BO2" s="140"/>
      <c r="BP2" s="140"/>
      <c r="BQ2" s="140"/>
      <c r="BR2" s="123"/>
      <c r="BS2" s="141"/>
      <c r="BT2" s="123"/>
      <c r="BU2" s="141"/>
      <c r="BV2" s="123"/>
      <c r="BW2" s="123"/>
      <c r="BX2" s="123"/>
      <c r="BY2" s="123"/>
      <c r="BZ2" s="123"/>
      <c r="CA2" s="123"/>
      <c r="CB2" s="143">
        <v>1</v>
      </c>
      <c r="CC2" s="140"/>
      <c r="CD2" s="120">
        <f>VLOOKUP(Tracker7[[#This Row],[DCR ID - PTC]],'STLA (2)'!$B:$W,18,FALSE)</f>
        <v>46150</v>
      </c>
      <c r="CE2" s="579">
        <f>VLOOKUP(Tracker7[[#This Row],[DCR ID - PTC]],'STLA (2)'!$B:$W,19,FALSE)</f>
        <v>46239</v>
      </c>
      <c r="CF2" s="579">
        <f>VLOOKUP(Tracker7[[#This Row],[DCR ID - PTC]],'STLA (2)'!$B:$W,20,FALSE)</f>
        <v>46331</v>
      </c>
      <c r="CG2" s="123"/>
      <c r="CH2" s="120"/>
      <c r="CI2" s="120"/>
      <c r="CJ2" s="123"/>
    </row>
    <row r="3" spans="1:88" ht="409.5">
      <c r="A3" s="147" t="s">
        <v>1376</v>
      </c>
      <c r="B3" s="49">
        <f>18+15+3+3+4.5+7.5+8+8+8+8+8+8+8+8+8+18+8+14+12+10+10+9+9+6+4+8+(3.5+1+4.5)</f>
        <v>240</v>
      </c>
      <c r="C3" s="49">
        <f>VLOOKUP(Tracker7[[#This Row],[DCR ID - PTC]],'STLA (2)'!$B:$W,11,FALSE)</f>
        <v>185</v>
      </c>
      <c r="D3" s="49"/>
      <c r="E3" s="134"/>
      <c r="F3" s="134" t="s">
        <v>1377</v>
      </c>
      <c r="G3" s="134"/>
      <c r="H3" s="154">
        <v>18479118</v>
      </c>
      <c r="I3" s="154">
        <v>18479118</v>
      </c>
      <c r="J3" s="134" t="s">
        <v>1378</v>
      </c>
      <c r="K3" s="134" t="s">
        <v>118</v>
      </c>
      <c r="L3" s="134"/>
      <c r="M3" s="134"/>
      <c r="N3" s="585" t="s">
        <v>1379</v>
      </c>
      <c r="O3" s="123" t="s">
        <v>106</v>
      </c>
      <c r="P3" s="123"/>
      <c r="Q3" s="123"/>
      <c r="R3" s="123"/>
      <c r="S3" s="123"/>
      <c r="T3" s="123"/>
      <c r="U3" s="134"/>
      <c r="V3" s="134"/>
      <c r="W3" s="134"/>
      <c r="X3" s="134"/>
      <c r="Y3" s="134"/>
      <c r="Z3" s="134"/>
      <c r="AA3" s="134" t="s">
        <v>873</v>
      </c>
      <c r="AC3" s="134"/>
      <c r="AD3" s="134" t="s">
        <v>93</v>
      </c>
      <c r="AE3" s="49"/>
      <c r="AF3" s="136"/>
      <c r="AG3" s="137">
        <v>46137.015243055554</v>
      </c>
      <c r="AH3" s="134" t="s">
        <v>100</v>
      </c>
      <c r="AI3" s="134" t="s">
        <v>95</v>
      </c>
      <c r="AJ3" s="138">
        <v>46112</v>
      </c>
      <c r="AK3" s="134" t="s">
        <v>218</v>
      </c>
      <c r="AL3" s="137">
        <v>46041.491608796299</v>
      </c>
      <c r="AM3" s="139"/>
      <c r="AN3" s="139"/>
      <c r="AO3" s="116">
        <f>VLOOKUP(Tracker7[[#This Row],[DCR ID - PTC]],'STLA (2)'!$B:$W,21,FALSE)</f>
        <v>46192</v>
      </c>
      <c r="AP3" s="134"/>
      <c r="AQ3" s="49"/>
      <c r="AR3" s="49"/>
      <c r="AS3" s="116"/>
      <c r="AT3" s="138"/>
      <c r="AU3" s="138"/>
      <c r="AV3" s="134"/>
      <c r="AW3" s="134"/>
      <c r="AX3" s="108"/>
      <c r="AY3" s="108" t="s">
        <v>930</v>
      </c>
      <c r="AZ3" s="134"/>
      <c r="BA3" s="134"/>
      <c r="BB3" s="134"/>
      <c r="BC3" s="134"/>
      <c r="BD3" s="123"/>
      <c r="BE3" s="123"/>
      <c r="BF3" s="123"/>
      <c r="BG3" s="123"/>
      <c r="BH3" s="123"/>
      <c r="BI3" s="123"/>
      <c r="BJ3" s="123"/>
      <c r="BK3" s="123"/>
      <c r="BL3" s="123"/>
      <c r="BM3" s="117"/>
      <c r="BN3" s="123"/>
      <c r="BO3" s="140"/>
      <c r="BP3" s="140"/>
      <c r="BQ3" s="140"/>
      <c r="BR3" s="123"/>
      <c r="BS3" s="141"/>
      <c r="BT3" s="123"/>
      <c r="BU3" s="141"/>
      <c r="BV3" s="123"/>
      <c r="BW3" s="123"/>
      <c r="BX3" s="123"/>
      <c r="BY3" s="123"/>
      <c r="BZ3" s="123"/>
      <c r="CA3" s="123"/>
      <c r="CB3" s="119"/>
      <c r="CC3" s="140"/>
      <c r="CD3" s="120">
        <f>VLOOKUP(Tracker7[[#This Row],[DCR ID - PTC]],'STLA (2)'!$B:$W,18,FALSE)</f>
        <v>46178</v>
      </c>
      <c r="CE3" s="120">
        <f>VLOOKUP(Tracker7[[#This Row],[DCR ID - PTC]],'STLA (2)'!$B:$W,19,FALSE)</f>
        <v>46183</v>
      </c>
      <c r="CF3" s="120">
        <f>VLOOKUP(Tracker7[[#This Row],[DCR ID - PTC]],'STLA (2)'!$B:$W,20,FALSE)</f>
        <v>46185</v>
      </c>
      <c r="CG3" s="123"/>
      <c r="CH3" s="120"/>
      <c r="CI3" s="120"/>
      <c r="CJ3" s="123"/>
    </row>
    <row r="4" spans="1:88" ht="159.6">
      <c r="A4" s="147" t="s">
        <v>1380</v>
      </c>
      <c r="B4" s="49">
        <f>5+21+23+8+7+8+1</f>
        <v>73</v>
      </c>
      <c r="C4" s="49">
        <f>VLOOKUP(Tracker7[[#This Row],[DCR ID - PTC]],'STLA (2)'!$B:$W,11,FALSE)</f>
        <v>60</v>
      </c>
      <c r="D4" s="49"/>
      <c r="E4" s="134"/>
      <c r="F4" s="134" t="s">
        <v>1377</v>
      </c>
      <c r="G4" s="134" t="s">
        <v>1377</v>
      </c>
      <c r="H4" s="154">
        <v>18678710</v>
      </c>
      <c r="I4" s="154">
        <v>18678710</v>
      </c>
      <c r="J4" s="134" t="s">
        <v>1381</v>
      </c>
      <c r="K4" s="134" t="s">
        <v>118</v>
      </c>
      <c r="L4" s="134"/>
      <c r="M4" s="134"/>
      <c r="N4" s="340" t="s">
        <v>1382</v>
      </c>
      <c r="O4" s="123" t="s">
        <v>106</v>
      </c>
      <c r="P4" s="123"/>
      <c r="Q4" s="123"/>
      <c r="R4" s="123"/>
      <c r="S4" s="123"/>
      <c r="T4" s="123"/>
      <c r="U4" s="134"/>
      <c r="V4" s="134"/>
      <c r="W4" s="134"/>
      <c r="X4" s="134"/>
      <c r="Y4" s="134"/>
      <c r="Z4" s="134"/>
      <c r="AA4" s="134"/>
      <c r="AC4" s="134"/>
      <c r="AD4" s="134" t="s">
        <v>93</v>
      </c>
      <c r="AE4" s="49"/>
      <c r="AF4" s="136"/>
      <c r="AG4" s="137">
        <v>46146</v>
      </c>
      <c r="AH4" s="134" t="s">
        <v>100</v>
      </c>
      <c r="AI4" s="134" t="s">
        <v>95</v>
      </c>
      <c r="AJ4" s="138">
        <v>46111.395833333336</v>
      </c>
      <c r="AK4" s="134" t="s">
        <v>218</v>
      </c>
      <c r="AL4" s="137">
        <v>46059.11990740741</v>
      </c>
      <c r="AM4" s="139"/>
      <c r="AN4" s="139"/>
      <c r="AO4" s="116">
        <f>VLOOKUP(Tracker7[[#This Row],[DCR ID - PTC]],'STLA (2)'!$B:$W,21,FALSE)</f>
        <v>46174</v>
      </c>
      <c r="AP4" s="134"/>
      <c r="AQ4" s="49"/>
      <c r="AR4" s="49"/>
      <c r="AS4" s="116">
        <v>46171</v>
      </c>
      <c r="AT4" s="138">
        <v>46169</v>
      </c>
      <c r="AU4" s="138">
        <v>46170</v>
      </c>
      <c r="AV4" s="134"/>
      <c r="AW4" s="134"/>
      <c r="AX4" s="108" t="s">
        <v>97</v>
      </c>
      <c r="AY4" s="108" t="s">
        <v>908</v>
      </c>
      <c r="AZ4" s="134"/>
      <c r="BA4" s="134"/>
      <c r="BB4" s="134"/>
      <c r="BC4" s="134"/>
      <c r="BD4" s="123"/>
      <c r="BE4" s="123"/>
      <c r="BF4" s="123"/>
      <c r="BG4" s="123"/>
      <c r="BH4" s="123"/>
      <c r="BI4" s="123"/>
      <c r="BJ4" s="123"/>
      <c r="BK4" s="123"/>
      <c r="BL4" s="123"/>
      <c r="BM4" s="117"/>
      <c r="BN4" s="123"/>
      <c r="BO4" s="140"/>
      <c r="BP4" s="140"/>
      <c r="BQ4" s="140"/>
      <c r="BR4" s="123"/>
      <c r="BS4" s="141"/>
      <c r="BT4" s="123"/>
      <c r="BU4" s="141"/>
      <c r="BV4" s="123"/>
      <c r="BW4" s="123"/>
      <c r="BX4" s="123"/>
      <c r="BY4" s="123"/>
      <c r="BZ4" s="123"/>
      <c r="CA4" s="123"/>
      <c r="CB4" s="143">
        <v>1</v>
      </c>
      <c r="CC4" s="140"/>
      <c r="CD4" s="120">
        <f>VLOOKUP(Tracker7[[#This Row],[DCR ID - PTC]],'STLA (2)'!$B:$W,18,FALSE)</f>
        <v>46162</v>
      </c>
      <c r="CE4" s="120">
        <f>VLOOKUP(Tracker7[[#This Row],[DCR ID - PTC]],'STLA (2)'!$B:$W,19,FALSE)</f>
        <v>46164</v>
      </c>
      <c r="CF4" s="120">
        <f>VLOOKUP(Tracker7[[#This Row],[DCR ID - PTC]],'STLA (2)'!$B:$W,20,FALSE)</f>
        <v>46168</v>
      </c>
      <c r="CG4" s="123"/>
      <c r="CH4" s="120"/>
      <c r="CI4" s="120"/>
      <c r="CJ4" s="123"/>
    </row>
    <row r="5" spans="1:88" ht="43.5">
      <c r="A5" s="147" t="s">
        <v>1376</v>
      </c>
      <c r="B5" s="49">
        <v>0</v>
      </c>
      <c r="C5" s="49" t="e">
        <f>VLOOKUP(Tracker7[[#This Row],[DCR ID - PTC]],'STLA (2)'!$B:$W,11,FALSE)</f>
        <v>#N/A</v>
      </c>
      <c r="D5" s="49">
        <v>0</v>
      </c>
      <c r="E5" s="134"/>
      <c r="F5" s="134"/>
      <c r="G5" s="134"/>
      <c r="H5" s="154">
        <v>19038230</v>
      </c>
      <c r="I5" s="149"/>
      <c r="J5" s="134" t="s">
        <v>1383</v>
      </c>
      <c r="K5" s="134" t="s">
        <v>179</v>
      </c>
      <c r="L5" s="134"/>
      <c r="M5" s="134"/>
      <c r="N5" s="278"/>
      <c r="O5" s="123"/>
      <c r="P5" s="123"/>
      <c r="Q5" s="123"/>
      <c r="R5" s="123"/>
      <c r="S5" s="123"/>
      <c r="T5" s="123"/>
      <c r="U5" s="134"/>
      <c r="V5" s="134"/>
      <c r="W5" s="134"/>
      <c r="X5" s="134"/>
      <c r="Y5" s="134"/>
      <c r="Z5" s="134"/>
      <c r="AA5" s="134"/>
      <c r="AC5" s="134"/>
      <c r="AD5" s="134" t="s">
        <v>146</v>
      </c>
      <c r="AE5" s="49"/>
      <c r="AF5" s="136"/>
      <c r="AG5" s="137"/>
      <c r="AH5" s="134" t="s">
        <v>109</v>
      </c>
      <c r="AI5" s="134" t="s">
        <v>95</v>
      </c>
      <c r="AJ5" s="138">
        <v>46113.145833333336</v>
      </c>
      <c r="AK5" s="134" t="s">
        <v>218</v>
      </c>
      <c r="AL5" s="137">
        <v>46086.774236111109</v>
      </c>
      <c r="AM5" s="139"/>
      <c r="AN5" s="139"/>
      <c r="AO5" s="116" t="e">
        <f>VLOOKUP(Tracker7[[#This Row],[DCR ID - PTC]],'STLA (2)'!$B:$W,21,FALSE)</f>
        <v>#N/A</v>
      </c>
      <c r="AP5" s="134"/>
      <c r="AQ5" s="49"/>
      <c r="AR5" s="49"/>
      <c r="AS5" s="139"/>
      <c r="AT5" s="138"/>
      <c r="AU5" s="138"/>
      <c r="AV5" s="134"/>
      <c r="AW5" s="134"/>
      <c r="AX5" s="108"/>
      <c r="AY5" s="108" t="s">
        <v>866</v>
      </c>
      <c r="AZ5" s="134"/>
      <c r="BA5" s="134"/>
      <c r="BB5" s="134"/>
      <c r="BC5" s="134"/>
      <c r="BD5" s="123"/>
      <c r="BE5" s="123"/>
      <c r="BF5" s="123"/>
      <c r="BG5" s="123"/>
      <c r="BH5" s="123"/>
      <c r="BI5" s="123"/>
      <c r="BJ5" s="123"/>
      <c r="BK5" s="123"/>
      <c r="BL5" s="123"/>
      <c r="BM5" s="117"/>
      <c r="BN5" s="123"/>
      <c r="BO5" s="140"/>
      <c r="BP5" s="140"/>
      <c r="BQ5" s="140"/>
      <c r="BR5" s="123"/>
      <c r="BS5" s="141"/>
      <c r="BT5" s="123"/>
      <c r="BU5" s="141"/>
      <c r="BV5" s="123"/>
      <c r="BW5" s="123"/>
      <c r="BX5" s="123"/>
      <c r="BY5" s="123"/>
      <c r="BZ5" s="123"/>
      <c r="CA5" s="123"/>
      <c r="CB5" s="119"/>
      <c r="CC5" s="140"/>
      <c r="CD5" s="120" t="e">
        <f>VLOOKUP(Tracker7[[#This Row],[DCR ID - PTC]],'STLA (2)'!$B:$W,18,FALSE)</f>
        <v>#N/A</v>
      </c>
      <c r="CE5" s="120" t="e">
        <f>VLOOKUP(Tracker7[[#This Row],[DCR ID - PTC]],'STLA (2)'!$B:$W,19,FALSE)</f>
        <v>#N/A</v>
      </c>
      <c r="CF5" s="120" t="e">
        <f>VLOOKUP(Tracker7[[#This Row],[DCR ID - PTC]],'STLA (2)'!$B:$W,20,FALSE)</f>
        <v>#N/A</v>
      </c>
      <c r="CG5" s="123"/>
      <c r="CH5" s="120"/>
      <c r="CI5" s="120"/>
      <c r="CJ5" s="123"/>
    </row>
    <row r="6" spans="1:88" ht="275.45">
      <c r="A6" s="106" t="s">
        <v>449</v>
      </c>
      <c r="B6" s="107">
        <f>2+2+5+3+3+2.5+5+5+3+5+5+1.25+5.25+1.5+(4)+4+4+1+1.25+5+8</f>
        <v>75.75</v>
      </c>
      <c r="C6" s="49">
        <v>45</v>
      </c>
      <c r="D6" s="107">
        <v>0</v>
      </c>
      <c r="E6" s="108"/>
      <c r="F6" s="134" t="s">
        <v>1377</v>
      </c>
      <c r="G6" s="134"/>
      <c r="H6" s="151">
        <v>19307982</v>
      </c>
      <c r="I6" s="151">
        <v>19307982</v>
      </c>
      <c r="J6" s="108" t="s">
        <v>1384</v>
      </c>
      <c r="K6" s="134" t="s">
        <v>104</v>
      </c>
      <c r="L6" s="108"/>
      <c r="M6" s="108"/>
      <c r="N6" s="346" t="s">
        <v>1385</v>
      </c>
      <c r="O6" s="111" t="s">
        <v>106</v>
      </c>
      <c r="P6" s="111"/>
      <c r="Q6" s="111"/>
      <c r="R6" s="111"/>
      <c r="S6" s="111"/>
      <c r="T6" s="111"/>
      <c r="U6" s="108"/>
      <c r="V6" s="108"/>
      <c r="W6" s="108"/>
      <c r="X6" s="108"/>
      <c r="Y6" s="108"/>
      <c r="Z6" s="108"/>
      <c r="AA6" s="108"/>
      <c r="AB6" s="112"/>
      <c r="AC6" s="108"/>
      <c r="AD6" s="108" t="s">
        <v>93</v>
      </c>
      <c r="AE6" s="107"/>
      <c r="AF6" s="113"/>
      <c r="AG6" s="137"/>
      <c r="AH6" s="139" t="s">
        <v>109</v>
      </c>
      <c r="AI6" s="138" t="s">
        <v>95</v>
      </c>
      <c r="AJ6" s="138">
        <v>46142.395833333336</v>
      </c>
      <c r="AK6" s="108" t="s">
        <v>218</v>
      </c>
      <c r="AL6" s="115">
        <v>46108.108530092592</v>
      </c>
      <c r="AM6" s="116"/>
      <c r="AN6" s="116"/>
      <c r="AO6" s="116">
        <v>46178</v>
      </c>
      <c r="AP6" s="108"/>
      <c r="AQ6" s="107"/>
      <c r="AR6" s="107"/>
      <c r="AS6" s="116"/>
      <c r="AT6" s="138"/>
      <c r="AU6" s="138"/>
      <c r="AV6" s="108"/>
      <c r="AW6" s="108"/>
      <c r="AX6" s="108"/>
      <c r="AY6" s="108" t="s">
        <v>866</v>
      </c>
      <c r="AZ6" s="108"/>
      <c r="BA6" s="108"/>
      <c r="BB6" s="108"/>
      <c r="BC6" s="108"/>
      <c r="BD6" s="111"/>
      <c r="BE6" s="111"/>
      <c r="BF6" s="111"/>
      <c r="BG6" s="111"/>
      <c r="BH6" s="111"/>
      <c r="BI6" s="111"/>
      <c r="BJ6" s="111"/>
      <c r="BK6" s="111"/>
      <c r="BL6" s="111"/>
      <c r="BM6" s="117"/>
      <c r="BN6" s="111"/>
      <c r="BO6" s="117"/>
      <c r="BP6" s="117"/>
      <c r="BQ6" s="117"/>
      <c r="BR6" s="111"/>
      <c r="BS6" s="118"/>
      <c r="BT6" s="111"/>
      <c r="BU6" s="118"/>
      <c r="BV6" s="111"/>
      <c r="BW6" s="111"/>
      <c r="BX6" s="111"/>
      <c r="BY6" s="111"/>
      <c r="BZ6" s="111"/>
      <c r="CA6" s="111"/>
      <c r="CB6" s="119"/>
      <c r="CC6" s="117"/>
      <c r="CD6" s="550" t="s">
        <v>917</v>
      </c>
      <c r="CE6" s="550" t="s">
        <v>918</v>
      </c>
      <c r="CF6" s="550" t="s">
        <v>1386</v>
      </c>
      <c r="CG6" s="111"/>
      <c r="CH6" s="120"/>
      <c r="CI6" s="120"/>
      <c r="CJ6" s="111"/>
    </row>
    <row r="7" spans="1:88" ht="130.5">
      <c r="A7" s="106" t="s">
        <v>1376</v>
      </c>
      <c r="B7" s="49">
        <f>4.5+16.5+6+1+0.5+1.5</f>
        <v>30</v>
      </c>
      <c r="C7" s="49">
        <v>20</v>
      </c>
      <c r="D7" s="49">
        <v>0</v>
      </c>
      <c r="E7" s="134"/>
      <c r="F7" s="134" t="s">
        <v>1377</v>
      </c>
      <c r="G7" s="134" t="s">
        <v>1377</v>
      </c>
      <c r="H7" s="154">
        <v>19567429</v>
      </c>
      <c r="I7" s="154">
        <v>19567429</v>
      </c>
      <c r="J7" s="134" t="s">
        <v>1387</v>
      </c>
      <c r="K7" s="134" t="s">
        <v>104</v>
      </c>
      <c r="L7" s="134"/>
      <c r="M7" s="134"/>
      <c r="N7" s="131" t="s">
        <v>1388</v>
      </c>
      <c r="O7" s="123" t="s">
        <v>106</v>
      </c>
      <c r="P7" s="123"/>
      <c r="Q7" s="123"/>
      <c r="R7" s="123"/>
      <c r="S7" s="123"/>
      <c r="T7" s="123"/>
      <c r="U7" s="134"/>
      <c r="V7" s="134"/>
      <c r="W7" s="134"/>
      <c r="X7" s="134"/>
      <c r="Y7" s="134"/>
      <c r="Z7" s="134"/>
      <c r="AA7" s="134"/>
      <c r="AC7" s="134"/>
      <c r="AD7" s="134" t="s">
        <v>146</v>
      </c>
      <c r="AE7" s="49"/>
      <c r="AF7" s="136"/>
      <c r="AG7" s="137">
        <v>46154</v>
      </c>
      <c r="AH7" s="134" t="s">
        <v>109</v>
      </c>
      <c r="AI7" s="134" t="s">
        <v>95</v>
      </c>
      <c r="AJ7" s="138">
        <v>44592</v>
      </c>
      <c r="AK7" s="134" t="s">
        <v>96</v>
      </c>
      <c r="AL7" s="137">
        <v>46141.118159722224</v>
      </c>
      <c r="AM7" s="139"/>
      <c r="AN7" s="139"/>
      <c r="AO7" s="116">
        <v>46164</v>
      </c>
      <c r="AP7" s="134"/>
      <c r="AQ7" s="49"/>
      <c r="AR7" s="49"/>
      <c r="AS7" s="139">
        <v>46170</v>
      </c>
      <c r="AT7" s="138">
        <v>46161</v>
      </c>
      <c r="AU7" s="138">
        <v>46164</v>
      </c>
      <c r="AV7" s="134"/>
      <c r="AW7" s="134"/>
      <c r="AX7" s="134" t="s">
        <v>97</v>
      </c>
      <c r="AY7" s="108" t="s">
        <v>908</v>
      </c>
      <c r="AZ7" s="134"/>
      <c r="BA7" s="134"/>
      <c r="BB7" s="134"/>
      <c r="BC7" s="134"/>
      <c r="BD7" s="123"/>
      <c r="BE7" s="123"/>
      <c r="BF7" s="123"/>
      <c r="BG7" s="123"/>
      <c r="BH7" s="123"/>
      <c r="BI7" s="123"/>
      <c r="BJ7" s="123"/>
      <c r="BK7" s="123"/>
      <c r="BL7" s="123"/>
      <c r="BM7" s="117"/>
      <c r="BN7" s="123"/>
      <c r="BO7" s="140"/>
      <c r="BP7" s="140"/>
      <c r="BQ7" s="140"/>
      <c r="BR7" s="123"/>
      <c r="BS7" s="141"/>
      <c r="BT7" s="123"/>
      <c r="BU7" s="141"/>
      <c r="BV7" s="123"/>
      <c r="BW7" s="123"/>
      <c r="BX7" s="123"/>
      <c r="BY7" s="123"/>
      <c r="BZ7" s="123"/>
      <c r="CA7" s="123"/>
      <c r="CB7" s="143">
        <v>1</v>
      </c>
      <c r="CC7" s="140"/>
      <c r="CD7" s="550" t="s">
        <v>1212</v>
      </c>
      <c r="CE7" s="550" t="s">
        <v>1389</v>
      </c>
      <c r="CF7" s="550" t="s">
        <v>1389</v>
      </c>
      <c r="CG7" s="123"/>
      <c r="CH7" s="120"/>
      <c r="CI7" s="120"/>
      <c r="CJ7" s="123"/>
    </row>
    <row r="8" spans="1:88" ht="188.45">
      <c r="A8" s="106" t="s">
        <v>314</v>
      </c>
      <c r="B8" s="107">
        <f>2+6+6+7+0.5+10+3+0.5+4.5+0.5+4.5</f>
        <v>44.5</v>
      </c>
      <c r="C8" s="49">
        <v>32</v>
      </c>
      <c r="D8" s="107">
        <v>0</v>
      </c>
      <c r="E8" s="108"/>
      <c r="F8" s="134" t="s">
        <v>1377</v>
      </c>
      <c r="G8" s="134" t="s">
        <v>1377</v>
      </c>
      <c r="H8" s="151">
        <v>19578660</v>
      </c>
      <c r="I8" s="151">
        <v>19578660</v>
      </c>
      <c r="J8" s="107" t="s">
        <v>1390</v>
      </c>
      <c r="K8" s="108" t="s">
        <v>104</v>
      </c>
      <c r="L8" s="108"/>
      <c r="M8" s="108"/>
      <c r="N8" s="146" t="s">
        <v>1391</v>
      </c>
      <c r="O8" s="111" t="s">
        <v>106</v>
      </c>
      <c r="P8" s="111"/>
      <c r="Q8" s="111"/>
      <c r="R8" s="111"/>
      <c r="S8" s="111"/>
      <c r="T8" s="111"/>
      <c r="U8" s="108"/>
      <c r="V8" s="108"/>
      <c r="W8" s="108"/>
      <c r="X8" s="108"/>
      <c r="Y8" s="108"/>
      <c r="Z8" s="108"/>
      <c r="AA8" s="108"/>
      <c r="AB8" s="112"/>
      <c r="AC8" s="108"/>
      <c r="AD8" s="108" t="s">
        <v>93</v>
      </c>
      <c r="AE8" s="107"/>
      <c r="AF8" s="113"/>
      <c r="AG8" s="137">
        <v>46147</v>
      </c>
      <c r="AH8" s="108" t="s">
        <v>109</v>
      </c>
      <c r="AI8" s="108" t="s">
        <v>95</v>
      </c>
      <c r="AJ8" s="114">
        <v>46196.395833333336</v>
      </c>
      <c r="AK8" s="108" t="s">
        <v>218</v>
      </c>
      <c r="AL8" s="115">
        <v>46142.786064814813</v>
      </c>
      <c r="AM8" s="116"/>
      <c r="AN8" s="116"/>
      <c r="AO8" s="116">
        <v>46169</v>
      </c>
      <c r="AP8" s="108"/>
      <c r="AQ8" s="107"/>
      <c r="AR8" s="107"/>
      <c r="AS8" s="116">
        <v>46171</v>
      </c>
      <c r="AT8" s="114">
        <v>46169</v>
      </c>
      <c r="AU8" s="114">
        <v>46171</v>
      </c>
      <c r="AV8" s="108"/>
      <c r="AW8" s="108"/>
      <c r="AX8" s="108" t="s">
        <v>97</v>
      </c>
      <c r="AY8" s="108" t="s">
        <v>908</v>
      </c>
      <c r="AZ8" s="108"/>
      <c r="BA8" s="108"/>
      <c r="BB8" s="108"/>
      <c r="BC8" s="108"/>
      <c r="BD8" s="111"/>
      <c r="BE8" s="111"/>
      <c r="BF8" s="111"/>
      <c r="BG8" s="111"/>
      <c r="BH8" s="111"/>
      <c r="BI8" s="111"/>
      <c r="BJ8" s="111"/>
      <c r="BK8" s="111"/>
      <c r="BL8" s="111"/>
      <c r="BM8" s="117"/>
      <c r="BN8" s="111"/>
      <c r="BO8" s="117"/>
      <c r="BP8" s="117"/>
      <c r="BQ8" s="117"/>
      <c r="BR8" s="111"/>
      <c r="BS8" s="118"/>
      <c r="BT8" s="111"/>
      <c r="BU8" s="118"/>
      <c r="BV8" s="111"/>
      <c r="BW8" s="111"/>
      <c r="BX8" s="111"/>
      <c r="BY8" s="111"/>
      <c r="BZ8" s="111"/>
      <c r="CA8" s="111"/>
      <c r="CB8" s="143">
        <v>1</v>
      </c>
      <c r="CC8" s="117"/>
      <c r="CD8" s="561" t="s">
        <v>998</v>
      </c>
      <c r="CE8" s="561" t="s">
        <v>916</v>
      </c>
      <c r="CF8" s="561" t="s">
        <v>917</v>
      </c>
      <c r="CG8" s="111"/>
      <c r="CH8" s="120"/>
      <c r="CI8" s="120"/>
      <c r="CJ8" s="111"/>
    </row>
    <row r="9" spans="1:88" ht="72.599999999999994" customHeight="1">
      <c r="A9" s="106" t="s">
        <v>1380</v>
      </c>
      <c r="B9" s="107"/>
      <c r="C9" s="49">
        <f>VLOOKUP(Tracker7[[#This Row],[DCR ID - PTC]],'STLA (2)'!$B:$W,11,FALSE)</f>
        <v>90</v>
      </c>
      <c r="D9" s="107"/>
      <c r="E9" s="108"/>
      <c r="F9" s="108" t="s">
        <v>136</v>
      </c>
      <c r="G9" s="121"/>
      <c r="H9" s="154">
        <v>17492028</v>
      </c>
      <c r="I9" s="127"/>
      <c r="J9" s="107" t="s">
        <v>1392</v>
      </c>
      <c r="K9" s="108"/>
      <c r="L9" s="108" t="s">
        <v>1393</v>
      </c>
      <c r="M9" s="108"/>
      <c r="N9" s="277"/>
      <c r="O9" s="111" t="s">
        <v>201</v>
      </c>
      <c r="P9" s="116"/>
      <c r="Q9" s="108"/>
      <c r="R9" s="107"/>
      <c r="S9" s="107"/>
      <c r="T9" s="116"/>
      <c r="U9" s="114"/>
      <c r="V9" s="114"/>
      <c r="W9" s="108"/>
      <c r="X9" s="108"/>
      <c r="Y9" s="108"/>
      <c r="Z9" s="108"/>
      <c r="AA9" s="108" t="s">
        <v>873</v>
      </c>
      <c r="AB9" s="108">
        <v>46171</v>
      </c>
      <c r="AC9" s="108" t="s">
        <v>1393</v>
      </c>
      <c r="AD9" s="108" t="s">
        <v>93</v>
      </c>
      <c r="AE9" s="111"/>
      <c r="AF9" s="111"/>
      <c r="AG9" s="152">
        <v>46115.028865740744</v>
      </c>
      <c r="AH9" s="111" t="s">
        <v>94</v>
      </c>
      <c r="AI9" s="111" t="s">
        <v>95</v>
      </c>
      <c r="AJ9" s="111">
        <v>46142.395833333336</v>
      </c>
      <c r="AK9" s="111" t="s">
        <v>96</v>
      </c>
      <c r="AL9" s="152">
        <v>45915.832407407404</v>
      </c>
      <c r="AM9" s="111"/>
      <c r="AN9" s="117"/>
      <c r="AO9" s="116">
        <f>VLOOKUP(Tracker7[[#This Row],[DCR ID - PTC]],'STLA (2)'!$B:$W,21,FALSE)</f>
        <v>0</v>
      </c>
      <c r="AP9" s="117"/>
      <c r="AQ9" s="117"/>
      <c r="AR9" s="117"/>
      <c r="AS9" s="111"/>
      <c r="AT9" s="118"/>
      <c r="AU9" s="111"/>
      <c r="AV9" s="118"/>
      <c r="AW9" s="111"/>
      <c r="AX9" s="108"/>
      <c r="AY9" s="108" t="s">
        <v>866</v>
      </c>
      <c r="AZ9" s="111"/>
      <c r="BA9" s="111"/>
      <c r="BB9" s="111"/>
      <c r="BC9" s="119"/>
      <c r="BD9" s="117"/>
      <c r="BE9" s="126"/>
      <c r="BF9" s="126"/>
      <c r="BG9" s="126"/>
      <c r="BH9" s="126"/>
      <c r="BI9" s="126"/>
      <c r="BJ9" s="126"/>
      <c r="BK9" s="126"/>
      <c r="BL9" s="126"/>
      <c r="BM9" s="117"/>
      <c r="BN9" s="126"/>
      <c r="BO9" s="126"/>
      <c r="BP9" s="126"/>
      <c r="BQ9" s="126"/>
      <c r="BR9" s="126"/>
      <c r="BS9" s="126"/>
      <c r="BT9" s="126"/>
      <c r="BU9" s="126"/>
      <c r="BV9" s="126"/>
      <c r="BW9" s="126"/>
      <c r="BX9" s="126"/>
      <c r="BY9" s="126"/>
      <c r="BZ9" s="126"/>
      <c r="CA9" s="126"/>
      <c r="CB9" s="119"/>
      <c r="CC9" s="126"/>
      <c r="CD9" s="120">
        <f>VLOOKUP(Tracker7[[#This Row],[DCR ID - PTC]],'STLA (2)'!$B:$W,18,FALSE)</f>
        <v>0</v>
      </c>
      <c r="CE9" s="120">
        <f>VLOOKUP(Tracker7[[#This Row],[DCR ID - PTC]],'STLA (2)'!$B:$W,19,FALSE)</f>
        <v>0</v>
      </c>
      <c r="CF9" s="120">
        <f>VLOOKUP(Tracker7[[#This Row],[DCR ID - PTC]],'STLA (2)'!$B:$W,20,FALSE)</f>
        <v>0</v>
      </c>
      <c r="CG9" s="111"/>
      <c r="CH9" s="120"/>
      <c r="CI9" s="120"/>
      <c r="CJ9" s="111"/>
    </row>
    <row r="10" spans="1:88" ht="87">
      <c r="A10" s="267" t="s">
        <v>221</v>
      </c>
      <c r="B10" s="107">
        <v>0</v>
      </c>
      <c r="C10" s="49" t="e">
        <f>VLOOKUP(Tracker7[[#This Row],[DCR ID - PTC]],'STLA (2)'!$B:$W,11,FALSE)</f>
        <v>#N/A</v>
      </c>
      <c r="D10" s="107">
        <v>0</v>
      </c>
      <c r="E10" s="108"/>
      <c r="F10" s="108"/>
      <c r="G10" s="121"/>
      <c r="H10" s="349">
        <v>18431092</v>
      </c>
      <c r="I10" s="275"/>
      <c r="J10" s="107" t="s">
        <v>222</v>
      </c>
      <c r="K10" s="108"/>
      <c r="L10" s="108" t="s">
        <v>223</v>
      </c>
      <c r="M10" s="108"/>
      <c r="N10" s="110"/>
      <c r="O10" s="111"/>
      <c r="P10" s="111"/>
      <c r="Q10" s="111"/>
      <c r="R10" s="111"/>
      <c r="S10" s="111"/>
      <c r="T10" s="111"/>
      <c r="U10" s="108"/>
      <c r="V10" s="108"/>
      <c r="W10" s="108"/>
      <c r="X10" s="108"/>
      <c r="Y10" s="108"/>
      <c r="Z10" s="108"/>
      <c r="AA10" s="108"/>
      <c r="AB10" s="112"/>
      <c r="AC10" s="108" t="s">
        <v>223</v>
      </c>
      <c r="AD10" s="108" t="s">
        <v>93</v>
      </c>
      <c r="AE10" s="107"/>
      <c r="AF10" s="113"/>
      <c r="AG10" s="115"/>
      <c r="AH10" s="108" t="s">
        <v>109</v>
      </c>
      <c r="AI10" s="108" t="s">
        <v>95</v>
      </c>
      <c r="AJ10" s="114">
        <v>46112</v>
      </c>
      <c r="AK10" s="108" t="s">
        <v>218</v>
      </c>
      <c r="AL10" s="115">
        <v>46036.957187499997</v>
      </c>
      <c r="AM10" s="116"/>
      <c r="AN10" s="116"/>
      <c r="AO10" s="338" t="e">
        <f>VLOOKUP(Tracker7[[#This Row],[DCR ID - PTC]],'STLA (2)'!$B:$W,21,FALSE)</f>
        <v>#N/A</v>
      </c>
      <c r="AP10" s="108"/>
      <c r="AQ10" s="107"/>
      <c r="AR10" s="107"/>
      <c r="AS10" s="116"/>
      <c r="AT10" s="114"/>
      <c r="AU10" s="114"/>
      <c r="AV10" s="108"/>
      <c r="AW10" s="108"/>
      <c r="AX10" s="108"/>
      <c r="AY10" s="108" t="s">
        <v>866</v>
      </c>
      <c r="AZ10" s="108"/>
      <c r="BA10" s="108"/>
      <c r="BB10" s="108"/>
      <c r="BC10" s="108"/>
      <c r="BD10" s="111"/>
      <c r="BE10" s="111"/>
      <c r="BF10" s="111"/>
      <c r="BG10" s="111"/>
      <c r="BH10" s="111"/>
      <c r="BI10" s="111"/>
      <c r="BJ10" s="111"/>
      <c r="BK10" s="111"/>
      <c r="BL10" s="111"/>
      <c r="BM10" s="117"/>
      <c r="BN10" s="111"/>
      <c r="BO10" s="117"/>
      <c r="BP10" s="117"/>
      <c r="BQ10" s="117"/>
      <c r="BR10" s="111"/>
      <c r="BS10" s="118"/>
      <c r="BT10" s="111"/>
      <c r="BU10" s="118"/>
      <c r="BV10" s="111"/>
      <c r="BW10" s="111"/>
      <c r="BX10" s="111"/>
      <c r="BY10" s="111"/>
      <c r="BZ10" s="111"/>
      <c r="CA10" s="111"/>
      <c r="CB10" s="119"/>
      <c r="CC10" s="117"/>
      <c r="CD10" s="120" t="e">
        <f>VLOOKUP(Tracker7[[#This Row],[DCR ID - PTC]],'STLA (2)'!$B:$W,18,FALSE)</f>
        <v>#N/A</v>
      </c>
      <c r="CE10" s="120" t="e">
        <f>VLOOKUP(Tracker7[[#This Row],[DCR ID - PTC]],'STLA (2)'!$B:$W,19,FALSE)</f>
        <v>#N/A</v>
      </c>
      <c r="CF10" s="120" t="e">
        <f>VLOOKUP(Tracker7[[#This Row],[DCR ID - PTC]],'STLA (2)'!$B:$W,20,FALSE)</f>
        <v>#N/A</v>
      </c>
      <c r="CG10" s="111"/>
      <c r="CH10" s="120"/>
      <c r="CI10" s="120"/>
      <c r="CJ10" s="111"/>
    </row>
    <row r="11" spans="1:88" ht="72.599999999999994">
      <c r="A11" s="106" t="s">
        <v>314</v>
      </c>
      <c r="B11" s="49">
        <v>27</v>
      </c>
      <c r="C11" s="49" t="e">
        <f>VLOOKUP(Tracker7[[#This Row],[DCR ID - PTC]],'STLA (2)'!$B:$W,11,FALSE)</f>
        <v>#N/A</v>
      </c>
      <c r="D11" s="49">
        <v>0</v>
      </c>
      <c r="E11" s="134"/>
      <c r="F11" s="134" t="s">
        <v>127</v>
      </c>
      <c r="G11" s="134"/>
      <c r="H11" s="154">
        <v>14671966</v>
      </c>
      <c r="I11" s="149"/>
      <c r="J11" s="134" t="s">
        <v>315</v>
      </c>
      <c r="K11" s="134"/>
      <c r="L11" s="134" t="s">
        <v>165</v>
      </c>
      <c r="M11" s="134"/>
      <c r="N11" s="134"/>
      <c r="O11" s="123"/>
      <c r="P11" s="123"/>
      <c r="Q11" s="123"/>
      <c r="R11" s="123"/>
      <c r="S11" s="123"/>
      <c r="T11" s="123"/>
      <c r="U11" s="134"/>
      <c r="V11" s="134"/>
      <c r="W11" s="134"/>
      <c r="X11" s="134"/>
      <c r="Y11" s="134"/>
      <c r="Z11" s="134"/>
      <c r="AA11" s="134" t="s">
        <v>139</v>
      </c>
      <c r="AC11" s="134" t="s">
        <v>165</v>
      </c>
      <c r="AD11" s="134" t="s">
        <v>93</v>
      </c>
      <c r="AE11" s="49"/>
      <c r="AF11" s="136"/>
      <c r="AG11" s="137">
        <v>46006.912430555552</v>
      </c>
      <c r="AH11" s="134" t="s">
        <v>94</v>
      </c>
      <c r="AI11" s="134" t="s">
        <v>95</v>
      </c>
      <c r="AJ11" s="138">
        <v>45565.395833333336</v>
      </c>
      <c r="AK11" s="134" t="s">
        <v>96</v>
      </c>
      <c r="AL11" s="137">
        <v>45531.545844907407</v>
      </c>
      <c r="AM11" s="139"/>
      <c r="AN11" s="139"/>
      <c r="AO11" s="116" t="e">
        <f>VLOOKUP(Tracker7[[#This Row],[DCR ID - PTC]],'STLA (2)'!$B:$W,21,FALSE)</f>
        <v>#N/A</v>
      </c>
      <c r="AP11" s="134"/>
      <c r="AQ11" s="49"/>
      <c r="AR11" s="49"/>
      <c r="AS11" s="116"/>
      <c r="AT11" s="138"/>
      <c r="AU11" s="138"/>
      <c r="AV11" s="134"/>
      <c r="AW11" s="134"/>
      <c r="AX11" s="108"/>
      <c r="AY11" s="108" t="s">
        <v>866</v>
      </c>
      <c r="AZ11" s="134"/>
      <c r="BA11" s="134"/>
      <c r="BB11" s="134"/>
      <c r="BC11" s="134"/>
      <c r="BD11" s="123"/>
      <c r="BE11" s="123"/>
      <c r="BF11" s="123"/>
      <c r="BG11" s="123"/>
      <c r="BH11" s="123"/>
      <c r="BI11" s="123"/>
      <c r="BJ11" s="123"/>
      <c r="BK11" s="123"/>
      <c r="BL11" s="123"/>
      <c r="BM11" s="117"/>
      <c r="BN11" s="123"/>
      <c r="BO11" s="140"/>
      <c r="BP11" s="140"/>
      <c r="BQ11" s="140"/>
      <c r="BR11" s="123"/>
      <c r="BS11" s="141"/>
      <c r="BT11" s="123"/>
      <c r="BU11" s="141"/>
      <c r="BV11" s="123"/>
      <c r="BW11" s="123"/>
      <c r="BX11" s="123"/>
      <c r="BY11" s="123"/>
      <c r="BZ11" s="123"/>
      <c r="CA11" s="123"/>
      <c r="CB11" s="143"/>
      <c r="CC11" s="140"/>
      <c r="CD11" s="120" t="e">
        <f>VLOOKUP(Tracker7[[#This Row],[DCR ID - PTC]],'STLA (2)'!$B:$W,18,FALSE)</f>
        <v>#N/A</v>
      </c>
      <c r="CE11" s="120" t="e">
        <f>VLOOKUP(Tracker7[[#This Row],[DCR ID - PTC]],'STLA (2)'!$B:$W,19,FALSE)</f>
        <v>#N/A</v>
      </c>
      <c r="CF11" s="120" t="e">
        <f>VLOOKUP(Tracker7[[#This Row],[DCR ID - PTC]],'STLA (2)'!$B:$W,20,FALSE)</f>
        <v>#N/A</v>
      </c>
      <c r="CG11" s="123"/>
      <c r="CH11" s="120"/>
      <c r="CI11" s="120"/>
      <c r="CJ11" s="123"/>
    </row>
    <row r="12" spans="1:88" ht="57.95" customHeight="1">
      <c r="A12" s="106" t="s">
        <v>449</v>
      </c>
      <c r="B12" s="107"/>
      <c r="C12" s="49" t="e">
        <f>VLOOKUP(Tracker7[[#This Row],[DCR ID - PTC]],'STLA (2)'!$B:$W,11,FALSE)</f>
        <v>#N/A</v>
      </c>
      <c r="D12" s="107">
        <v>0</v>
      </c>
      <c r="E12" s="108"/>
      <c r="F12" s="108" t="s">
        <v>451</v>
      </c>
      <c r="G12" s="121"/>
      <c r="H12" s="151">
        <v>15955970</v>
      </c>
      <c r="I12" s="127"/>
      <c r="J12" s="108" t="s">
        <v>452</v>
      </c>
      <c r="K12" s="108"/>
      <c r="L12" s="108" t="s">
        <v>165</v>
      </c>
      <c r="M12" s="108"/>
      <c r="N12" s="110"/>
      <c r="O12" s="111"/>
      <c r="P12" s="116"/>
      <c r="Q12" s="111"/>
      <c r="R12" s="111"/>
      <c r="S12" s="111"/>
      <c r="T12" s="111"/>
      <c r="U12" s="108"/>
      <c r="V12" s="108"/>
      <c r="W12" s="108"/>
      <c r="X12" s="108"/>
      <c r="Y12" s="108"/>
      <c r="Z12" s="108"/>
      <c r="AA12" s="108" t="s">
        <v>453</v>
      </c>
      <c r="AB12" s="112"/>
      <c r="AC12" s="108" t="s">
        <v>165</v>
      </c>
      <c r="AD12" s="108" t="s">
        <v>93</v>
      </c>
      <c r="AE12" s="107"/>
      <c r="AF12" s="113"/>
      <c r="AG12" s="115">
        <v>45821.001620370371</v>
      </c>
      <c r="AH12" s="108" t="s">
        <v>94</v>
      </c>
      <c r="AI12" s="108" t="s">
        <v>95</v>
      </c>
      <c r="AJ12" s="114">
        <v>45869</v>
      </c>
      <c r="AK12" s="108" t="s">
        <v>96</v>
      </c>
      <c r="AL12" s="115">
        <v>45728.579375000001</v>
      </c>
      <c r="AM12" s="116"/>
      <c r="AN12" s="116"/>
      <c r="AO12" s="116" t="e">
        <f>VLOOKUP(Tracker7[[#This Row],[DCR ID - PTC]],'STLA (2)'!$B:$W,21,FALSE)</f>
        <v>#N/A</v>
      </c>
      <c r="AP12" s="108"/>
      <c r="AQ12" s="107"/>
      <c r="AR12" s="107"/>
      <c r="AS12" s="116"/>
      <c r="AT12" s="114"/>
      <c r="AU12" s="114"/>
      <c r="AV12" s="108"/>
      <c r="AW12" s="108"/>
      <c r="AX12" s="108"/>
      <c r="AY12" s="108" t="s">
        <v>866</v>
      </c>
      <c r="AZ12" s="108"/>
      <c r="BA12" s="108"/>
      <c r="BB12" s="108"/>
      <c r="BC12" s="108"/>
      <c r="BD12" s="111"/>
      <c r="BE12" s="111"/>
      <c r="BF12" s="111"/>
      <c r="BG12" s="111"/>
      <c r="BH12" s="111"/>
      <c r="BI12" s="111"/>
      <c r="BJ12" s="111"/>
      <c r="BK12" s="111"/>
      <c r="BL12" s="111"/>
      <c r="BM12" s="117"/>
      <c r="BN12" s="111"/>
      <c r="BO12" s="117"/>
      <c r="BP12" s="117"/>
      <c r="BQ12" s="117"/>
      <c r="BR12" s="111"/>
      <c r="BS12" s="118"/>
      <c r="BT12" s="111"/>
      <c r="BU12" s="118"/>
      <c r="BV12" s="111"/>
      <c r="BW12" s="111"/>
      <c r="BX12" s="111"/>
      <c r="BY12" s="111"/>
      <c r="BZ12" s="111"/>
      <c r="CA12" s="111"/>
      <c r="CB12" s="119"/>
      <c r="CC12" s="117"/>
      <c r="CD12" s="120" t="e">
        <f>VLOOKUP(Tracker7[[#This Row],[DCR ID - PTC]],'STLA (2)'!$B:$W,18,FALSE)</f>
        <v>#N/A</v>
      </c>
      <c r="CE12" s="120" t="e">
        <f>VLOOKUP(Tracker7[[#This Row],[DCR ID - PTC]],'STLA (2)'!$B:$W,19,FALSE)</f>
        <v>#N/A</v>
      </c>
      <c r="CF12" s="120" t="e">
        <f>VLOOKUP(Tracker7[[#This Row],[DCR ID - PTC]],'STLA (2)'!$B:$W,20,FALSE)</f>
        <v>#N/A</v>
      </c>
      <c r="CG12" s="111"/>
      <c r="CH12" s="120"/>
      <c r="CI12" s="120"/>
      <c r="CJ12" s="277"/>
    </row>
    <row r="13" spans="1:88" ht="57.95" customHeight="1">
      <c r="A13" s="106" t="s">
        <v>1380</v>
      </c>
      <c r="B13" s="107">
        <f>2.5+3.5+2.5</f>
        <v>8.5</v>
      </c>
      <c r="C13" s="49">
        <f>VLOOKUP(Tracker7[[#This Row],[DCR ID - PTC]],'STLA (2)'!$B:$W,11,FALSE)</f>
        <v>30</v>
      </c>
      <c r="D13" s="107"/>
      <c r="E13" s="108"/>
      <c r="F13" s="108" t="s">
        <v>216</v>
      </c>
      <c r="G13" s="121"/>
      <c r="H13" s="154">
        <v>17785160</v>
      </c>
      <c r="I13" s="135"/>
      <c r="J13" s="147" t="s">
        <v>1394</v>
      </c>
      <c r="K13" s="108"/>
      <c r="L13" s="108" t="s">
        <v>165</v>
      </c>
      <c r="M13" s="108"/>
      <c r="N13" s="110" t="s">
        <v>1395</v>
      </c>
      <c r="O13" s="111" t="s">
        <v>201</v>
      </c>
      <c r="P13" s="111"/>
      <c r="Q13" s="111"/>
      <c r="R13" s="111"/>
      <c r="S13" s="111"/>
      <c r="T13" s="111"/>
      <c r="U13" s="108"/>
      <c r="V13" s="108"/>
      <c r="W13" s="108"/>
      <c r="X13" s="108"/>
      <c r="Y13" s="108"/>
      <c r="Z13" s="108"/>
      <c r="AA13" s="108" t="s">
        <v>139</v>
      </c>
      <c r="AB13" s="112">
        <v>46080</v>
      </c>
      <c r="AC13" s="108" t="s">
        <v>165</v>
      </c>
      <c r="AD13" s="108" t="s">
        <v>93</v>
      </c>
      <c r="AE13" s="107"/>
      <c r="AF13" s="113"/>
      <c r="AG13" s="115">
        <v>46034.912291666667</v>
      </c>
      <c r="AH13" s="108" t="s">
        <v>94</v>
      </c>
      <c r="AI13" s="108" t="s">
        <v>95</v>
      </c>
      <c r="AJ13" s="114">
        <v>46112.395833333336</v>
      </c>
      <c r="AK13" s="108" t="s">
        <v>218</v>
      </c>
      <c r="AL13" s="115">
        <v>45960.052835648145</v>
      </c>
      <c r="AM13" s="116"/>
      <c r="AN13" s="116"/>
      <c r="AO13" s="116">
        <f>VLOOKUP(Tracker7[[#This Row],[DCR ID - PTC]],'STLA (2)'!$B:$W,21,FALSE)</f>
        <v>0</v>
      </c>
      <c r="AP13" s="108"/>
      <c r="AQ13" s="107"/>
      <c r="AR13" s="107"/>
      <c r="AS13" s="116"/>
      <c r="AT13" s="114"/>
      <c r="AU13" s="114"/>
      <c r="AV13" s="108"/>
      <c r="AW13" s="108"/>
      <c r="AX13" s="108"/>
      <c r="AY13" s="108" t="s">
        <v>866</v>
      </c>
      <c r="AZ13" s="108"/>
      <c r="BA13" s="108"/>
      <c r="BB13" s="108"/>
      <c r="BC13" s="108"/>
      <c r="BD13" s="111"/>
      <c r="BE13" s="111"/>
      <c r="BF13" s="111"/>
      <c r="BG13" s="111"/>
      <c r="BH13" s="111"/>
      <c r="BI13" s="111"/>
      <c r="BJ13" s="111"/>
      <c r="BK13" s="111"/>
      <c r="BL13" s="111"/>
      <c r="BM13" s="117"/>
      <c r="BN13" s="111"/>
      <c r="BO13" s="117"/>
      <c r="BP13" s="117"/>
      <c r="BQ13" s="117"/>
      <c r="BR13" s="111"/>
      <c r="BS13" s="118"/>
      <c r="BT13" s="111"/>
      <c r="BU13" s="118"/>
      <c r="BV13" s="111"/>
      <c r="BW13" s="111"/>
      <c r="BX13" s="111"/>
      <c r="BY13" s="111"/>
      <c r="BZ13" s="111"/>
      <c r="CA13" s="111"/>
      <c r="CB13" s="119"/>
      <c r="CC13" s="117"/>
      <c r="CD13" s="120">
        <f>VLOOKUP(Tracker7[[#This Row],[DCR ID - PTC]],'STLA (2)'!$B:$W,18,FALSE)</f>
        <v>0</v>
      </c>
      <c r="CE13" s="120">
        <f>VLOOKUP(Tracker7[[#This Row],[DCR ID - PTC]],'STLA (2)'!$B:$W,19,FALSE)</f>
        <v>0</v>
      </c>
      <c r="CF13" s="120">
        <f>VLOOKUP(Tracker7[[#This Row],[DCR ID - PTC]],'STLA (2)'!$B:$W,20,FALSE)</f>
        <v>0</v>
      </c>
      <c r="CG13" s="111"/>
      <c r="CH13" s="120"/>
      <c r="CI13" s="120"/>
      <c r="CJ13" s="111"/>
    </row>
    <row r="14" spans="1:88" ht="43.5">
      <c r="A14" s="106" t="s">
        <v>221</v>
      </c>
      <c r="B14" s="107">
        <v>0</v>
      </c>
      <c r="C14" s="49">
        <f>VLOOKUP(Tracker7[[#This Row],[DCR ID - PTC]],'STLA (2)'!$B:$W,11,FALSE)</f>
        <v>40</v>
      </c>
      <c r="D14" s="107"/>
      <c r="E14" s="108"/>
      <c r="F14" s="108" t="s">
        <v>216</v>
      </c>
      <c r="G14" s="121"/>
      <c r="H14" s="155">
        <v>17785176</v>
      </c>
      <c r="I14" s="127"/>
      <c r="J14" s="108" t="s">
        <v>1396</v>
      </c>
      <c r="K14" s="108"/>
      <c r="L14" s="108" t="s">
        <v>165</v>
      </c>
      <c r="M14" s="108"/>
      <c r="N14" s="110"/>
      <c r="O14" s="111"/>
      <c r="P14" s="111"/>
      <c r="Q14" s="111"/>
      <c r="R14" s="111"/>
      <c r="S14" s="111"/>
      <c r="T14" s="111"/>
      <c r="U14" s="108"/>
      <c r="V14" s="108"/>
      <c r="W14" s="108"/>
      <c r="X14" s="108"/>
      <c r="Y14" s="108"/>
      <c r="Z14" s="108"/>
      <c r="AA14" s="108" t="s">
        <v>139</v>
      </c>
      <c r="AB14" s="112">
        <v>46080</v>
      </c>
      <c r="AC14" s="108" t="s">
        <v>165</v>
      </c>
      <c r="AD14" s="108" t="s">
        <v>93</v>
      </c>
      <c r="AE14" s="107"/>
      <c r="AF14" s="113"/>
      <c r="AG14" s="115">
        <v>46035.051608796297</v>
      </c>
      <c r="AH14" s="108" t="s">
        <v>94</v>
      </c>
      <c r="AI14" s="108" t="s">
        <v>95</v>
      </c>
      <c r="AJ14" s="114">
        <v>46112.395833333336</v>
      </c>
      <c r="AK14" s="108" t="s">
        <v>218</v>
      </c>
      <c r="AL14" s="115">
        <v>45960.064675925925</v>
      </c>
      <c r="AM14" s="116"/>
      <c r="AN14" s="116"/>
      <c r="AO14" s="116">
        <f>VLOOKUP(Tracker7[[#This Row],[DCR ID - PTC]],'STLA (2)'!$B:$W,21,FALSE)</f>
        <v>0</v>
      </c>
      <c r="AP14" s="108"/>
      <c r="AQ14" s="107"/>
      <c r="AR14" s="107"/>
      <c r="AS14" s="116"/>
      <c r="AT14" s="114"/>
      <c r="AU14" s="114"/>
      <c r="AV14" s="108"/>
      <c r="AW14" s="108"/>
      <c r="AX14" s="108"/>
      <c r="AY14" s="108" t="s">
        <v>866</v>
      </c>
      <c r="AZ14" s="108"/>
      <c r="BA14" s="108"/>
      <c r="BB14" s="108"/>
      <c r="BC14" s="108"/>
      <c r="BD14" s="111"/>
      <c r="BE14" s="111"/>
      <c r="BF14" s="111"/>
      <c r="BG14" s="111"/>
      <c r="BH14" s="111"/>
      <c r="BI14" s="111"/>
      <c r="BJ14" s="111"/>
      <c r="BK14" s="111"/>
      <c r="BL14" s="111"/>
      <c r="BM14" s="117"/>
      <c r="BN14" s="111"/>
      <c r="BO14" s="117"/>
      <c r="BP14" s="117"/>
      <c r="BQ14" s="117"/>
      <c r="BR14" s="111"/>
      <c r="BS14" s="118"/>
      <c r="BT14" s="111"/>
      <c r="BU14" s="118"/>
      <c r="BV14" s="111"/>
      <c r="BW14" s="111"/>
      <c r="BX14" s="111"/>
      <c r="BY14" s="111"/>
      <c r="BZ14" s="111"/>
      <c r="CA14" s="111"/>
      <c r="CB14" s="119"/>
      <c r="CC14" s="117"/>
      <c r="CD14" s="120">
        <f>VLOOKUP(Tracker7[[#This Row],[DCR ID - PTC]],'STLA (2)'!$B:$W,18,FALSE)</f>
        <v>0</v>
      </c>
      <c r="CE14" s="323">
        <f>VLOOKUP(Tracker7[[#This Row],[DCR ID - PTC]],'STLA (2)'!$B:$W,19,FALSE)</f>
        <v>0</v>
      </c>
      <c r="CF14" s="120">
        <f>VLOOKUP(Tracker7[[#This Row],[DCR ID - PTC]],'STLA (2)'!$B:$W,20,FALSE)</f>
        <v>0</v>
      </c>
      <c r="CG14" s="111"/>
      <c r="CH14" s="120"/>
      <c r="CI14" s="120"/>
      <c r="CJ14" s="111"/>
    </row>
    <row r="15" spans="1:88" ht="87.6" customHeight="1">
      <c r="A15" s="106" t="s">
        <v>1376</v>
      </c>
      <c r="B15" s="107"/>
      <c r="C15" s="49">
        <f>VLOOKUP(Tracker7[[#This Row],[DCR ID - PTC]],'STLA (2)'!$B:$W,11,FALSE)</f>
        <v>35</v>
      </c>
      <c r="D15" s="107"/>
      <c r="E15" s="108"/>
      <c r="F15" s="108" t="s">
        <v>136</v>
      </c>
      <c r="G15" s="121"/>
      <c r="H15" s="154">
        <v>18067411</v>
      </c>
      <c r="I15" s="135"/>
      <c r="J15" s="147" t="s">
        <v>1397</v>
      </c>
      <c r="K15" s="108"/>
      <c r="L15" s="108" t="s">
        <v>165</v>
      </c>
      <c r="M15" s="108"/>
      <c r="N15" s="110"/>
      <c r="O15" s="111"/>
      <c r="P15" s="111"/>
      <c r="Q15" s="111"/>
      <c r="R15" s="111"/>
      <c r="S15" s="111"/>
      <c r="T15" s="111"/>
      <c r="U15" s="108"/>
      <c r="V15" s="108"/>
      <c r="W15" s="108"/>
      <c r="X15" s="108"/>
      <c r="Y15" s="108"/>
      <c r="Z15" s="108"/>
      <c r="AA15" s="108" t="s">
        <v>873</v>
      </c>
      <c r="AB15" s="112">
        <v>46171</v>
      </c>
      <c r="AC15" s="108" t="s">
        <v>165</v>
      </c>
      <c r="AD15" s="108" t="s">
        <v>146</v>
      </c>
      <c r="AE15" s="107"/>
      <c r="AF15" s="113"/>
      <c r="AG15" s="115">
        <v>46097.736261574071</v>
      </c>
      <c r="AH15" s="108" t="s">
        <v>94</v>
      </c>
      <c r="AI15" s="108" t="s">
        <v>95</v>
      </c>
      <c r="AJ15" s="114">
        <v>46142.979166666664</v>
      </c>
      <c r="AK15" s="108" t="s">
        <v>96</v>
      </c>
      <c r="AL15" s="115">
        <v>45988.467291666668</v>
      </c>
      <c r="AM15" s="116"/>
      <c r="AN15" s="116"/>
      <c r="AO15" s="116">
        <f>VLOOKUP(Tracker7[[#This Row],[DCR ID - PTC]],'STLA (2)'!$B:$W,21,FALSE)</f>
        <v>0</v>
      </c>
      <c r="AP15" s="108"/>
      <c r="AQ15" s="107"/>
      <c r="AR15" s="107"/>
      <c r="AS15" s="116"/>
      <c r="AT15" s="114"/>
      <c r="AU15" s="114"/>
      <c r="AV15" s="108"/>
      <c r="AW15" s="108"/>
      <c r="AX15" s="108"/>
      <c r="AY15" s="108" t="s">
        <v>866</v>
      </c>
      <c r="AZ15" s="108"/>
      <c r="BA15" s="108"/>
      <c r="BB15" s="108"/>
      <c r="BC15" s="108"/>
      <c r="BD15" s="111"/>
      <c r="BE15" s="111"/>
      <c r="BF15" s="111"/>
      <c r="BG15" s="111"/>
      <c r="BH15" s="111"/>
      <c r="BI15" s="111"/>
      <c r="BJ15" s="111"/>
      <c r="BK15" s="111"/>
      <c r="BL15" s="111"/>
      <c r="BM15" s="117"/>
      <c r="BN15" s="111"/>
      <c r="BO15" s="117"/>
      <c r="BP15" s="117"/>
      <c r="BQ15" s="117"/>
      <c r="BR15" s="111"/>
      <c r="BS15" s="118"/>
      <c r="BT15" s="111"/>
      <c r="BU15" s="118"/>
      <c r="BV15" s="111"/>
      <c r="BW15" s="111"/>
      <c r="BX15" s="111"/>
      <c r="BY15" s="111"/>
      <c r="BZ15" s="111"/>
      <c r="CA15" s="111"/>
      <c r="CB15" s="119"/>
      <c r="CC15" s="117"/>
      <c r="CD15" s="120">
        <f>VLOOKUP(Tracker7[[#This Row],[DCR ID - PTC]],'STLA (2)'!$B:$W,18,FALSE)</f>
        <v>0</v>
      </c>
      <c r="CE15" s="120">
        <f>VLOOKUP(Tracker7[[#This Row],[DCR ID - PTC]],'STLA (2)'!$B:$W,19,FALSE)</f>
        <v>0</v>
      </c>
      <c r="CF15" s="120">
        <f>VLOOKUP(Tracker7[[#This Row],[DCR ID - PTC]],'STLA (2)'!$B:$W,20,FALSE)</f>
        <v>0</v>
      </c>
      <c r="CG15" s="111"/>
      <c r="CH15" s="120"/>
      <c r="CI15" s="120"/>
      <c r="CJ15" s="111"/>
    </row>
    <row r="16" spans="1:88" ht="57.95">
      <c r="A16" s="310" t="s">
        <v>1376</v>
      </c>
      <c r="B16" s="49"/>
      <c r="C16" s="49">
        <f>VLOOKUP(Tracker7[[#This Row],[DCR ID - PTC]],'STLA (2)'!$B:$W,11,FALSE)</f>
        <v>30</v>
      </c>
      <c r="D16" s="107"/>
      <c r="E16" s="134"/>
      <c r="F16" s="134" t="s">
        <v>136</v>
      </c>
      <c r="G16" s="149"/>
      <c r="H16" s="271">
        <v>18139347</v>
      </c>
      <c r="I16" s="149"/>
      <c r="J16" s="49" t="s">
        <v>1398</v>
      </c>
      <c r="K16" s="134"/>
      <c r="L16" s="134" t="s">
        <v>165</v>
      </c>
      <c r="M16" s="134"/>
      <c r="N16" s="280"/>
      <c r="O16" s="111"/>
      <c r="P16" s="123"/>
      <c r="Q16" s="123"/>
      <c r="R16" s="123"/>
      <c r="S16" s="123"/>
      <c r="T16" s="123"/>
      <c r="U16" s="134"/>
      <c r="V16" s="134"/>
      <c r="W16" s="134"/>
      <c r="X16" s="134"/>
      <c r="Y16" s="134"/>
      <c r="Z16" s="134"/>
      <c r="AA16" s="134" t="s">
        <v>107</v>
      </c>
      <c r="AB16" s="29">
        <v>46086</v>
      </c>
      <c r="AC16" s="134" t="s">
        <v>165</v>
      </c>
      <c r="AD16" s="134" t="s">
        <v>146</v>
      </c>
      <c r="AE16" s="49"/>
      <c r="AF16" s="136"/>
      <c r="AG16" s="137">
        <v>46080.059710648151</v>
      </c>
      <c r="AH16" s="134" t="s">
        <v>94</v>
      </c>
      <c r="AI16" s="134" t="s">
        <v>95</v>
      </c>
      <c r="AJ16" s="138">
        <v>46053</v>
      </c>
      <c r="AK16" s="134" t="s">
        <v>96</v>
      </c>
      <c r="AL16" s="137">
        <v>46000.577650462961</v>
      </c>
      <c r="AM16" s="139"/>
      <c r="AN16" s="139"/>
      <c r="AO16" s="338">
        <f>VLOOKUP(Tracker7[[#This Row],[DCR ID - PTC]],'STLA (2)'!$B:$W,21,FALSE)</f>
        <v>0</v>
      </c>
      <c r="AP16" s="134"/>
      <c r="AQ16" s="49"/>
      <c r="AR16" s="49"/>
      <c r="AS16" s="139"/>
      <c r="AT16" s="138"/>
      <c r="AU16" s="138"/>
      <c r="AV16" s="134"/>
      <c r="AW16" s="134"/>
      <c r="AX16" s="108"/>
      <c r="AY16" s="108" t="s">
        <v>866</v>
      </c>
      <c r="AZ16" s="134"/>
      <c r="BA16" s="134"/>
      <c r="BB16" s="134"/>
      <c r="BC16" s="134"/>
      <c r="BD16" s="123"/>
      <c r="BE16" s="123"/>
      <c r="BF16" s="123"/>
      <c r="BG16" s="123"/>
      <c r="BH16" s="123"/>
      <c r="BI16" s="123"/>
      <c r="BJ16" s="123"/>
      <c r="BK16" s="123"/>
      <c r="BL16" s="123"/>
      <c r="BM16" s="117"/>
      <c r="BN16" s="123"/>
      <c r="BO16" s="140"/>
      <c r="BP16" s="140"/>
      <c r="BQ16" s="140"/>
      <c r="BR16" s="123"/>
      <c r="BS16" s="141"/>
      <c r="BT16" s="123"/>
      <c r="BU16" s="141"/>
      <c r="BV16" s="123"/>
      <c r="BW16" s="123"/>
      <c r="BX16" s="123"/>
      <c r="BY16" s="123"/>
      <c r="BZ16" s="123"/>
      <c r="CA16" s="123"/>
      <c r="CB16" s="143"/>
      <c r="CC16" s="140"/>
      <c r="CD16" s="120">
        <f>VLOOKUP(Tracker7[[#This Row],[DCR ID - PTC]],'STLA (2)'!$B:$W,18,FALSE)</f>
        <v>0</v>
      </c>
      <c r="CE16" s="120">
        <f>VLOOKUP(Tracker7[[#This Row],[DCR ID - PTC]],'STLA (2)'!$B:$W,19,FALSE)</f>
        <v>0</v>
      </c>
      <c r="CF16" s="120">
        <f>VLOOKUP(Tracker7[[#This Row],[DCR ID - PTC]],'STLA (2)'!$B:$W,20,FALSE)</f>
        <v>0</v>
      </c>
      <c r="CG16" s="123"/>
      <c r="CH16" s="120"/>
      <c r="CI16" s="120"/>
      <c r="CJ16" s="123"/>
    </row>
    <row r="17" spans="1:88" ht="132">
      <c r="A17" s="106" t="s">
        <v>314</v>
      </c>
      <c r="B17" s="107"/>
      <c r="C17" s="49">
        <f>VLOOKUP(Tracker7[[#This Row],[DCR ID - PTC]],'STLA (2)'!$B:$W,11,FALSE)</f>
        <v>30</v>
      </c>
      <c r="D17" s="107">
        <v>0</v>
      </c>
      <c r="E17" s="108"/>
      <c r="F17" s="108" t="s">
        <v>136</v>
      </c>
      <c r="G17" s="121"/>
      <c r="H17" s="153">
        <v>18656113</v>
      </c>
      <c r="I17" s="127"/>
      <c r="J17" s="133" t="s">
        <v>936</v>
      </c>
      <c r="K17" s="108"/>
      <c r="L17" s="108" t="s">
        <v>165</v>
      </c>
      <c r="M17" s="108"/>
      <c r="N17" s="108"/>
      <c r="O17" s="111"/>
      <c r="P17" s="116"/>
      <c r="Q17" s="108"/>
      <c r="R17" s="107"/>
      <c r="S17" s="107"/>
      <c r="T17" s="116"/>
      <c r="U17" s="114"/>
      <c r="V17" s="114"/>
      <c r="W17" s="108"/>
      <c r="X17" s="108"/>
      <c r="Y17" s="108"/>
      <c r="Z17" s="108"/>
      <c r="AA17" s="108" t="s">
        <v>879</v>
      </c>
      <c r="AB17" s="108"/>
      <c r="AC17" s="108" t="s">
        <v>165</v>
      </c>
      <c r="AD17" s="108" t="s">
        <v>116</v>
      </c>
      <c r="AE17" s="111"/>
      <c r="AF17" s="111"/>
      <c r="AG17" s="152">
        <v>46119.168900462966</v>
      </c>
      <c r="AH17" s="111" t="s">
        <v>94</v>
      </c>
      <c r="AI17" s="111" t="s">
        <v>95</v>
      </c>
      <c r="AJ17" s="111">
        <v>46081</v>
      </c>
      <c r="AK17" s="111" t="s">
        <v>96</v>
      </c>
      <c r="AL17" s="152">
        <v>46056.709398148145</v>
      </c>
      <c r="AM17" s="111"/>
      <c r="AN17" s="117"/>
      <c r="AO17" s="116">
        <f>VLOOKUP(Tracker7[[#This Row],[DCR ID - PTC]],'STLA (2)'!$B:$W,21,FALSE)</f>
        <v>0</v>
      </c>
      <c r="AP17" s="117"/>
      <c r="AQ17" s="117"/>
      <c r="AR17" s="117"/>
      <c r="AS17" s="111"/>
      <c r="AT17" s="118"/>
      <c r="AU17" s="111"/>
      <c r="AV17" s="118"/>
      <c r="AW17" s="111"/>
      <c r="AX17" s="108"/>
      <c r="AY17" s="108" t="s">
        <v>866</v>
      </c>
      <c r="AZ17" s="111"/>
      <c r="BA17" s="111"/>
      <c r="BB17" s="111"/>
      <c r="BC17" s="119"/>
      <c r="BD17" s="117"/>
      <c r="BE17" s="126"/>
      <c r="BF17" s="126"/>
      <c r="BG17" s="126"/>
      <c r="BH17" s="126"/>
      <c r="BI17" s="126"/>
      <c r="BJ17" s="126"/>
      <c r="BK17" s="126"/>
      <c r="BL17" s="126"/>
      <c r="BM17" s="117"/>
      <c r="BN17" s="126"/>
      <c r="BO17" s="126"/>
      <c r="BP17" s="126"/>
      <c r="BQ17" s="126"/>
      <c r="BR17" s="126"/>
      <c r="BS17" s="126"/>
      <c r="BT17" s="126"/>
      <c r="BU17" s="126"/>
      <c r="BV17" s="126"/>
      <c r="BW17" s="126"/>
      <c r="BX17" s="126"/>
      <c r="BY17" s="126"/>
      <c r="BZ17" s="126"/>
      <c r="CA17" s="126"/>
      <c r="CB17" s="119"/>
      <c r="CC17" s="126"/>
      <c r="CD17" s="120">
        <f>VLOOKUP(Tracker7[[#This Row],[DCR ID - PTC]],'STLA (2)'!$B:$W,18,FALSE)</f>
        <v>0</v>
      </c>
      <c r="CE17" s="120">
        <f>VLOOKUP(Tracker7[[#This Row],[DCR ID - PTC]],'STLA (2)'!$B:$W,19,FALSE)</f>
        <v>0</v>
      </c>
      <c r="CF17" s="120">
        <f>VLOOKUP(Tracker7[[#This Row],[DCR ID - PTC]],'STLA (2)'!$B:$W,20,FALSE)</f>
        <v>0</v>
      </c>
      <c r="CG17" s="111"/>
      <c r="CH17" s="120"/>
      <c r="CI17" s="120"/>
      <c r="CJ17" s="111"/>
    </row>
    <row r="18" spans="1:88" ht="72.599999999999994">
      <c r="A18" s="134" t="s">
        <v>449</v>
      </c>
      <c r="B18" s="49"/>
      <c r="C18" s="49">
        <f>VLOOKUP(Tracker7[[#This Row],[DCR ID - PTC]],'STLA (2)'!$B:$W,11,FALSE)</f>
        <v>20</v>
      </c>
      <c r="D18" s="107"/>
      <c r="E18" s="134"/>
      <c r="F18" s="134" t="s">
        <v>136</v>
      </c>
      <c r="G18" s="150"/>
      <c r="H18" s="271">
        <v>18673035</v>
      </c>
      <c r="I18" s="149"/>
      <c r="J18" s="134" t="s">
        <v>1399</v>
      </c>
      <c r="K18" s="134"/>
      <c r="L18" s="134" t="s">
        <v>165</v>
      </c>
      <c r="M18" s="134"/>
      <c r="N18" s="280"/>
      <c r="O18" s="123"/>
      <c r="P18" s="123"/>
      <c r="Q18" s="123"/>
      <c r="R18" s="123"/>
      <c r="S18" s="123"/>
      <c r="T18" s="123"/>
      <c r="U18" s="134"/>
      <c r="V18" s="134"/>
      <c r="W18" s="134"/>
      <c r="X18" s="134"/>
      <c r="Y18" s="134"/>
      <c r="Z18" s="134"/>
      <c r="AA18" s="134" t="s">
        <v>873</v>
      </c>
      <c r="AB18" s="29">
        <v>46171</v>
      </c>
      <c r="AC18" s="134" t="s">
        <v>165</v>
      </c>
      <c r="AD18" s="134" t="s">
        <v>93</v>
      </c>
      <c r="AE18" s="49"/>
      <c r="AF18" s="136"/>
      <c r="AG18" s="137">
        <v>46107.981238425928</v>
      </c>
      <c r="AH18" s="134" t="s">
        <v>94</v>
      </c>
      <c r="AI18" s="134" t="s">
        <v>95</v>
      </c>
      <c r="AJ18" s="138">
        <v>46142</v>
      </c>
      <c r="AK18" s="134" t="s">
        <v>96</v>
      </c>
      <c r="AL18" s="137">
        <v>46058.842986111114</v>
      </c>
      <c r="AM18" s="139"/>
      <c r="AN18" s="139"/>
      <c r="AO18" s="116">
        <f>VLOOKUP(Tracker7[[#This Row],[DCR ID - PTC]],'STLA (2)'!$B:$W,21,FALSE)</f>
        <v>0</v>
      </c>
      <c r="AP18" s="134"/>
      <c r="AQ18" s="49"/>
      <c r="AR18" s="49"/>
      <c r="AS18" s="139"/>
      <c r="AT18" s="139"/>
      <c r="AU18" s="139"/>
      <c r="AV18" s="134"/>
      <c r="AW18" s="134"/>
      <c r="AX18" s="108"/>
      <c r="AY18" s="108" t="s">
        <v>866</v>
      </c>
      <c r="AZ18" s="134"/>
      <c r="BA18" s="134"/>
      <c r="BB18" s="134"/>
      <c r="BC18" s="134"/>
      <c r="BD18" s="123"/>
      <c r="BE18" s="123"/>
      <c r="BF18" s="123"/>
      <c r="BG18" s="123"/>
      <c r="BH18" s="123"/>
      <c r="BI18" s="123"/>
      <c r="BJ18" s="123"/>
      <c r="BK18" s="123"/>
      <c r="BL18" s="123"/>
      <c r="BM18" s="117"/>
      <c r="BN18" s="123"/>
      <c r="BO18" s="140"/>
      <c r="BP18" s="140"/>
      <c r="BQ18" s="140"/>
      <c r="BR18" s="123"/>
      <c r="BS18" s="141"/>
      <c r="BT18" s="123"/>
      <c r="BU18" s="141"/>
      <c r="BV18" s="123"/>
      <c r="BW18" s="123"/>
      <c r="BX18" s="123"/>
      <c r="BY18" s="123"/>
      <c r="BZ18" s="123"/>
      <c r="CA18" s="123"/>
      <c r="CB18" s="143"/>
      <c r="CC18" s="140"/>
      <c r="CD18" s="120">
        <f>VLOOKUP(Tracker7[[#This Row],[DCR ID - PTC]],'STLA (2)'!$B:$W,18,FALSE)</f>
        <v>0</v>
      </c>
      <c r="CE18" s="120">
        <f>VLOOKUP(Tracker7[[#This Row],[DCR ID - PTC]],'STLA (2)'!$B:$W,19,FALSE)</f>
        <v>0</v>
      </c>
      <c r="CF18" s="120">
        <f>VLOOKUP(Tracker7[[#This Row],[DCR ID - PTC]],'STLA (2)'!$B:$W,20,FALSE)</f>
        <v>0</v>
      </c>
      <c r="CG18" s="123"/>
      <c r="CH18" s="120"/>
      <c r="CI18" s="120"/>
      <c r="CJ18" s="123"/>
    </row>
    <row r="19" spans="1:88" ht="72.599999999999994">
      <c r="A19" s="268" t="s">
        <v>449</v>
      </c>
      <c r="B19" s="49"/>
      <c r="C19" s="49">
        <f>VLOOKUP(Tracker7[[#This Row],[DCR ID - PTC]],'STLA (2)'!$B:$W,11,FALSE)</f>
        <v>15</v>
      </c>
      <c r="D19" s="107">
        <v>0</v>
      </c>
      <c r="E19" s="134"/>
      <c r="F19" s="134" t="s">
        <v>136</v>
      </c>
      <c r="G19" s="150"/>
      <c r="H19" s="271">
        <v>18673059</v>
      </c>
      <c r="I19" s="149"/>
      <c r="J19" s="134" t="s">
        <v>1400</v>
      </c>
      <c r="K19" s="134"/>
      <c r="L19" s="134" t="s">
        <v>165</v>
      </c>
      <c r="M19" s="134"/>
      <c r="N19" s="134"/>
      <c r="O19" s="111"/>
      <c r="P19" s="123"/>
      <c r="Q19" s="123"/>
      <c r="R19" s="123"/>
      <c r="S19" s="123"/>
      <c r="T19" s="123"/>
      <c r="U19" s="134"/>
      <c r="V19" s="134"/>
      <c r="W19" s="134"/>
      <c r="X19" s="134"/>
      <c r="Y19" s="134"/>
      <c r="Z19" s="134"/>
      <c r="AA19" s="134" t="s">
        <v>879</v>
      </c>
      <c r="AB19" s="29">
        <v>46171</v>
      </c>
      <c r="AC19" s="134" t="s">
        <v>165</v>
      </c>
      <c r="AD19" s="134" t="s">
        <v>93</v>
      </c>
      <c r="AE19" s="49"/>
      <c r="AF19" s="136"/>
      <c r="AG19" s="137">
        <v>46107.981238425928</v>
      </c>
      <c r="AH19" s="134" t="s">
        <v>94</v>
      </c>
      <c r="AI19" s="134" t="s">
        <v>95</v>
      </c>
      <c r="AJ19" s="138">
        <v>46142</v>
      </c>
      <c r="AK19" s="134" t="s">
        <v>96</v>
      </c>
      <c r="AL19" s="137">
        <v>46058.849444444444</v>
      </c>
      <c r="AM19" s="139"/>
      <c r="AN19" s="139"/>
      <c r="AO19" s="116">
        <f>VLOOKUP(Tracker7[[#This Row],[DCR ID - PTC]],'STLA (2)'!$B:$W,21,FALSE)</f>
        <v>0</v>
      </c>
      <c r="AP19" s="134"/>
      <c r="AQ19" s="49"/>
      <c r="AR19" s="49"/>
      <c r="AS19" s="139"/>
      <c r="AT19" s="138"/>
      <c r="AU19" s="138"/>
      <c r="AV19" s="134"/>
      <c r="AW19" s="134"/>
      <c r="AX19" s="108"/>
      <c r="AY19" s="108" t="s">
        <v>866</v>
      </c>
      <c r="AZ19" s="134"/>
      <c r="BA19" s="134"/>
      <c r="BB19" s="134"/>
      <c r="BC19" s="134"/>
      <c r="BD19" s="123"/>
      <c r="BE19" s="123"/>
      <c r="BF19" s="123"/>
      <c r="BG19" s="123"/>
      <c r="BH19" s="123"/>
      <c r="BI19" s="123"/>
      <c r="BJ19" s="123"/>
      <c r="BK19" s="123"/>
      <c r="BL19" s="123"/>
      <c r="BM19" s="117"/>
      <c r="BN19" s="123"/>
      <c r="BO19" s="140"/>
      <c r="BP19" s="140"/>
      <c r="BQ19" s="140"/>
      <c r="BR19" s="123"/>
      <c r="BS19" s="141"/>
      <c r="BT19" s="123"/>
      <c r="BU19" s="141"/>
      <c r="BV19" s="123"/>
      <c r="BW19" s="123"/>
      <c r="BX19" s="123"/>
      <c r="BY19" s="123"/>
      <c r="BZ19" s="123"/>
      <c r="CA19" s="123"/>
      <c r="CB19" s="143"/>
      <c r="CC19" s="140"/>
      <c r="CD19" s="120">
        <f>VLOOKUP(Tracker7[[#This Row],[DCR ID - PTC]],'STLA (2)'!$B:$W,18,FALSE)</f>
        <v>0</v>
      </c>
      <c r="CE19" s="120">
        <f>VLOOKUP(Tracker7[[#This Row],[DCR ID - PTC]],'STLA (2)'!$B:$W,19,FALSE)</f>
        <v>0</v>
      </c>
      <c r="CF19" s="120">
        <f>VLOOKUP(Tracker7[[#This Row],[DCR ID - PTC]],'STLA (2)'!$B:$W,20,FALSE)</f>
        <v>0</v>
      </c>
      <c r="CG19" s="123"/>
      <c r="CH19" s="120"/>
      <c r="CI19" s="120"/>
      <c r="CJ19" s="123"/>
    </row>
    <row r="20" spans="1:88" ht="72.599999999999994">
      <c r="A20" s="268" t="s">
        <v>1376</v>
      </c>
      <c r="B20" s="49">
        <v>0</v>
      </c>
      <c r="C20" s="49">
        <f>VLOOKUP(Tracker7[[#This Row],[DCR ID - PTC]],'STLA (2)'!$B:$W,11,FALSE)</f>
        <v>15</v>
      </c>
      <c r="D20" s="49"/>
      <c r="E20" s="134"/>
      <c r="F20" s="134" t="s">
        <v>136</v>
      </c>
      <c r="G20" s="150"/>
      <c r="H20" s="271">
        <v>18680412</v>
      </c>
      <c r="I20" s="149"/>
      <c r="J20" s="134" t="s">
        <v>1401</v>
      </c>
      <c r="K20" s="134"/>
      <c r="L20" s="134" t="s">
        <v>165</v>
      </c>
      <c r="M20" s="134"/>
      <c r="N20" s="134"/>
      <c r="O20" s="111"/>
      <c r="P20" s="137"/>
      <c r="Q20" s="139"/>
      <c r="R20" s="139"/>
      <c r="S20" s="138"/>
      <c r="T20" s="138"/>
      <c r="U20" s="134"/>
      <c r="V20" s="134"/>
      <c r="W20" s="134"/>
      <c r="X20" s="134"/>
      <c r="Y20" s="134"/>
      <c r="Z20" s="134"/>
      <c r="AA20" s="123" t="s">
        <v>873</v>
      </c>
      <c r="AB20" s="123">
        <v>46171</v>
      </c>
      <c r="AC20" s="123" t="s">
        <v>165</v>
      </c>
      <c r="AD20" s="123" t="s">
        <v>93</v>
      </c>
      <c r="AE20" s="123"/>
      <c r="AF20" s="123"/>
      <c r="AG20" s="350">
        <v>46107.981238425928</v>
      </c>
      <c r="AH20" s="123" t="s">
        <v>94</v>
      </c>
      <c r="AI20" s="123" t="s">
        <v>95</v>
      </c>
      <c r="AJ20" s="141">
        <v>46142</v>
      </c>
      <c r="AK20" s="123" t="s">
        <v>96</v>
      </c>
      <c r="AL20" s="350">
        <v>46059.587025462963</v>
      </c>
      <c r="AM20" s="140"/>
      <c r="AN20" s="140"/>
      <c r="AO20" s="116">
        <f>VLOOKUP(Tracker7[[#This Row],[DCR ID - PTC]],'STLA (2)'!$B:$W,21,FALSE)</f>
        <v>0</v>
      </c>
      <c r="AP20" s="141"/>
      <c r="AQ20" s="123"/>
      <c r="AR20" s="141"/>
      <c r="AS20" s="123"/>
      <c r="AT20" s="123"/>
      <c r="AU20" s="123"/>
      <c r="AV20" s="123"/>
      <c r="AW20" s="123"/>
      <c r="AX20" s="108"/>
      <c r="AY20" s="108" t="s">
        <v>866</v>
      </c>
      <c r="AZ20" s="140"/>
      <c r="BA20" s="123"/>
      <c r="BB20" s="123"/>
      <c r="BC20" s="123"/>
      <c r="BD20" s="123"/>
      <c r="BE20" s="123"/>
      <c r="BF20" s="123"/>
      <c r="BG20" s="123"/>
      <c r="BH20" s="123"/>
      <c r="BI20" s="123"/>
      <c r="BJ20" s="123"/>
      <c r="BK20" s="123"/>
      <c r="BL20" s="123"/>
      <c r="BM20" s="117"/>
      <c r="BN20" s="123"/>
      <c r="BO20" s="140"/>
      <c r="BP20" s="140"/>
      <c r="BQ20" s="140"/>
      <c r="BR20" s="123"/>
      <c r="BS20" s="141"/>
      <c r="BT20" s="123"/>
      <c r="BU20" s="141"/>
      <c r="BV20" s="123"/>
      <c r="BW20" s="123"/>
      <c r="BX20" s="123"/>
      <c r="BY20" s="123"/>
      <c r="BZ20" s="123"/>
      <c r="CA20" s="123"/>
      <c r="CB20" s="143"/>
      <c r="CC20" s="140"/>
      <c r="CD20" s="120">
        <f>VLOOKUP(Tracker7[[#This Row],[DCR ID - PTC]],'STLA (2)'!$B:$W,18,FALSE)</f>
        <v>0</v>
      </c>
      <c r="CE20" s="120">
        <f>VLOOKUP(Tracker7[[#This Row],[DCR ID - PTC]],'STLA (2)'!$B:$W,19,FALSE)</f>
        <v>0</v>
      </c>
      <c r="CF20" s="120">
        <f>VLOOKUP(Tracker7[[#This Row],[DCR ID - PTC]],'STLA (2)'!$B:$W,20,FALSE)</f>
        <v>0</v>
      </c>
      <c r="CG20" s="123"/>
      <c r="CH20" s="120"/>
      <c r="CI20" s="120"/>
      <c r="CJ20" s="123"/>
    </row>
    <row r="21" spans="1:88" ht="72.599999999999994">
      <c r="A21" s="131" t="s">
        <v>1376</v>
      </c>
      <c r="B21" s="49"/>
      <c r="C21" s="49">
        <f>VLOOKUP(Tracker7[[#This Row],[DCR ID - PTC]],'STLA (2)'!$B:$W,11,FALSE)</f>
        <v>60</v>
      </c>
      <c r="D21" s="107"/>
      <c r="E21" s="134"/>
      <c r="F21" s="134" t="s">
        <v>136</v>
      </c>
      <c r="G21" s="150"/>
      <c r="H21" s="271">
        <v>17491947</v>
      </c>
      <c r="I21" s="149"/>
      <c r="J21" s="49" t="s">
        <v>1402</v>
      </c>
      <c r="K21" s="134"/>
      <c r="L21" s="134" t="s">
        <v>1403</v>
      </c>
      <c r="M21" s="134"/>
      <c r="N21" s="134"/>
      <c r="O21" s="111"/>
      <c r="P21" s="123"/>
      <c r="Q21" s="123"/>
      <c r="R21" s="123"/>
      <c r="S21" s="123"/>
      <c r="T21" s="123"/>
      <c r="U21" s="134"/>
      <c r="V21" s="134"/>
      <c r="W21" s="134"/>
      <c r="X21" s="134"/>
      <c r="Y21" s="134"/>
      <c r="Z21" s="134"/>
      <c r="AA21" s="134" t="s">
        <v>107</v>
      </c>
      <c r="AB21" s="29">
        <v>46080</v>
      </c>
      <c r="AC21" s="134" t="s">
        <v>1403</v>
      </c>
      <c r="AD21" s="134" t="s">
        <v>93</v>
      </c>
      <c r="AE21" s="49"/>
      <c r="AF21" s="136"/>
      <c r="AG21" s="137">
        <v>46014.025983796295</v>
      </c>
      <c r="AH21" s="134" t="s">
        <v>94</v>
      </c>
      <c r="AI21" s="134" t="s">
        <v>95</v>
      </c>
      <c r="AJ21" s="138">
        <v>46142.395833333336</v>
      </c>
      <c r="AK21" s="134" t="s">
        <v>96</v>
      </c>
      <c r="AL21" s="137">
        <v>45915.817997685182</v>
      </c>
      <c r="AM21" s="139"/>
      <c r="AN21" s="139"/>
      <c r="AO21" s="116">
        <f>VLOOKUP(Tracker7[[#This Row],[DCR ID - PTC]],'STLA (2)'!$B:$W,21,FALSE)</f>
        <v>0</v>
      </c>
      <c r="AP21" s="134"/>
      <c r="AQ21" s="49"/>
      <c r="AR21" s="49"/>
      <c r="AS21" s="139"/>
      <c r="AT21" s="138"/>
      <c r="AU21" s="138"/>
      <c r="AV21" s="134"/>
      <c r="AW21" s="134"/>
      <c r="AX21" s="108"/>
      <c r="AY21" s="108" t="s">
        <v>866</v>
      </c>
      <c r="AZ21" s="134"/>
      <c r="BA21" s="134"/>
      <c r="BB21" s="134"/>
      <c r="BC21" s="134"/>
      <c r="BD21" s="123"/>
      <c r="BE21" s="123"/>
      <c r="BF21" s="123"/>
      <c r="BG21" s="123"/>
      <c r="BH21" s="123"/>
      <c r="BI21" s="123"/>
      <c r="BJ21" s="123"/>
      <c r="BK21" s="123"/>
      <c r="BL21" s="123"/>
      <c r="BM21" s="117"/>
      <c r="BN21" s="123"/>
      <c r="BO21" s="140"/>
      <c r="BP21" s="140"/>
      <c r="BQ21" s="140"/>
      <c r="BR21" s="123"/>
      <c r="BS21" s="141"/>
      <c r="BT21" s="123"/>
      <c r="BU21" s="141"/>
      <c r="BV21" s="123"/>
      <c r="BW21" s="123"/>
      <c r="BX21" s="123"/>
      <c r="BY21" s="123"/>
      <c r="BZ21" s="123"/>
      <c r="CA21" s="123"/>
      <c r="CB21" s="143"/>
      <c r="CC21" s="140"/>
      <c r="CD21" s="120">
        <f>VLOOKUP(Tracker7[[#This Row],[DCR ID - PTC]],'STLA (2)'!$B:$W,18,FALSE)</f>
        <v>0</v>
      </c>
      <c r="CE21" s="120">
        <f>VLOOKUP(Tracker7[[#This Row],[DCR ID - PTC]],'STLA (2)'!$B:$W,19,FALSE)</f>
        <v>0</v>
      </c>
      <c r="CF21" s="120">
        <f>VLOOKUP(Tracker7[[#This Row],[DCR ID - PTC]],'STLA (2)'!$B:$W,20,FALSE)</f>
        <v>0</v>
      </c>
      <c r="CG21" s="123"/>
      <c r="CH21" s="120"/>
      <c r="CI21" s="120"/>
      <c r="CJ21" s="123"/>
    </row>
    <row r="22" spans="1:88" ht="57.95">
      <c r="A22" s="146" t="s">
        <v>449</v>
      </c>
      <c r="B22" s="49"/>
      <c r="C22" s="49" t="e">
        <f>VLOOKUP(Tracker7[[#This Row],[DCR ID - PTC]],'STLA (2)'!$B:$W,11,FALSE)</f>
        <v>#N/A</v>
      </c>
      <c r="D22" s="49">
        <v>0</v>
      </c>
      <c r="E22" s="134"/>
      <c r="F22" s="134" t="s">
        <v>89</v>
      </c>
      <c r="G22" s="150"/>
      <c r="H22" s="271">
        <v>15929265</v>
      </c>
      <c r="I22" s="149"/>
      <c r="J22" s="49" t="s">
        <v>450</v>
      </c>
      <c r="K22" s="134"/>
      <c r="L22" s="134" t="s">
        <v>131</v>
      </c>
      <c r="M22" s="134"/>
      <c r="N22" s="134"/>
      <c r="O22" s="111"/>
      <c r="P22" s="123"/>
      <c r="Q22" s="123"/>
      <c r="R22" s="123"/>
      <c r="S22" s="123"/>
      <c r="T22" s="123"/>
      <c r="U22" s="134"/>
      <c r="V22" s="134"/>
      <c r="W22" s="134"/>
      <c r="X22" s="134"/>
      <c r="Y22" s="134"/>
      <c r="Z22" s="134"/>
      <c r="AA22" s="134" t="s">
        <v>92</v>
      </c>
      <c r="AC22" s="134" t="s">
        <v>131</v>
      </c>
      <c r="AD22" s="134" t="s">
        <v>93</v>
      </c>
      <c r="AE22" s="49"/>
      <c r="AF22" s="136"/>
      <c r="AG22" s="137">
        <v>45908.730451388888</v>
      </c>
      <c r="AH22" s="134" t="s">
        <v>94</v>
      </c>
      <c r="AI22" s="134" t="s">
        <v>95</v>
      </c>
      <c r="AJ22" s="138">
        <v>45869.395833333336</v>
      </c>
      <c r="AK22" s="134" t="s">
        <v>96</v>
      </c>
      <c r="AL22" s="137">
        <v>45723.888182870367</v>
      </c>
      <c r="AM22" s="139"/>
      <c r="AN22" s="139"/>
      <c r="AO22" s="116" t="e">
        <f>VLOOKUP(Tracker7[[#This Row],[DCR ID - PTC]],'STLA (2)'!$B:$W,21,FALSE)</f>
        <v>#N/A</v>
      </c>
      <c r="AP22" s="134"/>
      <c r="AQ22" s="49"/>
      <c r="AR22" s="49"/>
      <c r="AS22" s="139"/>
      <c r="AT22" s="138"/>
      <c r="AU22" s="138"/>
      <c r="AV22" s="134"/>
      <c r="AW22" s="134"/>
      <c r="AX22" s="108"/>
      <c r="AY22" s="108" t="s">
        <v>866</v>
      </c>
      <c r="AZ22" s="134"/>
      <c r="BA22" s="134"/>
      <c r="BB22" s="134"/>
      <c r="BC22" s="134"/>
      <c r="BD22" s="123"/>
      <c r="BE22" s="123"/>
      <c r="BF22" s="123"/>
      <c r="BG22" s="123"/>
      <c r="BH22" s="123"/>
      <c r="BI22" s="123"/>
      <c r="BJ22" s="123"/>
      <c r="BK22" s="123"/>
      <c r="BL22" s="123"/>
      <c r="BM22" s="117"/>
      <c r="BN22" s="123"/>
      <c r="BO22" s="140"/>
      <c r="BP22" s="140"/>
      <c r="BQ22" s="140"/>
      <c r="BR22" s="123"/>
      <c r="BS22" s="141"/>
      <c r="BT22" s="123"/>
      <c r="BU22" s="141"/>
      <c r="BV22" s="123"/>
      <c r="BW22" s="123"/>
      <c r="BX22" s="123"/>
      <c r="BY22" s="123"/>
      <c r="BZ22" s="123"/>
      <c r="CA22" s="123"/>
      <c r="CB22" s="143"/>
      <c r="CC22" s="140"/>
      <c r="CD22" s="120" t="e">
        <f>VLOOKUP(Tracker7[[#This Row],[DCR ID - PTC]],'STLA (2)'!$B:$W,18,FALSE)</f>
        <v>#N/A</v>
      </c>
      <c r="CE22" s="120" t="e">
        <f>VLOOKUP(Tracker7[[#This Row],[DCR ID - PTC]],'STLA (2)'!$B:$W,19,FALSE)</f>
        <v>#N/A</v>
      </c>
      <c r="CF22" s="120" t="e">
        <f>VLOOKUP(Tracker7[[#This Row],[DCR ID - PTC]],'STLA (2)'!$B:$W,20,FALSE)</f>
        <v>#N/A</v>
      </c>
      <c r="CG22" s="123"/>
      <c r="CH22" s="120"/>
      <c r="CI22" s="120"/>
      <c r="CJ22" s="123"/>
    </row>
    <row r="23" spans="1:88" ht="57.95">
      <c r="A23" s="254" t="s">
        <v>212</v>
      </c>
      <c r="B23" s="49">
        <f>2.5+3.5+2.5</f>
        <v>8.5</v>
      </c>
      <c r="C23" s="49">
        <f>VLOOKUP(Tracker7[[#This Row],[DCR ID - PTC]],'STLA (2)'!$B:$W,11,FALSE)</f>
        <v>40</v>
      </c>
      <c r="D23" s="107"/>
      <c r="E23" s="134"/>
      <c r="F23" s="134" t="s">
        <v>216</v>
      </c>
      <c r="G23" s="150"/>
      <c r="H23" s="271">
        <v>18142750</v>
      </c>
      <c r="I23" s="149"/>
      <c r="J23" s="49" t="s">
        <v>217</v>
      </c>
      <c r="K23" s="134"/>
      <c r="L23" s="134" t="s">
        <v>165</v>
      </c>
      <c r="M23" s="134"/>
      <c r="N23" s="110" t="s">
        <v>1395</v>
      </c>
      <c r="O23" s="111" t="s">
        <v>115</v>
      </c>
      <c r="P23" s="123"/>
      <c r="Q23" s="123"/>
      <c r="R23" s="123"/>
      <c r="S23" s="123"/>
      <c r="T23" s="123"/>
      <c r="U23" s="134"/>
      <c r="V23" s="134"/>
      <c r="W23" s="134"/>
      <c r="X23" s="134"/>
      <c r="Y23" s="134"/>
      <c r="Z23" s="134"/>
      <c r="AA23" s="134" t="s">
        <v>139</v>
      </c>
      <c r="AC23" s="134" t="s">
        <v>165</v>
      </c>
      <c r="AD23" s="134" t="s">
        <v>116</v>
      </c>
      <c r="AE23" s="49"/>
      <c r="AF23" s="136"/>
      <c r="AG23" s="137">
        <v>46010.061319444445</v>
      </c>
      <c r="AH23" s="134" t="s">
        <v>94</v>
      </c>
      <c r="AI23" s="134" t="s">
        <v>95</v>
      </c>
      <c r="AJ23" s="138">
        <v>45823.395833333336</v>
      </c>
      <c r="AK23" s="134" t="s">
        <v>218</v>
      </c>
      <c r="AL23" s="137">
        <v>46000.996736111112</v>
      </c>
      <c r="AM23" s="139"/>
      <c r="AN23" s="139"/>
      <c r="AO23" s="116">
        <f>VLOOKUP(Tracker7[[#This Row],[DCR ID - PTC]],'STLA (2)'!$B:$W,21,FALSE)</f>
        <v>0</v>
      </c>
      <c r="AP23" s="134"/>
      <c r="AQ23" s="49"/>
      <c r="AR23" s="49"/>
      <c r="AS23" s="139"/>
      <c r="AT23" s="138"/>
      <c r="AU23" s="138"/>
      <c r="AV23" s="134"/>
      <c r="AW23" s="134"/>
      <c r="AX23" s="108"/>
      <c r="AY23" s="108" t="s">
        <v>866</v>
      </c>
      <c r="AZ23" s="134"/>
      <c r="BA23" s="134"/>
      <c r="BB23" s="134"/>
      <c r="BC23" s="134"/>
      <c r="BD23" s="123"/>
      <c r="BE23" s="123"/>
      <c r="BF23" s="123"/>
      <c r="BG23" s="123"/>
      <c r="BH23" s="123"/>
      <c r="BI23" s="123"/>
      <c r="BJ23" s="123"/>
      <c r="BK23" s="123"/>
      <c r="BL23" s="123"/>
      <c r="BM23" s="117"/>
      <c r="BN23" s="123"/>
      <c r="BO23" s="140"/>
      <c r="BP23" s="140"/>
      <c r="BQ23" s="140"/>
      <c r="BR23" s="123"/>
      <c r="BS23" s="141"/>
      <c r="BT23" s="123"/>
      <c r="BU23" s="141"/>
      <c r="BV23" s="123"/>
      <c r="BW23" s="123"/>
      <c r="BX23" s="123"/>
      <c r="BY23" s="123"/>
      <c r="BZ23" s="123"/>
      <c r="CA23" s="123"/>
      <c r="CB23" s="143"/>
      <c r="CC23" s="140"/>
      <c r="CD23" s="120">
        <f>VLOOKUP(Tracker7[[#This Row],[DCR ID - PTC]],'STLA (2)'!$B:$W,18,FALSE)</f>
        <v>0</v>
      </c>
      <c r="CE23" s="120">
        <f>VLOOKUP(Tracker7[[#This Row],[DCR ID - PTC]],'STLA (2)'!$B:$W,19,FALSE)</f>
        <v>0</v>
      </c>
      <c r="CF23" s="120">
        <f>VLOOKUP(Tracker7[[#This Row],[DCR ID - PTC]],'STLA (2)'!$B:$W,20,FALSE)</f>
        <v>0</v>
      </c>
      <c r="CG23" s="123"/>
      <c r="CH23" s="120"/>
      <c r="CI23" s="120"/>
      <c r="CJ23" s="123"/>
    </row>
    <row r="24" spans="1:88" ht="409.5">
      <c r="A24" s="106" t="s">
        <v>766</v>
      </c>
      <c r="B24" s="107">
        <f>8+4+19+38+7.5+7.5+8+7.5+7.5+5.5+4+6.5+3+7+5+8+6+5+2+3+3+0.5+(2.5+2.5+3)</f>
        <v>173.5</v>
      </c>
      <c r="C24" s="49">
        <f>VLOOKUP(Tracker7[[#This Row],[DCR ID - PTC]],'STLA (2)'!$B:$W,11,FALSE)</f>
        <v>300</v>
      </c>
      <c r="D24" s="107"/>
      <c r="E24" s="108"/>
      <c r="F24" s="108" t="s">
        <v>216</v>
      </c>
      <c r="G24" s="121"/>
      <c r="H24" s="109">
        <v>17788154</v>
      </c>
      <c r="I24" s="109">
        <v>17788154</v>
      </c>
      <c r="J24" s="108" t="s">
        <v>1404</v>
      </c>
      <c r="K24" s="108" t="s">
        <v>118</v>
      </c>
      <c r="L24" s="108"/>
      <c r="M24" s="108"/>
      <c r="N24" s="108" t="s">
        <v>1405</v>
      </c>
      <c r="O24" s="111" t="s">
        <v>106</v>
      </c>
      <c r="P24" s="111"/>
      <c r="Q24" s="111"/>
      <c r="R24" s="111"/>
      <c r="S24" s="111"/>
      <c r="T24" s="111"/>
      <c r="U24" s="108"/>
      <c r="V24" s="108"/>
      <c r="W24" s="108"/>
      <c r="X24" s="108"/>
      <c r="Y24" s="108"/>
      <c r="Z24" s="108"/>
      <c r="AA24" s="108" t="s">
        <v>139</v>
      </c>
      <c r="AB24" s="112">
        <v>46080</v>
      </c>
      <c r="AC24" s="108" t="s">
        <v>165</v>
      </c>
      <c r="AD24" s="108" t="s">
        <v>93</v>
      </c>
      <c r="AE24" s="107"/>
      <c r="AF24" s="113"/>
      <c r="AG24" s="115">
        <v>46035.051608796297</v>
      </c>
      <c r="AH24" s="108" t="s">
        <v>94</v>
      </c>
      <c r="AI24" s="108" t="s">
        <v>95</v>
      </c>
      <c r="AJ24" s="114">
        <v>46112.395833333336</v>
      </c>
      <c r="AK24" s="108" t="s">
        <v>218</v>
      </c>
      <c r="AL24" s="115">
        <v>45960.064675925925</v>
      </c>
      <c r="AM24" s="116"/>
      <c r="AN24" s="116"/>
      <c r="AO24" s="116">
        <f>VLOOKUP(Tracker7[[#This Row],[DCR ID - PTC]],'STLA (2)'!$B:$W,21,FALSE)</f>
        <v>46196</v>
      </c>
      <c r="AP24" s="108"/>
      <c r="AQ24" s="107"/>
      <c r="AR24" s="107"/>
      <c r="AS24" s="116"/>
      <c r="AT24" s="114"/>
      <c r="AU24" s="114"/>
      <c r="AV24" s="108"/>
      <c r="AW24" s="108"/>
      <c r="AX24" s="108"/>
      <c r="AY24" s="108" t="s">
        <v>866</v>
      </c>
      <c r="AZ24" s="108"/>
      <c r="BA24" s="108"/>
      <c r="BB24" s="108"/>
      <c r="BC24" s="108"/>
      <c r="BD24" s="111"/>
      <c r="BE24" s="111"/>
      <c r="BF24" s="111"/>
      <c r="BG24" s="111"/>
      <c r="BH24" s="111"/>
      <c r="BI24" s="111"/>
      <c r="BJ24" s="111"/>
      <c r="BK24" s="111"/>
      <c r="BL24" s="111"/>
      <c r="BM24" s="117"/>
      <c r="BN24" s="111"/>
      <c r="BO24" s="117"/>
      <c r="BP24" s="117"/>
      <c r="BQ24" s="117"/>
      <c r="BR24" s="111"/>
      <c r="BS24" s="118"/>
      <c r="BT24" s="111"/>
      <c r="BU24" s="118"/>
      <c r="BV24" s="111"/>
      <c r="BW24" s="111"/>
      <c r="BX24" s="111"/>
      <c r="BY24" s="111"/>
      <c r="BZ24" s="111"/>
      <c r="CA24" s="111"/>
      <c r="CB24" s="119"/>
      <c r="CC24" s="117"/>
      <c r="CD24" s="120" t="str">
        <f>VLOOKUP(Tracker7[[#This Row],[DCR ID - PTC]],'STLA (2)'!$B:$W,18,FALSE)</f>
        <v xml:space="preserve">Migartion - 29-05-2026
V&amp;V - </v>
      </c>
      <c r="CE24" s="132" t="str">
        <f>VLOOKUP(Tracker7[[#This Row],[DCR ID - PTC]],'STLA (2)'!$B:$W,19,FALSE)</f>
        <v xml:space="preserve">Migartion - 03-06-2026
V&amp;V - </v>
      </c>
      <c r="CF24" s="132" t="str">
        <f>VLOOKUP(Tracker7[[#This Row],[DCR ID - PTC]],'STLA (2)'!$B:$W,20,FALSE)</f>
        <v xml:space="preserve">Migartion - 10-06-2026
V&amp;V - </v>
      </c>
      <c r="CG24" s="111"/>
      <c r="CH24" s="132"/>
      <c r="CI24" s="132"/>
      <c r="CJ24" s="111"/>
    </row>
    <row r="25" spans="1:88" ht="409.6">
      <c r="A25" s="146" t="s">
        <v>1406</v>
      </c>
      <c r="B25" s="107">
        <f>3.5+5.5+4.5+7+6.5+5.5+7+6+7.75+6.5+7.75+7.75+7.75+7.5+7.75+7+6+1.5+3.5+7.75+2.75+1+7.75+5+1+2+1.5</f>
        <v>145</v>
      </c>
      <c r="C25" s="49">
        <f>VLOOKUP(Tracker7[[#This Row],[DCR ID - PTC]],'STLA (2)'!$B:$W,11,FALSE)</f>
        <v>130</v>
      </c>
      <c r="D25" s="107">
        <f>Tracker7[[#This Row],[Estimated Hrs]]-Tracker7[[#This Row],[Actual Efforts (Hrs)]]</f>
        <v>-15</v>
      </c>
      <c r="E25" s="108"/>
      <c r="F25" s="108"/>
      <c r="G25" s="121"/>
      <c r="H25" s="109">
        <v>19631063</v>
      </c>
      <c r="I25" s="127"/>
      <c r="J25" s="107" t="s">
        <v>1407</v>
      </c>
      <c r="K25" s="108" t="s">
        <v>118</v>
      </c>
      <c r="L25" s="108"/>
      <c r="M25" s="108"/>
      <c r="N25" s="110" t="s">
        <v>1408</v>
      </c>
      <c r="O25" s="111" t="s">
        <v>115</v>
      </c>
      <c r="P25" s="111"/>
      <c r="Q25" s="111"/>
      <c r="R25" s="111"/>
      <c r="S25" s="111"/>
      <c r="T25" s="111"/>
      <c r="U25" s="108"/>
      <c r="V25" s="108"/>
      <c r="W25" s="108"/>
      <c r="X25" s="108"/>
      <c r="Y25" s="108"/>
      <c r="Z25" s="108"/>
      <c r="AA25" s="108"/>
      <c r="AB25" s="112"/>
      <c r="AC25" s="108"/>
      <c r="AD25" s="108"/>
      <c r="AE25" s="107"/>
      <c r="AF25" s="113"/>
      <c r="AG25" s="115"/>
      <c r="AH25" s="108"/>
      <c r="AI25" s="108"/>
      <c r="AJ25" s="114"/>
      <c r="AK25" s="108"/>
      <c r="AL25" s="115"/>
      <c r="AM25" s="116"/>
      <c r="AN25" s="116"/>
      <c r="AO25" s="116">
        <f>VLOOKUP(Tracker7[[#This Row],[DCR ID - PTC]],'STLA (2)'!$B:$W,21,FALSE)</f>
        <v>46206</v>
      </c>
      <c r="AP25" s="108"/>
      <c r="AQ25" s="107"/>
      <c r="AR25" s="107"/>
      <c r="AS25" s="116"/>
      <c r="AT25" s="114"/>
      <c r="AU25" s="114"/>
      <c r="AV25" s="108"/>
      <c r="AW25" s="108"/>
      <c r="AX25" s="108"/>
      <c r="AY25" s="108"/>
      <c r="AZ25" s="108"/>
      <c r="BA25" s="108"/>
      <c r="BB25" s="108"/>
      <c r="BC25" s="108"/>
      <c r="BD25" s="111"/>
      <c r="BE25" s="111"/>
      <c r="BF25" s="111"/>
      <c r="BG25" s="111"/>
      <c r="BH25" s="111"/>
      <c r="BI25" s="111"/>
      <c r="BJ25" s="111"/>
      <c r="BK25" s="111"/>
      <c r="BL25" s="111"/>
      <c r="BM25" s="117"/>
      <c r="BN25" s="111"/>
      <c r="BO25" s="117"/>
      <c r="BP25" s="117"/>
      <c r="BQ25" s="117"/>
      <c r="BR25" s="111"/>
      <c r="BS25" s="118"/>
      <c r="BT25" s="111"/>
      <c r="BU25" s="118"/>
      <c r="BV25" s="111"/>
      <c r="BW25" s="111"/>
      <c r="BX25" s="111"/>
      <c r="BY25" s="111"/>
      <c r="BZ25" s="111"/>
      <c r="CA25" s="111"/>
      <c r="CB25" s="119"/>
      <c r="CC25" s="117"/>
      <c r="CD25" s="120" t="str">
        <f>VLOOKUP(Tracker7[[#This Row],[DCR ID - PTC]],'STLA (2)'!$B:$W,18,FALSE)</f>
        <v>03-06-2026 to 18-06-2026</v>
      </c>
      <c r="CE25" s="132" t="str">
        <f>VLOOKUP(Tracker7[[#This Row],[DCR ID - PTC]],'STLA (2)'!$B:$W,19,FALSE)</f>
        <v>09-06-2026 to 24-06-2026</v>
      </c>
      <c r="CF25" s="132" t="str">
        <f>VLOOKUP(Tracker7[[#This Row],[DCR ID - PTC]],'STLA (2)'!$B:$W,20,FALSE)</f>
        <v>25/06/2026</v>
      </c>
      <c r="CG25" s="111"/>
      <c r="CH25" s="132"/>
      <c r="CI25" s="132"/>
      <c r="CJ25" s="111"/>
    </row>
    <row r="26" spans="1:88" ht="409.5">
      <c r="A26" s="106" t="s">
        <v>314</v>
      </c>
      <c r="B26" s="49">
        <f>14.5+7+4+5.5+7+8+8+4+8+2+8+8+6+7+7.5+7+7.5+15.5+7.5+8.5+7.5+7.5+2+6+(2+15)</f>
        <v>190.5</v>
      </c>
      <c r="C26" s="49">
        <v>150</v>
      </c>
      <c r="D26" s="49"/>
      <c r="E26" s="134"/>
      <c r="F26" s="134" t="s">
        <v>216</v>
      </c>
      <c r="G26" s="150"/>
      <c r="H26" s="135">
        <v>17788154</v>
      </c>
      <c r="I26" s="149"/>
      <c r="J26" s="134" t="s">
        <v>1404</v>
      </c>
      <c r="K26" s="134" t="s">
        <v>101</v>
      </c>
      <c r="L26" s="134"/>
      <c r="M26" s="134"/>
      <c r="N26" s="108" t="s">
        <v>1409</v>
      </c>
      <c r="O26" s="123" t="s">
        <v>115</v>
      </c>
      <c r="P26" s="123"/>
      <c r="Q26" s="123"/>
      <c r="R26" s="123"/>
      <c r="S26" s="123"/>
      <c r="T26" s="123"/>
      <c r="U26" s="134"/>
      <c r="V26" s="134"/>
      <c r="W26" s="134"/>
      <c r="X26" s="134"/>
      <c r="Y26" s="134"/>
      <c r="Z26" s="134"/>
      <c r="AA26" s="134" t="s">
        <v>139</v>
      </c>
      <c r="AB26" s="29">
        <v>46080</v>
      </c>
      <c r="AC26" s="134" t="s">
        <v>165</v>
      </c>
      <c r="AD26" s="134" t="s">
        <v>93</v>
      </c>
      <c r="AE26" s="49"/>
      <c r="AF26" s="136"/>
      <c r="AG26" s="137">
        <v>46035.051608796297</v>
      </c>
      <c r="AH26" s="134" t="s">
        <v>94</v>
      </c>
      <c r="AI26" s="134" t="s">
        <v>95</v>
      </c>
      <c r="AJ26" s="138">
        <v>46112.395833333336</v>
      </c>
      <c r="AK26" s="134" t="s">
        <v>218</v>
      </c>
      <c r="AL26" s="137">
        <v>45960.064675925925</v>
      </c>
      <c r="AM26" s="139"/>
      <c r="AN26" s="139"/>
      <c r="AO26" s="116">
        <f>VLOOKUP(Tracker7[[#This Row],[DCR ID - PTC]],'STLA (2)'!$B:$W,21,FALSE)</f>
        <v>46196</v>
      </c>
      <c r="AP26" s="134"/>
      <c r="AQ26" s="49"/>
      <c r="AR26" s="49"/>
      <c r="AS26" s="139"/>
      <c r="AT26" s="138"/>
      <c r="AU26" s="138"/>
      <c r="AV26" s="134"/>
      <c r="AW26" s="134"/>
      <c r="AX26" s="134"/>
      <c r="AY26" s="134" t="s">
        <v>866</v>
      </c>
      <c r="AZ26" s="134"/>
      <c r="BA26" s="134"/>
      <c r="BB26" s="134"/>
      <c r="BC26" s="134"/>
      <c r="BD26" s="123"/>
      <c r="BE26" s="123"/>
      <c r="BF26" s="123"/>
      <c r="BG26" s="123"/>
      <c r="BH26" s="123"/>
      <c r="BI26" s="123"/>
      <c r="BJ26" s="123"/>
      <c r="BK26" s="123"/>
      <c r="BL26" s="123"/>
      <c r="BM26" s="117"/>
      <c r="BN26" s="123"/>
      <c r="BO26" s="140"/>
      <c r="BP26" s="140"/>
      <c r="BQ26" s="140"/>
      <c r="BR26" s="123"/>
      <c r="BS26" s="141"/>
      <c r="BT26" s="123"/>
      <c r="BU26" s="141"/>
      <c r="BV26" s="123"/>
      <c r="BW26" s="123"/>
      <c r="BX26" s="123"/>
      <c r="BY26" s="123"/>
      <c r="BZ26" s="123"/>
      <c r="CA26" s="123"/>
      <c r="CB26" s="143"/>
      <c r="CC26" s="140"/>
      <c r="CD26" s="120" t="str">
        <f>VLOOKUP(Tracker7[[#This Row],[DCR ID - PTC]],'STLA (2)'!$B:$W,18,FALSE)</f>
        <v xml:space="preserve">Migartion - 29-05-2026
V&amp;V - </v>
      </c>
      <c r="CE26" s="120" t="str">
        <f>VLOOKUP(Tracker7[[#This Row],[DCR ID - PTC]],'STLA (2)'!$B:$W,19,FALSE)</f>
        <v xml:space="preserve">Migartion - 03-06-2026
V&amp;V - </v>
      </c>
      <c r="CF26" s="120" t="str">
        <f>VLOOKUP(Tracker7[[#This Row],[DCR ID - PTC]],'STLA (2)'!$B:$W,20,FALSE)</f>
        <v xml:space="preserve">Migartion - 10-06-2026
V&amp;V - </v>
      </c>
      <c r="CG26" s="123"/>
      <c r="CH26" s="120"/>
      <c r="CI26" s="120"/>
      <c r="CJ26" s="123"/>
    </row>
    <row r="27" spans="1:88" ht="217.5">
      <c r="A27" s="147" t="s">
        <v>1410</v>
      </c>
      <c r="B27" s="49">
        <f>6+7+8+7+7+7+7+7+(3+2.5+5)</f>
        <v>66.5</v>
      </c>
      <c r="C27" s="49">
        <f>VLOOKUP(Tracker7[[#This Row],[DCR ID - PTC]],'STLA (2)'!$B:$W,11,FALSE)</f>
        <v>40</v>
      </c>
      <c r="D27" s="49">
        <v>0</v>
      </c>
      <c r="E27" s="134"/>
      <c r="F27" s="134"/>
      <c r="G27" s="150"/>
      <c r="H27" s="135">
        <v>19567429</v>
      </c>
      <c r="I27" s="149"/>
      <c r="J27" s="134" t="s">
        <v>1387</v>
      </c>
      <c r="K27" s="134" t="s">
        <v>118</v>
      </c>
      <c r="L27" s="134"/>
      <c r="M27" s="134"/>
      <c r="N27" s="108" t="s">
        <v>1411</v>
      </c>
      <c r="O27" s="123" t="s">
        <v>115</v>
      </c>
      <c r="P27" s="123"/>
      <c r="Q27" s="123"/>
      <c r="R27" s="123"/>
      <c r="S27" s="123"/>
      <c r="T27" s="123"/>
      <c r="U27" s="134"/>
      <c r="V27" s="134"/>
      <c r="W27" s="134"/>
      <c r="X27" s="134"/>
      <c r="Y27" s="134"/>
      <c r="Z27" s="134"/>
      <c r="AA27" s="134"/>
      <c r="AC27" s="134"/>
      <c r="AD27" s="134" t="s">
        <v>146</v>
      </c>
      <c r="AE27" s="49"/>
      <c r="AF27" s="136"/>
      <c r="AG27" s="137"/>
      <c r="AH27" s="134" t="s">
        <v>109</v>
      </c>
      <c r="AI27" s="134" t="s">
        <v>95</v>
      </c>
      <c r="AJ27" s="138">
        <v>44592</v>
      </c>
      <c r="AK27" s="134" t="s">
        <v>96</v>
      </c>
      <c r="AL27" s="137">
        <v>46141.118159722224</v>
      </c>
      <c r="AM27" s="139"/>
      <c r="AN27" s="139"/>
      <c r="AO27" s="116">
        <f>VLOOKUP(Tracker7[[#This Row],[DCR ID - PTC]],'STLA (2)'!$B:$W,21,FALSE)</f>
        <v>46185</v>
      </c>
      <c r="AP27" s="134"/>
      <c r="AQ27" s="49"/>
      <c r="AR27" s="49"/>
      <c r="AS27" s="139"/>
      <c r="AT27" s="138"/>
      <c r="AU27" s="138"/>
      <c r="AV27" s="134"/>
      <c r="AW27" s="134"/>
      <c r="AX27" s="134"/>
      <c r="AY27" s="134" t="s">
        <v>866</v>
      </c>
      <c r="AZ27" s="134"/>
      <c r="BA27" s="134"/>
      <c r="BB27" s="134"/>
      <c r="BC27" s="134"/>
      <c r="BD27" s="123"/>
      <c r="BE27" s="123"/>
      <c r="BF27" s="123"/>
      <c r="BG27" s="123"/>
      <c r="BH27" s="123"/>
      <c r="BI27" s="123"/>
      <c r="BJ27" s="123"/>
      <c r="BK27" s="123"/>
      <c r="BL27" s="123"/>
      <c r="BM27" s="117"/>
      <c r="BN27" s="123"/>
      <c r="BO27" s="140"/>
      <c r="BP27" s="140"/>
      <c r="BQ27" s="140"/>
      <c r="BR27" s="123"/>
      <c r="BS27" s="141"/>
      <c r="BT27" s="123"/>
      <c r="BU27" s="141"/>
      <c r="BV27" s="123"/>
      <c r="BW27" s="123"/>
      <c r="BX27" s="123"/>
      <c r="BY27" s="123"/>
      <c r="BZ27" s="123"/>
      <c r="CA27" s="123"/>
      <c r="CB27" s="143"/>
      <c r="CC27" s="140"/>
      <c r="CD27" s="120">
        <f>VLOOKUP(Tracker7[[#This Row],[DCR ID - PTC]],'STLA (2)'!$B:$W,18,FALSE)</f>
        <v>46177</v>
      </c>
      <c r="CE27" s="120">
        <f>VLOOKUP(Tracker7[[#This Row],[DCR ID - PTC]],'STLA (2)'!$B:$W,19,FALSE)</f>
        <v>46178</v>
      </c>
      <c r="CF27" s="120">
        <f>VLOOKUP(Tracker7[[#This Row],[DCR ID - PTC]],'STLA (2)'!$B:$W,20,FALSE)</f>
        <v>46181</v>
      </c>
      <c r="CG27" s="123"/>
      <c r="CH27" s="120"/>
      <c r="CI27" s="120"/>
      <c r="CJ27" s="123"/>
    </row>
    <row r="28" spans="1:88" ht="57.95">
      <c r="A28" s="106" t="s">
        <v>449</v>
      </c>
      <c r="B28" s="107">
        <f>5+5+5</f>
        <v>15</v>
      </c>
      <c r="C28" s="49">
        <f>VLOOKUP(Tracker7[[#This Row],[DCR ID - PTC]],'STLA (2)'!$B:$W,11,FALSE)</f>
        <v>260</v>
      </c>
      <c r="D28" s="107">
        <v>0</v>
      </c>
      <c r="E28" s="108"/>
      <c r="F28" s="108" t="s">
        <v>1377</v>
      </c>
      <c r="G28" s="121"/>
      <c r="H28" s="109">
        <v>18578158</v>
      </c>
      <c r="I28" s="127"/>
      <c r="J28" s="108" t="s">
        <v>1412</v>
      </c>
      <c r="K28" s="108" t="s">
        <v>179</v>
      </c>
      <c r="L28" s="108"/>
      <c r="M28" s="108"/>
      <c r="N28" s="108" t="s">
        <v>1413</v>
      </c>
      <c r="O28" s="111" t="s">
        <v>201</v>
      </c>
      <c r="P28" s="111"/>
      <c r="Q28" s="111"/>
      <c r="R28" s="111"/>
      <c r="S28" s="111"/>
      <c r="T28" s="111"/>
      <c r="U28" s="108"/>
      <c r="V28" s="108"/>
      <c r="W28" s="108"/>
      <c r="X28" s="108"/>
      <c r="Y28" s="108"/>
      <c r="Z28" s="108"/>
      <c r="AA28" s="108"/>
      <c r="AB28" s="112"/>
      <c r="AC28" s="108"/>
      <c r="AD28" s="108" t="s">
        <v>93</v>
      </c>
      <c r="AE28" s="107"/>
      <c r="AF28" s="113"/>
      <c r="AG28" s="115"/>
      <c r="AH28" s="116" t="s">
        <v>109</v>
      </c>
      <c r="AI28" s="114" t="s">
        <v>95</v>
      </c>
      <c r="AJ28" s="114">
        <v>46142.395833333336</v>
      </c>
      <c r="AK28" s="108" t="s">
        <v>218</v>
      </c>
      <c r="AL28" s="115">
        <v>46108.108530092592</v>
      </c>
      <c r="AM28" s="116"/>
      <c r="AN28" s="116"/>
      <c r="AO28" s="116" t="str">
        <f>VLOOKUP(Tracker7[[#This Row],[DCR ID - PTC]],'STLA (2)'!$B:$W,21,FALSE)</f>
        <v>TBD</v>
      </c>
      <c r="AP28" s="108"/>
      <c r="AQ28" s="107"/>
      <c r="AR28" s="107"/>
      <c r="AS28" s="116"/>
      <c r="AT28" s="114"/>
      <c r="AU28" s="114"/>
      <c r="AV28" s="108"/>
      <c r="AW28" s="108"/>
      <c r="AX28" s="108"/>
      <c r="AY28" s="108" t="s">
        <v>866</v>
      </c>
      <c r="AZ28" s="108"/>
      <c r="BA28" s="108"/>
      <c r="BB28" s="108"/>
      <c r="BC28" s="108"/>
      <c r="BD28" s="111"/>
      <c r="BE28" s="111"/>
      <c r="BF28" s="111"/>
      <c r="BG28" s="111"/>
      <c r="BH28" s="111"/>
      <c r="BI28" s="111"/>
      <c r="BJ28" s="111"/>
      <c r="BK28" s="111"/>
      <c r="BL28" s="111"/>
      <c r="BM28" s="117"/>
      <c r="BN28" s="111"/>
      <c r="BO28" s="117"/>
      <c r="BP28" s="117"/>
      <c r="BQ28" s="117"/>
      <c r="BR28" s="111"/>
      <c r="BS28" s="118"/>
      <c r="BT28" s="111"/>
      <c r="BU28" s="118"/>
      <c r="BV28" s="111"/>
      <c r="BW28" s="111"/>
      <c r="BX28" s="111"/>
      <c r="BY28" s="111"/>
      <c r="BZ28" s="111"/>
      <c r="CA28" s="111"/>
      <c r="CB28" s="119"/>
      <c r="CC28" s="117"/>
      <c r="CD28" s="132" t="str">
        <f>VLOOKUP(Tracker7[[#This Row],[DCR ID - PTC]],'STLA (2)'!$B:$W,18,FALSE)</f>
        <v>TBD</v>
      </c>
      <c r="CE28" s="132" t="str">
        <f>VLOOKUP(Tracker7[[#This Row],[DCR ID - PTC]],'STLA (2)'!$B:$W,19,FALSE)</f>
        <v>TBD</v>
      </c>
      <c r="CF28" s="132" t="str">
        <f>VLOOKUP(Tracker7[[#This Row],[DCR ID - PTC]],'STLA (2)'!$B:$W,20,FALSE)</f>
        <v>TBD</v>
      </c>
      <c r="CG28" s="111"/>
      <c r="CH28" s="132"/>
      <c r="CI28" s="132"/>
      <c r="CJ28" s="111"/>
    </row>
    <row r="29" spans="1:88" ht="409.5">
      <c r="A29" s="106" t="s">
        <v>1380</v>
      </c>
      <c r="B29" s="49">
        <f>7+7.5+7+7+7+7.5+7.5+7.5+8+8+8+7+4</f>
        <v>93</v>
      </c>
      <c r="C29" s="49">
        <f>VLOOKUP(Tracker7[[#This Row],[DCR ID - PTC]],'STLA (2)'!$B:$W,11,FALSE)+24</f>
        <v>54</v>
      </c>
      <c r="D29" s="49">
        <v>0</v>
      </c>
      <c r="E29" s="134"/>
      <c r="F29" s="134" t="s">
        <v>1377</v>
      </c>
      <c r="G29" s="150"/>
      <c r="H29" s="135">
        <v>19307982</v>
      </c>
      <c r="I29" s="135">
        <v>19307982</v>
      </c>
      <c r="J29" s="134" t="s">
        <v>1384</v>
      </c>
      <c r="K29" s="134" t="s">
        <v>118</v>
      </c>
      <c r="L29" s="134"/>
      <c r="M29" s="134"/>
      <c r="N29" s="108" t="s">
        <v>1414</v>
      </c>
      <c r="O29" s="123" t="s">
        <v>106</v>
      </c>
      <c r="P29" s="123"/>
      <c r="Q29" s="123"/>
      <c r="R29" s="123"/>
      <c r="S29" s="123"/>
      <c r="T29" s="123"/>
      <c r="U29" s="134"/>
      <c r="V29" s="134"/>
      <c r="W29" s="134"/>
      <c r="X29" s="134"/>
      <c r="Y29" s="134"/>
      <c r="Z29" s="134"/>
      <c r="AA29" s="134"/>
      <c r="AC29" s="134"/>
      <c r="AD29" s="134" t="s">
        <v>93</v>
      </c>
      <c r="AE29" s="49"/>
      <c r="AF29" s="136"/>
      <c r="AG29" s="137"/>
      <c r="AH29" s="139" t="s">
        <v>109</v>
      </c>
      <c r="AI29" s="138" t="s">
        <v>95</v>
      </c>
      <c r="AJ29" s="138">
        <v>46142.395833333336</v>
      </c>
      <c r="AK29" s="134" t="s">
        <v>218</v>
      </c>
      <c r="AL29" s="137">
        <v>46108.108530092592</v>
      </c>
      <c r="AM29" s="139"/>
      <c r="AN29" s="139"/>
      <c r="AO29" s="116">
        <f>VLOOKUP(Tracker7[[#This Row],[DCR ID - PTC]],'STLA (2)'!$B:$W,21,FALSE)</f>
        <v>46196</v>
      </c>
      <c r="AP29" s="134"/>
      <c r="AQ29" s="49"/>
      <c r="AR29" s="49"/>
      <c r="AS29" s="139"/>
      <c r="AT29" s="138"/>
      <c r="AU29" s="138"/>
      <c r="AV29" s="134"/>
      <c r="AW29" s="134"/>
      <c r="AX29" s="134"/>
      <c r="AY29" s="134" t="s">
        <v>866</v>
      </c>
      <c r="AZ29" s="134"/>
      <c r="BA29" s="134"/>
      <c r="BB29" s="134"/>
      <c r="BC29" s="134"/>
      <c r="BD29" s="123"/>
      <c r="BE29" s="123"/>
      <c r="BF29" s="123"/>
      <c r="BG29" s="123"/>
      <c r="BH29" s="123"/>
      <c r="BI29" s="123"/>
      <c r="BJ29" s="123"/>
      <c r="BK29" s="123"/>
      <c r="BL29" s="123"/>
      <c r="BM29" s="117"/>
      <c r="BN29" s="123"/>
      <c r="BO29" s="140"/>
      <c r="BP29" s="140"/>
      <c r="BQ29" s="140"/>
      <c r="BR29" s="123"/>
      <c r="BS29" s="141"/>
      <c r="BT29" s="123"/>
      <c r="BU29" s="141"/>
      <c r="BV29" s="123"/>
      <c r="BW29" s="123"/>
      <c r="BX29" s="123"/>
      <c r="BY29" s="123"/>
      <c r="BZ29" s="123"/>
      <c r="CA29" s="123"/>
      <c r="CB29" s="143"/>
      <c r="CC29" s="140"/>
      <c r="CD29" s="120">
        <f>VLOOKUP(Tracker7[[#This Row],[DCR ID - PTC]],'STLA (2)'!$B:$W,18,FALSE)</f>
        <v>46188</v>
      </c>
      <c r="CE29" s="120">
        <f>VLOOKUP(Tracker7[[#This Row],[DCR ID - PTC]],'STLA (2)'!$B:$W,19,FALSE)</f>
        <v>46189</v>
      </c>
      <c r="CF29" s="120">
        <f>VLOOKUP(Tracker7[[#This Row],[DCR ID - PTC]],'STLA (2)'!$B:$W,20,FALSE)</f>
        <v>46190</v>
      </c>
      <c r="CG29" s="123"/>
      <c r="CH29" s="120"/>
      <c r="CI29" s="120"/>
      <c r="CJ29" s="123"/>
    </row>
    <row r="30" spans="1:88" ht="72.599999999999994">
      <c r="A30" s="106" t="s">
        <v>1380</v>
      </c>
      <c r="B30" s="107"/>
      <c r="C30" s="49">
        <v>0</v>
      </c>
      <c r="D30" s="107">
        <v>0</v>
      </c>
      <c r="E30" s="108"/>
      <c r="F30" s="108"/>
      <c r="G30" s="121"/>
      <c r="H30" s="109">
        <v>19578660</v>
      </c>
      <c r="I30" s="109">
        <v>19578660</v>
      </c>
      <c r="J30" s="107" t="s">
        <v>1390</v>
      </c>
      <c r="K30" s="108" t="s">
        <v>118</v>
      </c>
      <c r="L30" s="108"/>
      <c r="M30" s="108"/>
      <c r="N30" s="108" t="s">
        <v>1415</v>
      </c>
      <c r="O30" s="111" t="s">
        <v>106</v>
      </c>
      <c r="P30" s="111"/>
      <c r="Q30" s="111"/>
      <c r="R30" s="111"/>
      <c r="S30" s="111"/>
      <c r="T30" s="111"/>
      <c r="U30" s="108"/>
      <c r="V30" s="108"/>
      <c r="W30" s="108"/>
      <c r="X30" s="108"/>
      <c r="Y30" s="108"/>
      <c r="Z30" s="108"/>
      <c r="AA30" s="108"/>
      <c r="AB30" s="112"/>
      <c r="AC30" s="108"/>
      <c r="AD30" s="108" t="s">
        <v>93</v>
      </c>
      <c r="AE30" s="107"/>
      <c r="AF30" s="113"/>
      <c r="AG30" s="115"/>
      <c r="AH30" s="108" t="s">
        <v>109</v>
      </c>
      <c r="AI30" s="108" t="s">
        <v>95</v>
      </c>
      <c r="AJ30" s="114">
        <v>46196.395833333336</v>
      </c>
      <c r="AK30" s="108" t="s">
        <v>218</v>
      </c>
      <c r="AL30" s="115">
        <v>46142.786064814813</v>
      </c>
      <c r="AM30" s="116"/>
      <c r="AN30" s="116"/>
      <c r="AO30" s="116">
        <f>VLOOKUP(Tracker7[[#This Row],[DCR ID - PTC]],'STLA (2)'!$B:$W,21,FALSE)</f>
        <v>46196</v>
      </c>
      <c r="AP30" s="108"/>
      <c r="AQ30" s="107"/>
      <c r="AR30" s="107"/>
      <c r="AS30" s="116"/>
      <c r="AT30" s="114"/>
      <c r="AU30" s="114"/>
      <c r="AV30" s="108"/>
      <c r="AW30" s="108"/>
      <c r="AX30" s="108"/>
      <c r="AY30" s="108" t="s">
        <v>866</v>
      </c>
      <c r="AZ30" s="108"/>
      <c r="BA30" s="108"/>
      <c r="BB30" s="108"/>
      <c r="BC30" s="108"/>
      <c r="BD30" s="111"/>
      <c r="BE30" s="111"/>
      <c r="BF30" s="111"/>
      <c r="BG30" s="111"/>
      <c r="BH30" s="111"/>
      <c r="BI30" s="111"/>
      <c r="BJ30" s="111"/>
      <c r="BK30" s="111"/>
      <c r="BL30" s="111"/>
      <c r="BM30" s="117"/>
      <c r="BN30" s="111"/>
      <c r="BO30" s="117"/>
      <c r="BP30" s="117"/>
      <c r="BQ30" s="117"/>
      <c r="BR30" s="111"/>
      <c r="BS30" s="118"/>
      <c r="BT30" s="111"/>
      <c r="BU30" s="118"/>
      <c r="BV30" s="111"/>
      <c r="BW30" s="111"/>
      <c r="BX30" s="111"/>
      <c r="BY30" s="111"/>
      <c r="BZ30" s="111"/>
      <c r="CA30" s="111"/>
      <c r="CB30" s="119"/>
      <c r="CC30" s="117"/>
      <c r="CD30" s="120">
        <f>VLOOKUP(Tracker7[[#This Row],[DCR ID - PTC]],'STLA (2)'!$B:$W,18,FALSE)</f>
        <v>46183</v>
      </c>
      <c r="CE30" s="132">
        <f>VLOOKUP(Tracker7[[#This Row],[DCR ID - PTC]],'STLA (2)'!$B:$W,19,FALSE)</f>
        <v>46185</v>
      </c>
      <c r="CF30" s="132">
        <f>VLOOKUP(Tracker7[[#This Row],[DCR ID - PTC]],'STLA (2)'!$B:$W,20,FALSE)</f>
        <v>46188</v>
      </c>
      <c r="CG30" s="111"/>
      <c r="CH30" s="132"/>
      <c r="CI30" s="132"/>
      <c r="CJ30" s="111"/>
    </row>
    <row r="31" spans="1:88" ht="90.95" customHeight="1">
      <c r="A31" s="106" t="s">
        <v>1376</v>
      </c>
      <c r="B31" s="49"/>
      <c r="C31" s="49">
        <f>VLOOKUP(Tracker7[[#This Row],[DCR ID - PTC]],'STLA (2)'!$B:$W,11,FALSE)</f>
        <v>0</v>
      </c>
      <c r="D31" s="49">
        <v>0</v>
      </c>
      <c r="E31" s="134"/>
      <c r="F31" s="134"/>
      <c r="G31" s="150"/>
      <c r="H31" s="573">
        <v>14362752</v>
      </c>
      <c r="I31" s="574">
        <v>14362752</v>
      </c>
      <c r="J31" s="575" t="s">
        <v>1416</v>
      </c>
      <c r="K31" s="134" t="s">
        <v>118</v>
      </c>
      <c r="L31" s="134"/>
      <c r="M31" s="134"/>
      <c r="N31" s="108" t="s">
        <v>1417</v>
      </c>
      <c r="O31" s="123" t="s">
        <v>106</v>
      </c>
      <c r="P31" s="123"/>
      <c r="Q31" s="123"/>
      <c r="R31" s="123"/>
      <c r="S31" s="123"/>
      <c r="T31" s="123"/>
      <c r="U31" s="134"/>
      <c r="V31" s="134"/>
      <c r="W31" s="134"/>
      <c r="X31" s="134"/>
      <c r="Y31" s="134"/>
      <c r="Z31" s="134"/>
      <c r="AA31" s="134"/>
      <c r="AC31" s="134"/>
      <c r="AD31" s="134" t="s">
        <v>93</v>
      </c>
      <c r="AE31" s="49"/>
      <c r="AF31" s="136"/>
      <c r="AG31" s="137"/>
      <c r="AH31" s="134" t="s">
        <v>109</v>
      </c>
      <c r="AI31" s="134" t="s">
        <v>95</v>
      </c>
      <c r="AJ31" s="138">
        <v>46196.395833333336</v>
      </c>
      <c r="AK31" s="134" t="s">
        <v>218</v>
      </c>
      <c r="AL31" s="137">
        <v>46142.786064814813</v>
      </c>
      <c r="AM31" s="139"/>
      <c r="AN31" s="139"/>
      <c r="AO31" s="116">
        <f>VLOOKUP(Tracker7[[#This Row],[DCR ID - PTC]],'STLA (2)'!$B:$W,21,FALSE)</f>
        <v>46192</v>
      </c>
      <c r="AP31" s="134"/>
      <c r="AQ31" s="49"/>
      <c r="AR31" s="49"/>
      <c r="AS31" s="139"/>
      <c r="AT31" s="138"/>
      <c r="AU31" s="138"/>
      <c r="AV31" s="134"/>
      <c r="AW31" s="134"/>
      <c r="AX31" s="134"/>
      <c r="AY31" s="134" t="s">
        <v>866</v>
      </c>
      <c r="AZ31" s="134"/>
      <c r="BA31" s="134"/>
      <c r="BB31" s="134"/>
      <c r="BC31" s="134"/>
      <c r="BD31" s="123"/>
      <c r="BE31" s="123"/>
      <c r="BF31" s="123"/>
      <c r="BG31" s="123"/>
      <c r="BH31" s="123"/>
      <c r="BI31" s="123"/>
      <c r="BJ31" s="123"/>
      <c r="BK31" s="123"/>
      <c r="BL31" s="123"/>
      <c r="BM31" s="117"/>
      <c r="BN31" s="123"/>
      <c r="BO31" s="140"/>
      <c r="BP31" s="140"/>
      <c r="BQ31" s="140"/>
      <c r="BR31" s="123"/>
      <c r="BS31" s="141"/>
      <c r="BT31" s="123"/>
      <c r="BU31" s="141"/>
      <c r="BV31" s="123"/>
      <c r="BW31" s="123"/>
      <c r="BX31" s="123"/>
      <c r="BY31" s="123"/>
      <c r="BZ31" s="123"/>
      <c r="CA31" s="123"/>
      <c r="CB31" s="143"/>
      <c r="CC31" s="140"/>
      <c r="CD31" s="120">
        <f>VLOOKUP(Tracker7[[#This Row],[DCR ID - PTC]],'STLA (2)'!$B:$W,18,FALSE)</f>
        <v>46178</v>
      </c>
      <c r="CE31" s="120">
        <f>VLOOKUP(Tracker7[[#This Row],[DCR ID - PTC]],'STLA (2)'!$B:$W,19,FALSE)</f>
        <v>46183</v>
      </c>
      <c r="CF31" s="120">
        <f>VLOOKUP(Tracker7[[#This Row],[DCR ID - PTC]],'STLA (2)'!$B:$W,20,FALSE)</f>
        <v>46185</v>
      </c>
      <c r="CG31" s="123"/>
      <c r="CH31" s="120"/>
      <c r="CI31" s="120"/>
      <c r="CJ31" s="123"/>
    </row>
    <row r="32" spans="1:88" ht="57.95">
      <c r="A32" s="106" t="s">
        <v>1376</v>
      </c>
      <c r="B32" s="49"/>
      <c r="C32" s="49">
        <f>VLOOKUP(Tracker7[[#This Row],[DCR ID - PTC]],'STLA (2)'!$B:$W,11,FALSE)</f>
        <v>0</v>
      </c>
      <c r="D32" s="49">
        <v>0</v>
      </c>
      <c r="E32" s="134"/>
      <c r="F32" s="134"/>
      <c r="G32" s="150"/>
      <c r="H32" s="573">
        <v>18652314</v>
      </c>
      <c r="I32" s="574">
        <v>18652314</v>
      </c>
      <c r="J32" s="575" t="s">
        <v>1418</v>
      </c>
      <c r="K32" s="134" t="s">
        <v>118</v>
      </c>
      <c r="L32" s="134"/>
      <c r="M32" s="134"/>
      <c r="N32" s="108" t="s">
        <v>1417</v>
      </c>
      <c r="O32" s="123" t="s">
        <v>106</v>
      </c>
      <c r="P32" s="123"/>
      <c r="Q32" s="123"/>
      <c r="R32" s="123"/>
      <c r="S32" s="123"/>
      <c r="T32" s="123"/>
      <c r="U32" s="134"/>
      <c r="V32" s="134"/>
      <c r="W32" s="134"/>
      <c r="X32" s="134"/>
      <c r="Y32" s="134"/>
      <c r="Z32" s="134"/>
      <c r="AA32" s="134"/>
      <c r="AC32" s="134"/>
      <c r="AD32" s="134" t="s">
        <v>93</v>
      </c>
      <c r="AE32" s="49"/>
      <c r="AF32" s="136"/>
      <c r="AG32" s="137"/>
      <c r="AH32" s="134" t="s">
        <v>109</v>
      </c>
      <c r="AI32" s="134" t="s">
        <v>95</v>
      </c>
      <c r="AJ32" s="138">
        <v>46196.395833333336</v>
      </c>
      <c r="AK32" s="134" t="s">
        <v>218</v>
      </c>
      <c r="AL32" s="137">
        <v>46142.786064814813</v>
      </c>
      <c r="AM32" s="139"/>
      <c r="AN32" s="139"/>
      <c r="AO32" s="116">
        <f>VLOOKUP(Tracker7[[#This Row],[DCR ID - PTC]],'STLA (2)'!$B:$W,21,FALSE)</f>
        <v>46192</v>
      </c>
      <c r="AP32" s="134"/>
      <c r="AQ32" s="49"/>
      <c r="AR32" s="49"/>
      <c r="AS32" s="139"/>
      <c r="AT32" s="138"/>
      <c r="AU32" s="138"/>
      <c r="AV32" s="134"/>
      <c r="AW32" s="134"/>
      <c r="AX32" s="134"/>
      <c r="AY32" s="134" t="s">
        <v>866</v>
      </c>
      <c r="AZ32" s="134"/>
      <c r="BA32" s="134"/>
      <c r="BB32" s="134"/>
      <c r="BC32" s="134"/>
      <c r="BD32" s="123"/>
      <c r="BE32" s="123"/>
      <c r="BF32" s="123"/>
      <c r="BG32" s="123"/>
      <c r="BH32" s="123"/>
      <c r="BI32" s="123"/>
      <c r="BJ32" s="123"/>
      <c r="BK32" s="123"/>
      <c r="BL32" s="123"/>
      <c r="BM32" s="117"/>
      <c r="BN32" s="123"/>
      <c r="BO32" s="140"/>
      <c r="BP32" s="140"/>
      <c r="BQ32" s="140"/>
      <c r="BR32" s="123"/>
      <c r="BS32" s="141"/>
      <c r="BT32" s="123"/>
      <c r="BU32" s="141"/>
      <c r="BV32" s="123"/>
      <c r="BW32" s="123"/>
      <c r="BX32" s="123"/>
      <c r="BY32" s="123"/>
      <c r="BZ32" s="123"/>
      <c r="CA32" s="123"/>
      <c r="CB32" s="143"/>
      <c r="CC32" s="140"/>
      <c r="CD32" s="120">
        <f>VLOOKUP(Tracker7[[#This Row],[DCR ID - PTC]],'STLA (2)'!$B:$W,18,FALSE)</f>
        <v>46178</v>
      </c>
      <c r="CE32" s="120">
        <f>VLOOKUP(Tracker7[[#This Row],[DCR ID - PTC]],'STLA (2)'!$B:$W,19,FALSE)</f>
        <v>46183</v>
      </c>
      <c r="CF32" s="120">
        <f>VLOOKUP(Tracker7[[#This Row],[DCR ID - PTC]],'STLA (2)'!$B:$W,20,FALSE)</f>
        <v>46185</v>
      </c>
      <c r="CG32" s="123"/>
      <c r="CH32" s="120"/>
      <c r="CI32" s="120"/>
      <c r="CJ32" s="123"/>
    </row>
    <row r="33" spans="1:88" ht="87">
      <c r="A33" s="106" t="s">
        <v>766</v>
      </c>
      <c r="B33" s="107">
        <f>2.5+1+6+4+8+6.5+7.5</f>
        <v>35.5</v>
      </c>
      <c r="C33" s="49">
        <f>VLOOKUP(Tracker7[[#This Row],[DCR ID - PTC]],'STLA (2)'!$B:$W,11,FALSE)</f>
        <v>24</v>
      </c>
      <c r="D33" s="107">
        <v>0</v>
      </c>
      <c r="E33" s="108"/>
      <c r="F33" s="108"/>
      <c r="G33" s="121"/>
      <c r="H33" s="576">
        <v>19653232</v>
      </c>
      <c r="I33" s="577">
        <v>19653232</v>
      </c>
      <c r="J33" s="578" t="s">
        <v>1419</v>
      </c>
      <c r="K33" s="108" t="s">
        <v>118</v>
      </c>
      <c r="L33" s="108"/>
      <c r="M33" s="108"/>
      <c r="N33" s="108" t="s">
        <v>1420</v>
      </c>
      <c r="O33" s="111" t="s">
        <v>106</v>
      </c>
      <c r="P33" s="111"/>
      <c r="Q33" s="111"/>
      <c r="R33" s="111"/>
      <c r="S33" s="111"/>
      <c r="T33" s="111"/>
      <c r="U33" s="108"/>
      <c r="V33" s="108"/>
      <c r="W33" s="108"/>
      <c r="X33" s="108"/>
      <c r="Y33" s="108"/>
      <c r="Z33" s="108"/>
      <c r="AA33" s="108"/>
      <c r="AB33" s="112"/>
      <c r="AC33" s="108"/>
      <c r="AD33" s="108" t="s">
        <v>93</v>
      </c>
      <c r="AE33" s="107"/>
      <c r="AF33" s="113"/>
      <c r="AG33" s="115"/>
      <c r="AH33" s="108" t="s">
        <v>109</v>
      </c>
      <c r="AI33" s="108" t="s">
        <v>95</v>
      </c>
      <c r="AJ33" s="114">
        <v>46196.395833333336</v>
      </c>
      <c r="AK33" s="108" t="s">
        <v>218</v>
      </c>
      <c r="AL33" s="115">
        <v>46142.786064814813</v>
      </c>
      <c r="AM33" s="116"/>
      <c r="AN33" s="116"/>
      <c r="AO33" s="116">
        <f>VLOOKUP(Tracker7[[#This Row],[DCR ID - PTC]],'STLA (2)'!$B:$W,21,FALSE)</f>
        <v>46196</v>
      </c>
      <c r="AP33" s="108"/>
      <c r="AQ33" s="107"/>
      <c r="AR33" s="107"/>
      <c r="AS33" s="116"/>
      <c r="AT33" s="114"/>
      <c r="AU33" s="114"/>
      <c r="AV33" s="108"/>
      <c r="AW33" s="108"/>
      <c r="AX33" s="108"/>
      <c r="AY33" s="108" t="s">
        <v>866</v>
      </c>
      <c r="AZ33" s="108"/>
      <c r="BA33" s="108"/>
      <c r="BB33" s="108"/>
      <c r="BC33" s="108"/>
      <c r="BD33" s="111"/>
      <c r="BE33" s="111"/>
      <c r="BF33" s="111"/>
      <c r="BG33" s="111"/>
      <c r="BH33" s="111"/>
      <c r="BI33" s="111"/>
      <c r="BJ33" s="111"/>
      <c r="BK33" s="111"/>
      <c r="BL33" s="111"/>
      <c r="BM33" s="117"/>
      <c r="BN33" s="111"/>
      <c r="BO33" s="117"/>
      <c r="BP33" s="117"/>
      <c r="BQ33" s="117"/>
      <c r="BR33" s="111"/>
      <c r="BS33" s="118"/>
      <c r="BT33" s="111"/>
      <c r="BU33" s="118"/>
      <c r="BV33" s="111"/>
      <c r="BW33" s="111"/>
      <c r="BX33" s="111"/>
      <c r="BY33" s="111"/>
      <c r="BZ33" s="111"/>
      <c r="CA33" s="111"/>
      <c r="CB33" s="119"/>
      <c r="CC33" s="117"/>
      <c r="CD33" s="120">
        <f>VLOOKUP(Tracker7[[#This Row],[DCR ID - PTC]],'STLA (2)'!$B:$W,18,FALSE)</f>
        <v>46183</v>
      </c>
      <c r="CE33" s="132">
        <f>VLOOKUP(Tracker7[[#This Row],[DCR ID - PTC]],'STLA (2)'!$B:$W,19,FALSE)</f>
        <v>46185</v>
      </c>
      <c r="CF33" s="132">
        <f>VLOOKUP(Tracker7[[#This Row],[DCR ID - PTC]],'STLA (2)'!$B:$W,20,FALSE)</f>
        <v>46188</v>
      </c>
      <c r="CG33" s="111"/>
      <c r="CH33" s="132"/>
      <c r="CI33" s="132"/>
      <c r="CJ33" s="111"/>
    </row>
    <row r="34" spans="1:88" ht="72.599999999999994">
      <c r="A34" s="106" t="s">
        <v>1203</v>
      </c>
      <c r="B34" s="107">
        <f>8+8.5+8.5+7+8+4+0.5</f>
        <v>44.5</v>
      </c>
      <c r="C34" s="107">
        <v>40</v>
      </c>
      <c r="D34" s="107">
        <v>0</v>
      </c>
      <c r="E34" s="108"/>
      <c r="F34" s="108"/>
      <c r="G34" s="121"/>
      <c r="H34" s="127">
        <v>19848946</v>
      </c>
      <c r="I34" s="127">
        <v>19848946</v>
      </c>
      <c r="J34" s="107" t="s">
        <v>1421</v>
      </c>
      <c r="K34" s="108" t="s">
        <v>104</v>
      </c>
      <c r="L34" s="108"/>
      <c r="M34" s="108"/>
      <c r="N34" s="108" t="s">
        <v>1422</v>
      </c>
      <c r="O34" s="111" t="s">
        <v>106</v>
      </c>
      <c r="P34" s="116"/>
      <c r="Q34" s="116">
        <v>46169</v>
      </c>
      <c r="R34" s="108"/>
      <c r="S34" s="107"/>
      <c r="T34" s="107"/>
      <c r="U34" s="116"/>
      <c r="V34" s="114"/>
      <c r="W34" s="114"/>
      <c r="X34" s="108"/>
      <c r="Y34" s="108"/>
      <c r="Z34" s="108"/>
      <c r="AA34" s="108" t="s">
        <v>866</v>
      </c>
      <c r="AB34" s="108"/>
      <c r="AC34" s="108"/>
      <c r="AD34" s="108"/>
      <c r="AE34" s="108"/>
      <c r="AF34" s="111"/>
      <c r="AG34" s="111"/>
      <c r="AH34" s="111"/>
      <c r="AI34" s="111"/>
      <c r="AJ34" s="111"/>
      <c r="AK34" s="111"/>
      <c r="AL34" s="111"/>
      <c r="AM34" s="111"/>
      <c r="AN34" s="111"/>
      <c r="AO34" s="118">
        <v>46185</v>
      </c>
      <c r="AP34" s="111"/>
      <c r="AQ34" s="117"/>
      <c r="AR34" s="117"/>
      <c r="AS34" s="117"/>
      <c r="AT34" s="111"/>
      <c r="AU34" s="118"/>
      <c r="AV34" s="111"/>
      <c r="AW34" s="118"/>
      <c r="AX34" s="111"/>
      <c r="AY34" s="111"/>
      <c r="AZ34" s="111"/>
      <c r="BA34" s="111"/>
      <c r="BB34" s="111"/>
      <c r="BC34" s="111"/>
      <c r="BD34" s="119"/>
      <c r="BE34" s="117"/>
      <c r="BF34" s="561" t="s">
        <v>998</v>
      </c>
      <c r="BG34" s="561" t="s">
        <v>916</v>
      </c>
      <c r="BH34" s="561" t="s">
        <v>917</v>
      </c>
      <c r="BI34" s="111"/>
      <c r="BJ34" s="120"/>
      <c r="BK34" s="120"/>
      <c r="BL34" s="111"/>
      <c r="BM34" s="23"/>
      <c r="BN34" s="23"/>
      <c r="BO34" s="23"/>
      <c r="BP34" s="23"/>
      <c r="BQ34" s="23"/>
      <c r="BR34" s="23"/>
      <c r="BS34" s="23"/>
      <c r="BT34" s="23"/>
      <c r="BU34" s="23"/>
      <c r="BV34" s="23"/>
      <c r="BW34" s="23"/>
      <c r="BX34" s="23"/>
      <c r="BY34" s="23"/>
      <c r="BZ34" s="23"/>
      <c r="CB34" s="23"/>
      <c r="CC34" s="23"/>
    </row>
    <row r="35" spans="1:88" ht="116.1">
      <c r="A35" s="106" t="s">
        <v>1423</v>
      </c>
      <c r="B35" s="49">
        <f>1+8.5+7.5+8.5+8.5+8.5+(1+2+0.5+2.5+2)</f>
        <v>50.5</v>
      </c>
      <c r="C35" s="49">
        <v>25</v>
      </c>
      <c r="D35" s="49">
        <v>0</v>
      </c>
      <c r="E35" s="134"/>
      <c r="F35" s="134"/>
      <c r="G35" s="150"/>
      <c r="H35" s="135">
        <v>19848946</v>
      </c>
      <c r="I35" s="149">
        <v>19848946</v>
      </c>
      <c r="J35" s="49" t="s">
        <v>1421</v>
      </c>
      <c r="K35" s="134" t="s">
        <v>118</v>
      </c>
      <c r="L35" s="134"/>
      <c r="M35" s="134"/>
      <c r="N35" s="108" t="s">
        <v>1424</v>
      </c>
      <c r="O35" s="123" t="s">
        <v>106</v>
      </c>
      <c r="P35" s="141"/>
      <c r="Q35" s="141"/>
      <c r="R35" s="123"/>
      <c r="S35" s="140"/>
      <c r="T35" s="140"/>
      <c r="U35" s="139"/>
      <c r="V35" s="138"/>
      <c r="W35" s="138"/>
      <c r="X35" s="134"/>
      <c r="Y35" s="134"/>
      <c r="Z35" s="134"/>
      <c r="AA35" s="134" t="s">
        <v>866</v>
      </c>
      <c r="AC35" s="134"/>
      <c r="AD35" s="134"/>
      <c r="AE35" s="49"/>
      <c r="AF35" s="136"/>
      <c r="AG35" s="137"/>
      <c r="AH35" s="134"/>
      <c r="AI35" s="134"/>
      <c r="AJ35" s="138"/>
      <c r="AK35" s="134"/>
      <c r="AL35" s="137"/>
      <c r="AM35" s="139"/>
      <c r="AN35" s="139"/>
      <c r="AO35" s="116">
        <v>46196</v>
      </c>
      <c r="AP35" s="134"/>
      <c r="AQ35" s="49"/>
      <c r="AR35" s="49"/>
      <c r="AS35" s="139"/>
      <c r="AT35" s="138"/>
      <c r="AU35" s="138"/>
      <c r="AV35" s="134"/>
      <c r="AW35" s="139"/>
      <c r="AX35" s="134"/>
      <c r="AY35" s="134"/>
      <c r="AZ35" s="134"/>
      <c r="BA35" s="134"/>
      <c r="BB35" s="134"/>
      <c r="BC35" s="134"/>
      <c r="BD35" s="143"/>
      <c r="BE35" s="140"/>
      <c r="BF35" s="587" t="s">
        <v>998</v>
      </c>
      <c r="BG35" s="587" t="s">
        <v>916</v>
      </c>
      <c r="BH35" s="587" t="s">
        <v>917</v>
      </c>
      <c r="BI35" s="123"/>
      <c r="BJ35" s="123"/>
      <c r="BK35" s="123"/>
      <c r="BL35" s="123"/>
      <c r="BM35" s="111"/>
      <c r="BN35" s="123"/>
      <c r="BO35" s="123"/>
      <c r="BP35" s="123"/>
      <c r="BQ35" s="123"/>
      <c r="BR35" s="123"/>
      <c r="BS35" s="123"/>
      <c r="BT35" s="123"/>
      <c r="BU35" s="123"/>
      <c r="BV35" s="123"/>
      <c r="BW35" s="123"/>
      <c r="BX35" s="123"/>
      <c r="BY35" s="123"/>
      <c r="BZ35" s="123"/>
      <c r="CA35" s="123"/>
      <c r="CB35" s="143"/>
      <c r="CC35" s="140"/>
      <c r="CD35" s="132" t="e">
        <f>VLOOKUP(Tracker7[[#This Row],[DCR ID - PTC]],'STLA (2)'!$B:$W,18,FALSE)</f>
        <v>#N/A</v>
      </c>
      <c r="CE35" s="132" t="e">
        <f>VLOOKUP(Tracker7[[#This Row],[DCR ID - PTC]],'STLA (2)'!$B:$W,19,FALSE)</f>
        <v>#N/A</v>
      </c>
      <c r="CF35" s="588" t="e">
        <f>VLOOKUP(Tracker7[[#This Row],[DCR ID - PTC]],'STLA (2)'!$B:$W,20,FALSE)</f>
        <v>#N/A</v>
      </c>
      <c r="CG35" s="123"/>
      <c r="CH35" s="120"/>
      <c r="CI35" s="120"/>
      <c r="CJ35" s="123"/>
    </row>
    <row r="36" spans="1:88" ht="29.1">
      <c r="A36" s="106" t="s">
        <v>1380</v>
      </c>
      <c r="B36" s="49">
        <f>4</f>
        <v>4</v>
      </c>
      <c r="C36" s="49">
        <v>45</v>
      </c>
      <c r="D36" s="49">
        <v>0</v>
      </c>
      <c r="E36" s="134"/>
      <c r="F36" s="134"/>
      <c r="G36" s="150"/>
      <c r="H36" s="135">
        <v>19393731</v>
      </c>
      <c r="I36" s="593">
        <v>19393731</v>
      </c>
      <c r="J36" s="49" t="s">
        <v>1425</v>
      </c>
      <c r="K36" s="134" t="s">
        <v>118</v>
      </c>
      <c r="L36" s="134"/>
      <c r="M36" s="134"/>
      <c r="N36" s="108" t="s">
        <v>1426</v>
      </c>
      <c r="O36" s="123" t="s">
        <v>115</v>
      </c>
      <c r="P36" s="141"/>
      <c r="Q36" s="141"/>
      <c r="R36" s="123"/>
      <c r="S36" s="140"/>
      <c r="T36" s="140"/>
      <c r="U36" s="139"/>
      <c r="V36" s="138"/>
      <c r="W36" s="138"/>
      <c r="X36" s="134"/>
      <c r="Y36" s="134"/>
      <c r="Z36" s="134"/>
      <c r="AA36" s="134" t="s">
        <v>866</v>
      </c>
      <c r="AC36" s="134"/>
      <c r="AD36" s="134"/>
      <c r="AE36" s="49"/>
      <c r="AF36" s="136"/>
      <c r="AG36" s="137"/>
      <c r="AH36" s="134"/>
      <c r="AI36" s="134"/>
      <c r="AJ36" s="138"/>
      <c r="AK36" s="134"/>
      <c r="AL36" s="137"/>
      <c r="AM36" s="139"/>
      <c r="AN36" s="139"/>
      <c r="AO36" s="116">
        <v>46227</v>
      </c>
      <c r="AP36" s="134"/>
      <c r="AQ36" s="49"/>
      <c r="AR36" s="49"/>
      <c r="AS36" s="139"/>
      <c r="AT36" s="138"/>
      <c r="AU36" s="138"/>
      <c r="AV36" s="134"/>
      <c r="AW36" s="139"/>
      <c r="AX36" s="134"/>
      <c r="AY36" s="134"/>
      <c r="AZ36" s="134"/>
      <c r="BA36" s="134"/>
      <c r="BB36" s="134"/>
      <c r="BC36" s="134"/>
      <c r="BD36" s="143"/>
      <c r="BE36" s="140"/>
      <c r="BF36" s="587" t="s">
        <v>998</v>
      </c>
      <c r="BG36" s="587" t="s">
        <v>916</v>
      </c>
      <c r="BH36" s="587" t="s">
        <v>917</v>
      </c>
      <c r="BI36" s="123"/>
      <c r="BJ36" s="123"/>
      <c r="BK36" s="123"/>
      <c r="BL36" s="123"/>
      <c r="BM36" s="111"/>
      <c r="BN36" s="123"/>
      <c r="BO36" s="123"/>
      <c r="BP36" s="123"/>
      <c r="BQ36" s="123"/>
      <c r="BR36" s="123"/>
      <c r="BS36" s="123"/>
      <c r="BT36" s="123"/>
      <c r="BU36" s="123"/>
      <c r="BV36" s="123"/>
      <c r="BW36" s="123"/>
      <c r="BX36" s="123"/>
      <c r="BY36" s="123"/>
      <c r="BZ36" s="123"/>
      <c r="CA36" s="123"/>
      <c r="CB36" s="143"/>
      <c r="CC36" s="140"/>
      <c r="CD36" s="132" t="e">
        <f>VLOOKUP(Tracker7[[#This Row],[DCR ID - PTC]],'STLA (2)'!$B:$W,18,FALSE)</f>
        <v>#N/A</v>
      </c>
      <c r="CE36" s="132" t="e">
        <f>VLOOKUP(Tracker7[[#This Row],[DCR ID - PTC]],'STLA (2)'!$B:$W,19,FALSE)</f>
        <v>#N/A</v>
      </c>
      <c r="CF36" s="588" t="e">
        <f>VLOOKUP(Tracker7[[#This Row],[DCR ID - PTC]],'STLA (2)'!$B:$W,20,FALSE)</f>
        <v>#N/A</v>
      </c>
      <c r="CG36" s="123"/>
      <c r="CH36" s="120"/>
      <c r="CI36" s="120"/>
      <c r="CJ36" s="123"/>
    </row>
    <row r="37" spans="1:88" ht="159.6">
      <c r="A37" s="106" t="s">
        <v>1203</v>
      </c>
      <c r="B37" s="49">
        <f>1+7.5+5.5+6.5+7.5+8+5</f>
        <v>41</v>
      </c>
      <c r="C37" s="49">
        <v>25</v>
      </c>
      <c r="D37" s="49">
        <v>0</v>
      </c>
      <c r="E37" s="134"/>
      <c r="F37" s="134"/>
      <c r="G37" s="150"/>
      <c r="H37" s="135">
        <v>19847742</v>
      </c>
      <c r="I37" s="149">
        <v>19847742</v>
      </c>
      <c r="J37" s="49" t="s">
        <v>1427</v>
      </c>
      <c r="K37" s="134" t="s">
        <v>118</v>
      </c>
      <c r="L37" s="134"/>
      <c r="M37" s="134"/>
      <c r="N37" s="108" t="s">
        <v>1428</v>
      </c>
      <c r="O37" s="123" t="s">
        <v>106</v>
      </c>
      <c r="P37" s="141"/>
      <c r="Q37" s="141"/>
      <c r="R37" s="123"/>
      <c r="S37" s="140"/>
      <c r="T37" s="140"/>
      <c r="U37" s="139"/>
      <c r="V37" s="138"/>
      <c r="W37" s="138"/>
      <c r="X37" s="134"/>
      <c r="Y37" s="134"/>
      <c r="Z37" s="134"/>
      <c r="AA37" s="134" t="s">
        <v>866</v>
      </c>
      <c r="AC37" s="134"/>
      <c r="AD37" s="134"/>
      <c r="AE37" s="49"/>
      <c r="AF37" s="136"/>
      <c r="AG37" s="137"/>
      <c r="AH37" s="134"/>
      <c r="AI37" s="134"/>
      <c r="AJ37" s="138"/>
      <c r="AK37" s="134"/>
      <c r="AL37" s="137"/>
      <c r="AM37" s="139"/>
      <c r="AN37" s="139"/>
      <c r="AO37" s="116">
        <v>46196</v>
      </c>
      <c r="AP37" s="134"/>
      <c r="AQ37" s="49"/>
      <c r="AR37" s="49"/>
      <c r="AS37" s="139"/>
      <c r="AT37" s="138"/>
      <c r="AU37" s="138"/>
      <c r="AV37" s="134"/>
      <c r="AW37" s="139"/>
      <c r="AX37" s="134"/>
      <c r="AY37" s="134"/>
      <c r="AZ37" s="134"/>
      <c r="BA37" s="134"/>
      <c r="BB37" s="134"/>
      <c r="BC37" s="134"/>
      <c r="BD37" s="143"/>
      <c r="BE37" s="140"/>
      <c r="BF37" s="587" t="s">
        <v>998</v>
      </c>
      <c r="BG37" s="587" t="s">
        <v>916</v>
      </c>
      <c r="BH37" s="587" t="s">
        <v>917</v>
      </c>
      <c r="BI37" s="123"/>
      <c r="BJ37" s="123"/>
      <c r="BK37" s="123"/>
      <c r="BL37" s="123"/>
      <c r="BM37" s="111"/>
      <c r="BN37" s="123"/>
      <c r="BO37" s="123"/>
      <c r="BP37" s="123"/>
      <c r="BQ37" s="123"/>
      <c r="BR37" s="123"/>
      <c r="BS37" s="123"/>
      <c r="BT37" s="123"/>
      <c r="BU37" s="123"/>
      <c r="BV37" s="123"/>
      <c r="BW37" s="123"/>
      <c r="BX37" s="123"/>
      <c r="BY37" s="123"/>
      <c r="BZ37" s="123"/>
      <c r="CA37" s="123"/>
      <c r="CB37" s="143"/>
      <c r="CC37" s="140"/>
      <c r="CD37" s="132" t="e">
        <f>VLOOKUP(Tracker7[[#This Row],[DCR ID - PTC]],'STLA (2)'!$B:$W,18,FALSE)</f>
        <v>#N/A</v>
      </c>
      <c r="CE37" s="132" t="e">
        <f>VLOOKUP(Tracker7[[#This Row],[DCR ID - PTC]],'STLA (2)'!$B:$W,19,FALSE)</f>
        <v>#N/A</v>
      </c>
      <c r="CF37" s="588" t="e">
        <f>VLOOKUP(Tracker7[[#This Row],[DCR ID - PTC]],'STLA (2)'!$B:$W,20,FALSE)</f>
        <v>#N/A</v>
      </c>
      <c r="CG37" s="123"/>
      <c r="CH37" s="120"/>
      <c r="CI37" s="120"/>
      <c r="CJ37" s="123"/>
    </row>
    <row r="38" spans="1:88" ht="72.95" thickBot="1">
      <c r="A38" s="106" t="s">
        <v>1203</v>
      </c>
      <c r="B38" s="107">
        <f>4+7+7.5+0.5</f>
        <v>19</v>
      </c>
      <c r="C38" s="107">
        <v>18</v>
      </c>
      <c r="D38" s="107">
        <v>0</v>
      </c>
      <c r="E38" s="108"/>
      <c r="F38" s="108"/>
      <c r="G38" s="121"/>
      <c r="H38" s="109">
        <v>19874751</v>
      </c>
      <c r="I38" s="127">
        <v>19874751</v>
      </c>
      <c r="J38" s="107" t="s">
        <v>1429</v>
      </c>
      <c r="K38" s="108" t="s">
        <v>104</v>
      </c>
      <c r="L38" s="108"/>
      <c r="M38" s="108"/>
      <c r="N38" s="108" t="s">
        <v>1430</v>
      </c>
      <c r="O38" s="111" t="s">
        <v>106</v>
      </c>
      <c r="P38" s="118"/>
      <c r="Q38" s="118">
        <v>46169</v>
      </c>
      <c r="R38" s="111"/>
      <c r="S38" s="117"/>
      <c r="T38" s="117"/>
      <c r="U38" s="116"/>
      <c r="V38" s="114"/>
      <c r="W38" s="114"/>
      <c r="X38" s="108"/>
      <c r="Y38" s="108"/>
      <c r="Z38" s="108"/>
      <c r="AA38" s="108" t="s">
        <v>866</v>
      </c>
      <c r="AB38" s="112"/>
      <c r="AC38" s="108"/>
      <c r="AD38" s="108"/>
      <c r="AE38" s="107"/>
      <c r="AF38" s="113"/>
      <c r="AG38" s="115"/>
      <c r="AH38" s="108"/>
      <c r="AI38" s="108"/>
      <c r="AJ38" s="114"/>
      <c r="AK38" s="108"/>
      <c r="AL38" s="115"/>
      <c r="AM38" s="116"/>
      <c r="AN38" s="116"/>
      <c r="AO38" s="118">
        <v>46190</v>
      </c>
      <c r="AP38" s="108"/>
      <c r="AQ38" s="107"/>
      <c r="AR38" s="107"/>
      <c r="AS38" s="116"/>
      <c r="AT38" s="114"/>
      <c r="AU38" s="114"/>
      <c r="AV38" s="108"/>
      <c r="AW38" s="116"/>
      <c r="AX38" s="108"/>
      <c r="AY38" s="108"/>
      <c r="AZ38" s="108"/>
      <c r="BA38" s="108"/>
      <c r="BB38" s="108"/>
      <c r="BC38" s="108"/>
      <c r="BD38" s="119"/>
      <c r="BE38" s="117"/>
      <c r="BF38" s="589" t="s">
        <v>998</v>
      </c>
      <c r="BG38" s="589" t="s">
        <v>916</v>
      </c>
      <c r="BH38" s="589" t="s">
        <v>917</v>
      </c>
      <c r="BI38" s="111"/>
      <c r="BJ38" s="111"/>
      <c r="BK38" s="111"/>
      <c r="BL38" s="111"/>
      <c r="BM38" s="111"/>
      <c r="BN38" s="111"/>
      <c r="BO38" s="111"/>
      <c r="BP38" s="111"/>
      <c r="BQ38" s="111"/>
      <c r="BR38" s="111"/>
      <c r="BS38" s="111"/>
      <c r="BT38" s="111"/>
      <c r="BU38" s="111"/>
      <c r="BV38" s="111"/>
      <c r="BW38" s="111"/>
      <c r="BX38" s="111"/>
      <c r="BY38" s="111"/>
      <c r="BZ38" s="111"/>
      <c r="CA38" s="111"/>
      <c r="CB38" s="119"/>
      <c r="CC38" s="117"/>
      <c r="CD38" s="132" t="e">
        <f>VLOOKUP(Tracker7[[#This Row],[DCR ID - PTC]],'STLA (2)'!$B:$W,18,FALSE)</f>
        <v>#N/A</v>
      </c>
      <c r="CE38" s="132" t="e">
        <f>VLOOKUP(Tracker7[[#This Row],[DCR ID - PTC]],'STLA (2)'!$B:$W,19,FALSE)</f>
        <v>#N/A</v>
      </c>
      <c r="CF38" s="588" t="e">
        <f>VLOOKUP(Tracker7[[#This Row],[DCR ID - PTC]],'STLA (2)'!$B:$W,20,FALSE)</f>
        <v>#N/A</v>
      </c>
      <c r="CG38" s="111"/>
      <c r="CH38" s="132"/>
      <c r="CI38" s="132"/>
      <c r="CJ38" s="111"/>
    </row>
    <row r="39" spans="1:88" ht="58.5" thickBot="1">
      <c r="A39" s="106" t="s">
        <v>1410</v>
      </c>
      <c r="B39" s="107">
        <f>1</f>
        <v>1</v>
      </c>
      <c r="C39" s="107">
        <v>35</v>
      </c>
      <c r="D39" s="107">
        <v>0</v>
      </c>
      <c r="E39" s="108"/>
      <c r="F39" s="108"/>
      <c r="G39" s="121"/>
      <c r="H39" s="596">
        <v>20148299</v>
      </c>
      <c r="I39" s="596">
        <v>20148299</v>
      </c>
      <c r="J39" s="597" t="s">
        <v>1431</v>
      </c>
      <c r="K39" s="108" t="s">
        <v>104</v>
      </c>
      <c r="L39" s="108"/>
      <c r="M39" s="108"/>
      <c r="N39" s="108" t="s">
        <v>1432</v>
      </c>
      <c r="O39" s="111" t="s">
        <v>122</v>
      </c>
      <c r="P39" s="111"/>
      <c r="Q39" s="111"/>
      <c r="R39" s="111"/>
      <c r="S39" s="111"/>
      <c r="T39" s="111"/>
      <c r="U39" s="108"/>
      <c r="V39" s="108"/>
      <c r="W39" s="108"/>
      <c r="X39" s="108"/>
      <c r="Y39" s="108"/>
      <c r="Z39" s="108"/>
      <c r="AA39" s="108"/>
      <c r="AB39" s="112"/>
      <c r="AC39" s="108"/>
      <c r="AD39" s="108"/>
      <c r="AE39" s="107"/>
      <c r="AF39" s="113"/>
      <c r="AG39" s="115"/>
      <c r="AH39" s="108"/>
      <c r="AI39" s="108"/>
      <c r="AJ39" s="114"/>
      <c r="AK39" s="108"/>
      <c r="AL39" s="115"/>
      <c r="AM39" s="116"/>
      <c r="AN39" s="116"/>
      <c r="AO39" s="116">
        <v>46213</v>
      </c>
      <c r="AP39" s="108"/>
      <c r="AQ39" s="107"/>
      <c r="AR39" s="107"/>
      <c r="AS39" s="116"/>
      <c r="AT39" s="114"/>
      <c r="AU39" s="114"/>
      <c r="AV39" s="108"/>
      <c r="AW39" s="108"/>
      <c r="AX39" s="108"/>
      <c r="AY39" s="108"/>
      <c r="AZ39" s="108"/>
      <c r="BA39" s="108"/>
      <c r="BB39" s="108"/>
      <c r="BC39" s="108"/>
      <c r="BD39" s="111"/>
      <c r="BE39" s="111"/>
      <c r="BF39" s="111"/>
      <c r="BG39" s="111"/>
      <c r="BH39" s="111"/>
      <c r="BI39" s="111"/>
      <c r="BJ39" s="111"/>
      <c r="BK39" s="111"/>
      <c r="BL39" s="111"/>
      <c r="BM39" s="117"/>
      <c r="BN39" s="111"/>
      <c r="BO39" s="117"/>
      <c r="BP39" s="117"/>
      <c r="BQ39" s="117"/>
      <c r="BR39" s="111"/>
      <c r="BS39" s="118"/>
      <c r="BT39" s="111"/>
      <c r="BU39" s="118"/>
      <c r="BV39" s="111"/>
      <c r="BW39" s="111"/>
      <c r="BX39" s="111"/>
      <c r="BY39" s="111"/>
      <c r="BZ39" s="111"/>
      <c r="CA39" s="111"/>
      <c r="CB39" s="119"/>
      <c r="CC39" s="117"/>
      <c r="CD39" s="132" t="e">
        <f>VLOOKUP(Tracker7[[#This Row],[DCR ID - PTC]],'STLA (2)'!$B:$W,18,FALSE)</f>
        <v>#N/A</v>
      </c>
      <c r="CE39" s="132" t="e">
        <f>VLOOKUP(Tracker7[[#This Row],[DCR ID - PTC]],'STLA (2)'!$B:$W,19,FALSE)</f>
        <v>#N/A</v>
      </c>
      <c r="CF39" s="588" t="e">
        <f>VLOOKUP(Tracker7[[#This Row],[DCR ID - PTC]],'STLA (2)'!$B:$W,20,FALSE)</f>
        <v>#N/A</v>
      </c>
      <c r="CG39" s="111"/>
      <c r="CH39" s="132"/>
      <c r="CI39" s="132"/>
      <c r="CJ39" s="111"/>
    </row>
    <row r="40" spans="1:88" ht="29.1">
      <c r="A40" s="106" t="s">
        <v>1380</v>
      </c>
      <c r="B40" s="107"/>
      <c r="C40" s="107">
        <v>32</v>
      </c>
      <c r="D40" s="107">
        <v>0</v>
      </c>
      <c r="E40" s="108"/>
      <c r="F40" s="108"/>
      <c r="G40" s="121"/>
      <c r="H40" s="109">
        <v>20148299</v>
      </c>
      <c r="I40" s="127">
        <v>20148299</v>
      </c>
      <c r="J40" s="107" t="s">
        <v>1338</v>
      </c>
      <c r="K40" s="108" t="s">
        <v>118</v>
      </c>
      <c r="L40" s="108"/>
      <c r="M40" s="108"/>
      <c r="N40" s="108"/>
      <c r="O40" s="111" t="s">
        <v>122</v>
      </c>
      <c r="P40" s="111"/>
      <c r="Q40" s="111"/>
      <c r="R40" s="111"/>
      <c r="S40" s="111"/>
      <c r="T40" s="111"/>
      <c r="U40" s="108"/>
      <c r="V40" s="108"/>
      <c r="W40" s="108"/>
      <c r="X40" s="108"/>
      <c r="Y40" s="108"/>
      <c r="Z40" s="108"/>
      <c r="AA40" s="108"/>
      <c r="AB40" s="112"/>
      <c r="AC40" s="108"/>
      <c r="AD40" s="108"/>
      <c r="AE40" s="107"/>
      <c r="AF40" s="113"/>
      <c r="AG40" s="115"/>
      <c r="AH40" s="108"/>
      <c r="AI40" s="108"/>
      <c r="AJ40" s="114"/>
      <c r="AK40" s="108"/>
      <c r="AL40" s="115"/>
      <c r="AM40" s="116"/>
      <c r="AN40" s="116"/>
      <c r="AO40" s="116">
        <v>46227</v>
      </c>
      <c r="AP40" s="108"/>
      <c r="AQ40" s="107"/>
      <c r="AR40" s="107"/>
      <c r="AS40" s="116"/>
      <c r="AT40" s="114"/>
      <c r="AU40" s="114"/>
      <c r="AV40" s="108"/>
      <c r="AW40" s="108"/>
      <c r="AX40" s="108"/>
      <c r="AY40" s="108"/>
      <c r="AZ40" s="108"/>
      <c r="BA40" s="108"/>
      <c r="BB40" s="108"/>
      <c r="BC40" s="108"/>
      <c r="BD40" s="111"/>
      <c r="BE40" s="111"/>
      <c r="BF40" s="111"/>
      <c r="BG40" s="111"/>
      <c r="BH40" s="111"/>
      <c r="BI40" s="111"/>
      <c r="BJ40" s="111"/>
      <c r="BK40" s="111"/>
      <c r="BL40" s="111"/>
      <c r="BM40" s="117"/>
      <c r="BN40" s="111"/>
      <c r="BO40" s="117"/>
      <c r="BP40" s="117"/>
      <c r="BQ40" s="117"/>
      <c r="BR40" s="111"/>
      <c r="BS40" s="118"/>
      <c r="BT40" s="111"/>
      <c r="BU40" s="118"/>
      <c r="BV40" s="111"/>
      <c r="BW40" s="111"/>
      <c r="BX40" s="111"/>
      <c r="BY40" s="111"/>
      <c r="BZ40" s="111"/>
      <c r="CA40" s="111"/>
      <c r="CB40" s="119"/>
      <c r="CC40" s="117"/>
      <c r="CD40" s="132" t="e">
        <f>VLOOKUP(Tracker7[[#This Row],[DCR ID - PTC]],'STLA (2)'!$B:$W,18,FALSE)</f>
        <v>#N/A</v>
      </c>
      <c r="CE40" s="132" t="e">
        <f>VLOOKUP(Tracker7[[#This Row],[DCR ID - PTC]],'STLA (2)'!$B:$W,19,FALSE)</f>
        <v>#N/A</v>
      </c>
      <c r="CF40" s="588" t="e">
        <f>VLOOKUP(Tracker7[[#This Row],[DCR ID - PTC]],'STLA (2)'!$B:$W,20,FALSE)</f>
        <v>#N/A</v>
      </c>
      <c r="CG40" s="111"/>
      <c r="CH40" s="132"/>
      <c r="CI40" s="132"/>
      <c r="CJ40" s="111"/>
    </row>
    <row r="41" spans="1:88" ht="15" customHeight="1">
      <c r="A41" s="106" t="s">
        <v>1376</v>
      </c>
      <c r="B41" s="107">
        <v>0</v>
      </c>
      <c r="C41" s="49">
        <v>20</v>
      </c>
      <c r="D41" s="107">
        <v>0</v>
      </c>
      <c r="E41" s="108"/>
      <c r="F41" s="108"/>
      <c r="G41" s="121"/>
      <c r="H41" s="109">
        <v>20148299</v>
      </c>
      <c r="I41" s="127">
        <v>20148299</v>
      </c>
      <c r="J41" s="49" t="s">
        <v>385</v>
      </c>
      <c r="K41" s="108" t="s">
        <v>118</v>
      </c>
      <c r="L41" s="108"/>
      <c r="M41" s="108"/>
      <c r="N41" s="108" t="s">
        <v>1432</v>
      </c>
      <c r="O41" s="111" t="s">
        <v>122</v>
      </c>
      <c r="P41" s="111"/>
      <c r="Q41" s="111"/>
      <c r="R41" s="111"/>
      <c r="S41" s="111"/>
      <c r="T41" s="111"/>
      <c r="U41" s="108"/>
      <c r="V41" s="108"/>
      <c r="W41" s="108"/>
      <c r="X41" s="108"/>
      <c r="Y41" s="108"/>
      <c r="Z41" s="108"/>
      <c r="AA41" s="108"/>
      <c r="AB41" s="112"/>
      <c r="AC41" s="108"/>
      <c r="AD41" s="108"/>
      <c r="AE41" s="107"/>
      <c r="AF41" s="113"/>
      <c r="AG41" s="115"/>
      <c r="AH41" s="108"/>
      <c r="AI41" s="108"/>
      <c r="AJ41" s="114"/>
      <c r="AK41" s="108"/>
      <c r="AL41" s="115"/>
      <c r="AM41" s="116"/>
      <c r="AN41" s="116"/>
      <c r="AO41" s="116">
        <v>46234</v>
      </c>
      <c r="AP41" s="108"/>
      <c r="AQ41" s="107"/>
      <c r="AR41" s="107"/>
      <c r="AS41" s="116"/>
      <c r="AT41" s="114"/>
      <c r="AU41" s="114"/>
      <c r="AV41" s="108"/>
      <c r="AW41" s="108"/>
      <c r="AX41" s="108"/>
      <c r="AY41" s="108"/>
      <c r="AZ41" s="108"/>
      <c r="BA41" s="108"/>
      <c r="BB41" s="108"/>
      <c r="BC41" s="108"/>
      <c r="BD41" s="111"/>
      <c r="BE41" s="111"/>
      <c r="BF41" s="111"/>
      <c r="BG41" s="111"/>
      <c r="BH41" s="111"/>
      <c r="BI41" s="111"/>
      <c r="BJ41" s="111"/>
      <c r="BK41" s="111"/>
      <c r="BL41" s="111"/>
      <c r="BM41" s="117"/>
      <c r="BN41" s="111"/>
      <c r="BO41" s="117"/>
      <c r="BP41" s="117"/>
      <c r="BQ41" s="117"/>
      <c r="BR41" s="111"/>
      <c r="BS41" s="118"/>
      <c r="BT41" s="111"/>
      <c r="BU41" s="118"/>
      <c r="BV41" s="111"/>
      <c r="BW41" s="111"/>
      <c r="BX41" s="111"/>
      <c r="BY41" s="111"/>
      <c r="BZ41" s="111"/>
      <c r="CA41" s="111"/>
      <c r="CB41" s="119"/>
      <c r="CC41" s="117"/>
      <c r="CD41" s="132" t="e">
        <f>VLOOKUP(Tracker7[[#This Row],[DCR ID - PTC]],'STLA (2)'!$B:$W,18,FALSE)</f>
        <v>#N/A</v>
      </c>
      <c r="CE41" s="132" t="e">
        <f>VLOOKUP(Tracker7[[#This Row],[DCR ID - PTC]],'STLA (2)'!$B:$W,19,FALSE)</f>
        <v>#N/A</v>
      </c>
      <c r="CF41" s="588" t="e">
        <f>VLOOKUP(Tracker7[[#This Row],[DCR ID - PTC]],'STLA (2)'!$B:$W,20,FALSE)</f>
        <v>#N/A</v>
      </c>
      <c r="CG41" s="111"/>
      <c r="CH41" s="132"/>
      <c r="CI41" s="132"/>
      <c r="CJ41" s="111"/>
    </row>
  </sheetData>
  <conditionalFormatting sqref="O11 AD11 BH11 BW11 CJ11 O2:T10 O12:T22 O24:T33 O34:O38 O39:T1048576">
    <cfRule type="cellIs" dxfId="597" priority="312" operator="equal">
      <formula>"At Risk"</formula>
    </cfRule>
    <cfRule type="cellIs" dxfId="596" priority="313" operator="equal">
      <formula>"On Hold"</formula>
    </cfRule>
    <cfRule type="cellIs" dxfId="595" priority="314" operator="equal">
      <formula>"On Track"</formula>
    </cfRule>
  </conditionalFormatting>
  <conditionalFormatting sqref="O11 AD11 BH11 BW11 CJ11 O2:T10 O12:T22 O24:T33 O34:O38 O39:T1048576">
    <cfRule type="containsText" dxfId="594" priority="311" operator="containsText" text="Next Sprint">
      <formula>NOT(ISERROR(SEARCH("Next Sprint",O2)))</formula>
    </cfRule>
  </conditionalFormatting>
  <conditionalFormatting sqref="I1">
    <cfRule type="duplicateValues" dxfId="593" priority="307"/>
  </conditionalFormatting>
  <conditionalFormatting sqref="H1">
    <cfRule type="duplicateValues" dxfId="592" priority="308"/>
  </conditionalFormatting>
  <conditionalFormatting sqref="H1">
    <cfRule type="duplicateValues" dxfId="591" priority="309"/>
    <cfRule type="duplicateValues" dxfId="590" priority="310"/>
  </conditionalFormatting>
  <conditionalFormatting sqref="H42:H1048576 H1:H12 H17 H28:H30 H35">
    <cfRule type="duplicateValues" dxfId="589" priority="243"/>
  </conditionalFormatting>
  <conditionalFormatting sqref="G42:H1048576 G17:H17 V11:W11 G1:H1 AK11:AL11 AZ11:BA11 BO11:BP11 G10:H10 H11 G9 G12:G15 G18:G22 G24:G26 G27:H27 H28:H29 H6:H8 G35:H35 G31:G34 G30:I30">
    <cfRule type="duplicateValues" dxfId="588" priority="342"/>
  </conditionalFormatting>
  <conditionalFormatting sqref="H42:H1048576 H17 W11 AL11 BA11 BP11 H6:H8 H10:H11 H28:H30 H35">
    <cfRule type="duplicateValues" dxfId="587" priority="343"/>
  </conditionalFormatting>
  <conditionalFormatting sqref="H42:H1048576 H17 W11 AL11 BA11 BP11 H6:H8 H10:H11 H28:H30 H35">
    <cfRule type="duplicateValues" dxfId="586" priority="344"/>
    <cfRule type="duplicateValues" dxfId="585" priority="345"/>
  </conditionalFormatting>
  <conditionalFormatting sqref="H42:H1048576 H17 W11 H1 AL11 BA11 BP11 H6:H8 H10:H11 H28:H30 H35">
    <cfRule type="duplicateValues" dxfId="584" priority="346"/>
    <cfRule type="duplicateValues" dxfId="583" priority="347"/>
  </conditionalFormatting>
  <conditionalFormatting sqref="H42:H1048576 H17 W11 H1 AL11 BA11 BP11 H6:H8 H10:H11 H28:H30 H35">
    <cfRule type="duplicateValues" dxfId="582" priority="348"/>
  </conditionalFormatting>
  <conditionalFormatting sqref="J4:J5">
    <cfRule type="duplicateValues" dxfId="581" priority="51692"/>
  </conditionalFormatting>
  <conditionalFormatting sqref="I5">
    <cfRule type="duplicateValues" dxfId="580" priority="51895"/>
    <cfRule type="duplicateValues" dxfId="579" priority="51896"/>
  </conditionalFormatting>
  <conditionalFormatting sqref="I5">
    <cfRule type="duplicateValues" dxfId="578" priority="51899"/>
    <cfRule type="duplicateValues" dxfId="577" priority="51900"/>
    <cfRule type="duplicateValues" dxfId="576" priority="51901"/>
  </conditionalFormatting>
  <conditionalFormatting sqref="J2:J3">
    <cfRule type="duplicateValues" dxfId="575" priority="52027"/>
  </conditionalFormatting>
  <conditionalFormatting sqref="H2:H5">
    <cfRule type="duplicateValues" dxfId="574" priority="52028"/>
    <cfRule type="duplicateValues" dxfId="573" priority="52029"/>
  </conditionalFormatting>
  <conditionalFormatting sqref="H2:H5">
    <cfRule type="duplicateValues" dxfId="572" priority="52030"/>
    <cfRule type="duplicateValues" dxfId="571" priority="52031"/>
    <cfRule type="duplicateValues" dxfId="570" priority="52032"/>
  </conditionalFormatting>
  <conditionalFormatting sqref="O23:T23">
    <cfRule type="cellIs" dxfId="569" priority="97" operator="equal">
      <formula>"At Risk"</formula>
    </cfRule>
    <cfRule type="cellIs" dxfId="568" priority="98" operator="equal">
      <formula>"On Hold"</formula>
    </cfRule>
    <cfRule type="cellIs" dxfId="567" priority="99" operator="equal">
      <formula>"On Track"</formula>
    </cfRule>
  </conditionalFormatting>
  <conditionalFormatting sqref="O23:T23">
    <cfRule type="containsText" dxfId="566" priority="96" operator="containsText" text="Next Sprint">
      <formula>NOT(ISERROR(SEARCH("Next Sprint",O23)))</formula>
    </cfRule>
  </conditionalFormatting>
  <conditionalFormatting sqref="G23">
    <cfRule type="duplicateValues" dxfId="565" priority="100"/>
  </conditionalFormatting>
  <conditionalFormatting sqref="H27">
    <cfRule type="duplicateValues" dxfId="564" priority="89"/>
  </conditionalFormatting>
  <conditionalFormatting sqref="H27">
    <cfRule type="duplicateValues" dxfId="563" priority="90"/>
  </conditionalFormatting>
  <conditionalFormatting sqref="H27">
    <cfRule type="duplicateValues" dxfId="562" priority="91"/>
    <cfRule type="duplicateValues" dxfId="561" priority="92"/>
  </conditionalFormatting>
  <conditionalFormatting sqref="H27">
    <cfRule type="duplicateValues" dxfId="560" priority="93"/>
    <cfRule type="duplicateValues" dxfId="559" priority="94"/>
  </conditionalFormatting>
  <conditionalFormatting sqref="H27">
    <cfRule type="duplicateValues" dxfId="558" priority="95"/>
  </conditionalFormatting>
  <conditionalFormatting sqref="I28">
    <cfRule type="duplicateValues" dxfId="557" priority="84"/>
    <cfRule type="duplicateValues" dxfId="556" priority="85"/>
  </conditionalFormatting>
  <conditionalFormatting sqref="I28">
    <cfRule type="duplicateValues" dxfId="555" priority="86"/>
    <cfRule type="duplicateValues" dxfId="554" priority="87"/>
    <cfRule type="duplicateValues" dxfId="553" priority="88"/>
  </conditionalFormatting>
  <conditionalFormatting sqref="I31:I33">
    <cfRule type="duplicateValues" dxfId="552" priority="74"/>
  </conditionalFormatting>
  <conditionalFormatting sqref="I31:I33">
    <cfRule type="duplicateValues" dxfId="551" priority="75"/>
  </conditionalFormatting>
  <conditionalFormatting sqref="I31:I33">
    <cfRule type="duplicateValues" dxfId="550" priority="77"/>
    <cfRule type="duplicateValues" dxfId="549" priority="78"/>
  </conditionalFormatting>
  <conditionalFormatting sqref="I31:I33">
    <cfRule type="duplicateValues" dxfId="548" priority="76"/>
  </conditionalFormatting>
  <conditionalFormatting sqref="H31:H33">
    <cfRule type="duplicateValues" dxfId="547" priority="69"/>
  </conditionalFormatting>
  <conditionalFormatting sqref="H31:H33">
    <cfRule type="duplicateValues" dxfId="546" priority="70"/>
  </conditionalFormatting>
  <conditionalFormatting sqref="H31:H33">
    <cfRule type="duplicateValues" dxfId="545" priority="72"/>
    <cfRule type="duplicateValues" dxfId="544" priority="73"/>
  </conditionalFormatting>
  <conditionalFormatting sqref="H31:H33">
    <cfRule type="duplicateValues" dxfId="543" priority="71"/>
  </conditionalFormatting>
  <conditionalFormatting sqref="I2">
    <cfRule type="duplicateValues" dxfId="542" priority="63"/>
  </conditionalFormatting>
  <conditionalFormatting sqref="I2">
    <cfRule type="duplicateValues" dxfId="541" priority="64"/>
    <cfRule type="duplicateValues" dxfId="540" priority="65"/>
  </conditionalFormatting>
  <conditionalFormatting sqref="I2">
    <cfRule type="duplicateValues" dxfId="539" priority="66"/>
    <cfRule type="duplicateValues" dxfId="538" priority="67"/>
    <cfRule type="duplicateValues" dxfId="537" priority="68"/>
  </conditionalFormatting>
  <conditionalFormatting sqref="I4">
    <cfRule type="duplicateValues" dxfId="536" priority="57"/>
  </conditionalFormatting>
  <conditionalFormatting sqref="I4">
    <cfRule type="duplicateValues" dxfId="535" priority="58"/>
    <cfRule type="duplicateValues" dxfId="534" priority="59"/>
  </conditionalFormatting>
  <conditionalFormatting sqref="I4">
    <cfRule type="duplicateValues" dxfId="533" priority="60"/>
    <cfRule type="duplicateValues" dxfId="532" priority="61"/>
    <cfRule type="duplicateValues" dxfId="531" priority="62"/>
  </conditionalFormatting>
  <conditionalFormatting sqref="I7">
    <cfRule type="duplicateValues" dxfId="530" priority="49"/>
  </conditionalFormatting>
  <conditionalFormatting sqref="I7">
    <cfRule type="duplicateValues" dxfId="529" priority="50"/>
  </conditionalFormatting>
  <conditionalFormatting sqref="I7">
    <cfRule type="duplicateValues" dxfId="528" priority="51"/>
  </conditionalFormatting>
  <conditionalFormatting sqref="I7">
    <cfRule type="duplicateValues" dxfId="527" priority="52"/>
    <cfRule type="duplicateValues" dxfId="526" priority="53"/>
  </conditionalFormatting>
  <conditionalFormatting sqref="I7">
    <cfRule type="duplicateValues" dxfId="525" priority="54"/>
    <cfRule type="duplicateValues" dxfId="524" priority="55"/>
  </conditionalFormatting>
  <conditionalFormatting sqref="I7">
    <cfRule type="duplicateValues" dxfId="523" priority="56"/>
  </conditionalFormatting>
  <conditionalFormatting sqref="I8">
    <cfRule type="duplicateValues" dxfId="522" priority="41"/>
  </conditionalFormatting>
  <conditionalFormatting sqref="I8">
    <cfRule type="duplicateValues" dxfId="521" priority="42"/>
  </conditionalFormatting>
  <conditionalFormatting sqref="I8">
    <cfRule type="duplicateValues" dxfId="520" priority="43"/>
  </conditionalFormatting>
  <conditionalFormatting sqref="I8">
    <cfRule type="duplicateValues" dxfId="519" priority="44"/>
    <cfRule type="duplicateValues" dxfId="518" priority="45"/>
  </conditionalFormatting>
  <conditionalFormatting sqref="I8">
    <cfRule type="duplicateValues" dxfId="517" priority="46"/>
    <cfRule type="duplicateValues" dxfId="516" priority="47"/>
  </conditionalFormatting>
  <conditionalFormatting sqref="I8">
    <cfRule type="duplicateValues" dxfId="515" priority="48"/>
  </conditionalFormatting>
  <conditionalFormatting sqref="G36">
    <cfRule type="duplicateValues" dxfId="514" priority="40"/>
  </conditionalFormatting>
  <conditionalFormatting sqref="G37">
    <cfRule type="duplicateValues" dxfId="513" priority="39"/>
  </conditionalFormatting>
  <conditionalFormatting sqref="G38:G39">
    <cfRule type="duplicateValues" dxfId="512" priority="38"/>
  </conditionalFormatting>
  <conditionalFormatting sqref="I6">
    <cfRule type="duplicateValues" dxfId="511" priority="30"/>
  </conditionalFormatting>
  <conditionalFormatting sqref="I6">
    <cfRule type="duplicateValues" dxfId="510" priority="31"/>
  </conditionalFormatting>
  <conditionalFormatting sqref="I6">
    <cfRule type="duplicateValues" dxfId="509" priority="32"/>
  </conditionalFormatting>
  <conditionalFormatting sqref="I6">
    <cfRule type="duplicateValues" dxfId="508" priority="33"/>
    <cfRule type="duplicateValues" dxfId="507" priority="34"/>
  </conditionalFormatting>
  <conditionalFormatting sqref="I6">
    <cfRule type="duplicateValues" dxfId="506" priority="35"/>
    <cfRule type="duplicateValues" dxfId="505" priority="36"/>
  </conditionalFormatting>
  <conditionalFormatting sqref="I6">
    <cfRule type="duplicateValues" dxfId="504" priority="37"/>
  </conditionalFormatting>
  <conditionalFormatting sqref="I36">
    <cfRule type="duplicateValues" dxfId="503" priority="28"/>
    <cfRule type="duplicateValues" dxfId="502" priority="29"/>
  </conditionalFormatting>
  <conditionalFormatting sqref="I36">
    <cfRule type="duplicateValues" dxfId="501" priority="27"/>
  </conditionalFormatting>
  <conditionalFormatting sqref="G40">
    <cfRule type="duplicateValues" dxfId="500" priority="26"/>
  </conditionalFormatting>
  <conditionalFormatting sqref="I40">
    <cfRule type="duplicateValues" dxfId="499" priority="24"/>
    <cfRule type="duplicateValues" dxfId="498" priority="25"/>
  </conditionalFormatting>
  <conditionalFormatting sqref="I40">
    <cfRule type="duplicateValues" dxfId="497" priority="23"/>
  </conditionalFormatting>
  <conditionalFormatting sqref="I3">
    <cfRule type="duplicateValues" dxfId="496" priority="17"/>
  </conditionalFormatting>
  <conditionalFormatting sqref="I3">
    <cfRule type="duplicateValues" dxfId="495" priority="18"/>
    <cfRule type="duplicateValues" dxfId="494" priority="19"/>
  </conditionalFormatting>
  <conditionalFormatting sqref="I3">
    <cfRule type="duplicateValues" dxfId="493" priority="20"/>
    <cfRule type="duplicateValues" dxfId="492" priority="21"/>
    <cfRule type="duplicateValues" dxfId="491" priority="22"/>
  </conditionalFormatting>
  <conditionalFormatting sqref="G41">
    <cfRule type="duplicateValues" dxfId="490" priority="61512"/>
  </conditionalFormatting>
  <conditionalFormatting sqref="I29">
    <cfRule type="duplicateValues" dxfId="489" priority="8"/>
  </conditionalFormatting>
  <conditionalFormatting sqref="I29">
    <cfRule type="duplicateValues" dxfId="488" priority="9"/>
  </conditionalFormatting>
  <conditionalFormatting sqref="I29">
    <cfRule type="duplicateValues" dxfId="487" priority="10"/>
  </conditionalFormatting>
  <conditionalFormatting sqref="I29">
    <cfRule type="duplicateValues" dxfId="486" priority="11"/>
    <cfRule type="duplicateValues" dxfId="485" priority="12"/>
  </conditionalFormatting>
  <conditionalFormatting sqref="I29">
    <cfRule type="duplicateValues" dxfId="484" priority="13"/>
    <cfRule type="duplicateValues" dxfId="483" priority="14"/>
  </conditionalFormatting>
  <conditionalFormatting sqref="I29">
    <cfRule type="duplicateValues" dxfId="482" priority="15"/>
  </conditionalFormatting>
  <conditionalFormatting sqref="I30">
    <cfRule type="duplicateValues" dxfId="481" priority="1"/>
  </conditionalFormatting>
  <conditionalFormatting sqref="I30">
    <cfRule type="duplicateValues" dxfId="480" priority="2"/>
  </conditionalFormatting>
  <conditionalFormatting sqref="I30">
    <cfRule type="duplicateValues" dxfId="479" priority="3"/>
    <cfRule type="duplicateValues" dxfId="478" priority="4"/>
  </conditionalFormatting>
  <conditionalFormatting sqref="I30">
    <cfRule type="duplicateValues" dxfId="477" priority="5"/>
    <cfRule type="duplicateValues" dxfId="476" priority="6"/>
  </conditionalFormatting>
  <conditionalFormatting sqref="I30">
    <cfRule type="duplicateValues" dxfId="475" priority="7"/>
  </conditionalFormatting>
  <dataValidations count="2">
    <dataValidation type="list" allowBlank="1" showInputMessage="1" showErrorMessage="1" sqref="Z11 BD11 BS11 K2:K1048576" xr:uid="{DA74E42B-43B6-44A5-91D8-A7EB8B4AFB1B}">
      <formula1>"Implement, Evaluate,Implement_NA,Evaluate_NA,Verify,Task,Task_NA"</formula1>
    </dataValidation>
    <dataValidation type="list" allowBlank="1" showInputMessage="1" showErrorMessage="1" sqref="AD11 BH11 BW11 CJ11 P12:T33 P2:T10 O1:O1048576 P39:T1048576" xr:uid="{6787DADC-1FA5-4ED4-B3EE-3431FDB9E65B}">
      <formula1>"On Track, At Risk,On Hold,Yet to start,Rejected,next Sprint, Closed, Awaited L2 review,Awaited DRB Review,Software Checked In,Cancelled, To Be Retagged, May Miss Deadline, On Time Delivery Missed, Transferred to COL Team, Deferred, Transferred to S/W team"</formula1>
    </dataValidation>
  </dataValidations>
  <pageMargins left="0.7" right="0.7" top="0.75" bottom="0.75" header="0.3" footer="0.3"/>
  <pageSetup scale="81" orientation="portrait" verticalDpi="4" r:id="rId1"/>
  <drawing r:id="rId2"/>
  <legacyDrawing r:id="rId3"/>
  <mc:AlternateContent xmlns:mc="http://schemas.openxmlformats.org/markup-compatibility/2006">
    <mc:Choice Requires="x14">
      <controls>
        <mc:AlternateContent xmlns:mc="http://schemas.openxmlformats.org/markup-compatibility/2006">
          <mc:Choice Requires="x14">
            <control shapeId="421889" r:id="rId4" name="CES_UpdatePB_Btn">
              <controlPr defaultSize="0" print="0" autoFill="0" autoPict="0" macro="[0]!CES_UpdatePB">
                <anchor moveWithCells="1" sizeWithCells="1">
                  <from>
                    <xdr:col>6</xdr:col>
                    <xdr:colOff>165100</xdr:colOff>
                    <xdr:row>0</xdr:row>
                    <xdr:rowOff>38100</xdr:rowOff>
                  </from>
                  <to>
                    <xdr:col>6</xdr:col>
                    <xdr:colOff>1022350</xdr:colOff>
                    <xdr:row>0</xdr:row>
                    <xdr:rowOff>260350</xdr:rowOff>
                  </to>
                </anchor>
              </controlPr>
            </control>
          </mc:Choice>
        </mc:AlternateContent>
        <mc:AlternateContent xmlns:mc="http://schemas.openxmlformats.org/markup-compatibility/2006">
          <mc:Choice Requires="x14">
            <control shapeId="421890" r:id="rId5" name="CES_UpdateCQ_Btn">
              <controlPr defaultSize="0" print="0" autoFill="0" autoPict="0" macro="[0]!CES_UpdateCQ">
                <anchor moveWithCells="1" sizeWithCells="1">
                  <from>
                    <xdr:col>0</xdr:col>
                    <xdr:colOff>50800</xdr:colOff>
                    <xdr:row>0</xdr:row>
                    <xdr:rowOff>38100</xdr:rowOff>
                  </from>
                  <to>
                    <xdr:col>1</xdr:col>
                    <xdr:colOff>965200</xdr:colOff>
                    <xdr:row>0</xdr:row>
                    <xdr:rowOff>260350</xdr:rowOff>
                  </to>
                </anchor>
              </controlPr>
            </control>
          </mc:Choice>
        </mc:AlternateContent>
        <mc:AlternateContent xmlns:mc="http://schemas.openxmlformats.org/markup-compatibility/2006">
          <mc:Choice Requires="x14">
            <control shapeId="421893" r:id="rId6" name="Button 5">
              <controlPr defaultSize="0" print="0" autoFill="0" autoPict="0" macro="[0]!CES_UpdatePB">
                <anchor moveWithCells="1" sizeWithCells="1">
                  <from>
                    <xdr:col>6</xdr:col>
                    <xdr:colOff>165100</xdr:colOff>
                    <xdr:row>0</xdr:row>
                    <xdr:rowOff>38100</xdr:rowOff>
                  </from>
                  <to>
                    <xdr:col>6</xdr:col>
                    <xdr:colOff>1022350</xdr:colOff>
                    <xdr:row>0</xdr:row>
                    <xdr:rowOff>260350</xdr:rowOff>
                  </to>
                </anchor>
              </controlPr>
            </control>
          </mc:Choice>
        </mc:AlternateContent>
        <mc:AlternateContent xmlns:mc="http://schemas.openxmlformats.org/markup-compatibility/2006">
          <mc:Choice Requires="x14">
            <control shapeId="421894" r:id="rId7" name="Button 6">
              <controlPr defaultSize="0" print="0" autoFill="0" autoPict="0" macro="[0]!CES_UpdateCQ">
                <anchor moveWithCells="1" sizeWithCells="1">
                  <from>
                    <xdr:col>0</xdr:col>
                    <xdr:colOff>50800</xdr:colOff>
                    <xdr:row>0</xdr:row>
                    <xdr:rowOff>38100</xdr:rowOff>
                  </from>
                  <to>
                    <xdr:col>1</xdr:col>
                    <xdr:colOff>965200</xdr:colOff>
                    <xdr:row>0</xdr:row>
                    <xdr:rowOff>260350</xdr:rowOff>
                  </to>
                </anchor>
              </controlPr>
            </control>
          </mc:Choice>
        </mc:AlternateContent>
      </controls>
    </mc:Choice>
  </mc:AlternateContent>
  <tableParts count="1">
    <tablePart r:id="rId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1F296-FDF3-483E-80C0-4A9089B79998}">
  <sheetPr codeName="Sheet8">
    <outlinePr summaryRight="0"/>
  </sheetPr>
  <dimension ref="A1:CR32"/>
  <sheetViews>
    <sheetView zoomScale="50" zoomScaleNormal="50" zoomScaleSheetLayoutView="80" workbookViewId="0">
      <pane ySplit="1" topLeftCell="A4" activePane="bottomLeft" state="frozen"/>
      <selection pane="bottomLeft" activeCell="H4" sqref="H4"/>
    </sheetView>
  </sheetViews>
  <sheetFormatPr defaultColWidth="11.42578125" defaultRowHeight="14.45" outlineLevelCol="1"/>
  <cols>
    <col min="1" max="1" width="11.42578125" style="22" customWidth="1"/>
    <col min="2" max="4" width="11.42578125" style="25" customWidth="1"/>
    <col min="5" max="7" width="11.42578125" style="22" customWidth="1"/>
    <col min="8" max="8" width="11.42578125" style="30" customWidth="1"/>
    <col min="9" max="9" width="11.42578125" style="24" customWidth="1"/>
    <col min="10" max="10" width="46.42578125" style="22" customWidth="1"/>
    <col min="11" max="13" width="11.42578125" style="22" customWidth="1"/>
    <col min="14" max="14" width="42.140625" style="22" customWidth="1"/>
    <col min="15" max="15" width="11.42578125" style="28" customWidth="1"/>
    <col min="16" max="17" width="11.140625" style="28" customWidth="1"/>
    <col min="18" max="18" width="17.42578125" style="28" customWidth="1"/>
    <col min="19" max="19" width="17.140625" style="28" customWidth="1"/>
    <col min="20" max="20" width="14.42578125" style="28" customWidth="1"/>
    <col min="21" max="21" width="18.42578125" style="22" customWidth="1"/>
    <col min="22" max="22" width="14.42578125" style="22" customWidth="1" collapsed="1"/>
    <col min="23" max="23" width="26.42578125" style="22" customWidth="1"/>
    <col min="24" max="24" width="12.42578125" style="22" customWidth="1"/>
    <col min="25" max="25" width="13.42578125" style="22" customWidth="1"/>
    <col min="26" max="26" width="12.5703125" style="22" customWidth="1"/>
    <col min="27" max="27" width="11.42578125" style="22" customWidth="1"/>
    <col min="28" max="28" width="44.42578125" style="29" customWidth="1"/>
    <col min="29" max="29" width="22.140625" style="22" customWidth="1" outlineLevel="1"/>
    <col min="30" max="30" width="12" style="22" customWidth="1" outlineLevel="1"/>
    <col min="31" max="31" width="16.140625" style="25" customWidth="1" outlineLevel="1"/>
    <col min="32" max="32" width="20.5703125" style="31" customWidth="1" outlineLevel="1"/>
    <col min="33" max="33" width="19.85546875" style="31" bestFit="1" customWidth="1" outlineLevel="1"/>
    <col min="34" max="34" width="12.85546875" style="22" customWidth="1" outlineLevel="1"/>
    <col min="35" max="35" width="11.42578125" style="22" customWidth="1" outlineLevel="1"/>
    <col min="36" max="36" width="12" style="26" customWidth="1" outlineLevel="1"/>
    <col min="37" max="37" width="13" style="22" customWidth="1" outlineLevel="1"/>
    <col min="38" max="38" width="21.5703125" style="22" customWidth="1" outlineLevel="1"/>
    <col min="39" max="40" width="14.85546875" style="27" customWidth="1"/>
    <col min="41" max="41" width="11.42578125" style="27" customWidth="1"/>
    <col min="42" max="42" width="22.140625" style="22" customWidth="1"/>
    <col min="43" max="43" width="22.85546875" style="25" customWidth="1"/>
    <col min="44" max="44" width="17.5703125" style="25" customWidth="1"/>
    <col min="45" max="45" width="11.42578125" style="27" customWidth="1"/>
    <col min="46" max="47" width="11.42578125" style="26" customWidth="1"/>
    <col min="48" max="51" width="11.42578125" style="22" customWidth="1"/>
    <col min="52" max="52" width="28.5703125" style="22" customWidth="1"/>
    <col min="53" max="53" width="60.42578125" style="22" customWidth="1"/>
    <col min="54" max="54" width="16.140625" style="22" customWidth="1"/>
    <col min="55" max="55" width="14.140625" style="22" customWidth="1"/>
    <col min="56" max="57" width="16.5703125" style="28" customWidth="1" outlineLevel="1"/>
    <col min="58" max="58" width="17.85546875" style="176" customWidth="1" outlineLevel="1"/>
    <col min="59" max="59" width="18.140625" style="28" customWidth="1" outlineLevel="1"/>
    <col min="60" max="60" width="21.85546875" style="177" customWidth="1" outlineLevel="1"/>
    <col min="61" max="61" width="16.85546875" style="28" customWidth="1"/>
    <col min="62" max="64" width="16.5703125" style="28" customWidth="1" outlineLevel="1"/>
    <col min="65" max="65" width="11.42578125" style="32" customWidth="1" outlineLevel="1"/>
    <col min="66" max="66" width="11.42578125" style="22" customWidth="1"/>
    <col min="67" max="69" width="11.42578125" style="25" customWidth="1"/>
    <col min="70" max="70" width="11.42578125" style="22" customWidth="1"/>
    <col min="71" max="71" width="11.42578125" style="27" customWidth="1"/>
    <col min="72" max="72" width="11.42578125" style="22" customWidth="1"/>
    <col min="73" max="73" width="11.42578125" style="27" customWidth="1"/>
    <col min="74" max="76" width="11.42578125" style="22" customWidth="1"/>
    <col min="77" max="77" width="17" style="22" customWidth="1"/>
    <col min="78" max="78" width="11.42578125" style="22" customWidth="1"/>
    <col min="79" max="79" width="41.85546875" style="23" customWidth="1"/>
    <col min="80" max="80" width="11.42578125" style="178" customWidth="1"/>
    <col min="81" max="81" width="11.42578125" style="103" customWidth="1"/>
    <col min="82" max="82" width="14" style="179" customWidth="1"/>
    <col min="83" max="83" width="14.7109375" style="179" customWidth="1"/>
    <col min="84" max="84" width="16.5703125" style="23" customWidth="1"/>
    <col min="85" max="87" width="11.42578125" style="23" customWidth="1"/>
    <col min="88" max="16384" width="11.42578125" style="23"/>
  </cols>
  <sheetData>
    <row r="1" spans="1:96" s="30" customFormat="1" ht="94.5">
      <c r="A1" s="159" t="s">
        <v>0</v>
      </c>
      <c r="B1" s="160" t="s">
        <v>1</v>
      </c>
      <c r="C1" s="160" t="s">
        <v>2</v>
      </c>
      <c r="D1" s="160" t="s">
        <v>3</v>
      </c>
      <c r="E1" s="161" t="s">
        <v>1433</v>
      </c>
      <c r="F1" s="341" t="s">
        <v>5</v>
      </c>
      <c r="G1" s="341" t="s">
        <v>6</v>
      </c>
      <c r="H1" s="341" t="s">
        <v>1434</v>
      </c>
      <c r="I1" s="70" t="s">
        <v>8</v>
      </c>
      <c r="J1" s="162" t="s">
        <v>9</v>
      </c>
      <c r="K1" s="163" t="s">
        <v>10</v>
      </c>
      <c r="L1" s="164" t="s">
        <v>11</v>
      </c>
      <c r="M1" s="165" t="s">
        <v>12</v>
      </c>
      <c r="N1" s="166" t="s">
        <v>13</v>
      </c>
      <c r="O1" s="76" t="s">
        <v>14</v>
      </c>
      <c r="P1" s="67" t="s">
        <v>15</v>
      </c>
      <c r="Q1" s="67" t="s">
        <v>16</v>
      </c>
      <c r="R1" s="67" t="s">
        <v>17</v>
      </c>
      <c r="S1" s="67" t="s">
        <v>18</v>
      </c>
      <c r="T1" s="67" t="s">
        <v>19</v>
      </c>
      <c r="U1" s="76" t="s">
        <v>20</v>
      </c>
      <c r="V1" s="76" t="s">
        <v>21</v>
      </c>
      <c r="W1" s="76" t="s">
        <v>22</v>
      </c>
      <c r="X1" s="76" t="s">
        <v>23</v>
      </c>
      <c r="Y1" s="77" t="s">
        <v>24</v>
      </c>
      <c r="Z1" s="78" t="s">
        <v>25</v>
      </c>
      <c r="AA1" s="79" t="s">
        <v>26</v>
      </c>
      <c r="AB1" s="80" t="s">
        <v>27</v>
      </c>
      <c r="AC1" s="65" t="s">
        <v>28</v>
      </c>
      <c r="AD1" s="65" t="s">
        <v>29</v>
      </c>
      <c r="AE1" s="81" t="s">
        <v>30</v>
      </c>
      <c r="AF1" s="82" t="s">
        <v>31</v>
      </c>
      <c r="AG1" s="83" t="s">
        <v>32</v>
      </c>
      <c r="AH1" s="83" t="s">
        <v>33</v>
      </c>
      <c r="AI1" s="69" t="s">
        <v>34</v>
      </c>
      <c r="AJ1" s="80" t="s">
        <v>35</v>
      </c>
      <c r="AK1" s="65" t="s">
        <v>36</v>
      </c>
      <c r="AL1" s="65" t="s">
        <v>37</v>
      </c>
      <c r="AM1" s="84" t="s">
        <v>38</v>
      </c>
      <c r="AN1" s="85" t="s">
        <v>39</v>
      </c>
      <c r="AO1" s="85" t="s">
        <v>40</v>
      </c>
      <c r="AP1" s="86" t="s">
        <v>41</v>
      </c>
      <c r="AQ1" s="87" t="s">
        <v>42</v>
      </c>
      <c r="AR1" s="87" t="s">
        <v>43</v>
      </c>
      <c r="AS1" s="85" t="s">
        <v>44</v>
      </c>
      <c r="AT1" s="85" t="s">
        <v>45</v>
      </c>
      <c r="AU1" s="85" t="s">
        <v>46</v>
      </c>
      <c r="AV1" s="76" t="s">
        <v>47</v>
      </c>
      <c r="AW1" s="88" t="s">
        <v>48</v>
      </c>
      <c r="AX1" s="89" t="s">
        <v>49</v>
      </c>
      <c r="AY1" s="71" t="s">
        <v>50</v>
      </c>
      <c r="AZ1" s="75" t="s">
        <v>51</v>
      </c>
      <c r="BA1" s="75" t="s">
        <v>52</v>
      </c>
      <c r="BB1" s="90" t="s">
        <v>53</v>
      </c>
      <c r="BC1" s="90" t="s">
        <v>54</v>
      </c>
      <c r="BD1" s="91" t="s">
        <v>55</v>
      </c>
      <c r="BE1" s="91" t="s">
        <v>56</v>
      </c>
      <c r="BF1" s="91" t="s">
        <v>57</v>
      </c>
      <c r="BG1" s="91" t="s">
        <v>58</v>
      </c>
      <c r="BH1" s="91" t="s">
        <v>59</v>
      </c>
      <c r="BI1" s="92" t="s">
        <v>60</v>
      </c>
      <c r="BJ1" s="91" t="s">
        <v>61</v>
      </c>
      <c r="BK1" s="91" t="s">
        <v>62</v>
      </c>
      <c r="BL1" s="91" t="s">
        <v>63</v>
      </c>
      <c r="BM1" s="91" t="s">
        <v>1435</v>
      </c>
      <c r="BN1" s="91" t="s">
        <v>65</v>
      </c>
      <c r="BO1" s="91" t="s">
        <v>66</v>
      </c>
      <c r="BP1" s="91" t="s">
        <v>67</v>
      </c>
      <c r="BQ1" s="91" t="s">
        <v>68</v>
      </c>
      <c r="BR1" s="91" t="s">
        <v>69</v>
      </c>
      <c r="BS1" s="91" t="s">
        <v>70</v>
      </c>
      <c r="BT1" s="91" t="s">
        <v>71</v>
      </c>
      <c r="BU1" s="91" t="s">
        <v>72</v>
      </c>
      <c r="BV1" s="91" t="s">
        <v>73</v>
      </c>
      <c r="BW1" s="91" t="s">
        <v>74</v>
      </c>
      <c r="BX1" s="91" t="s">
        <v>75</v>
      </c>
      <c r="BY1" s="91" t="s">
        <v>76</v>
      </c>
      <c r="BZ1" s="91" t="s">
        <v>77</v>
      </c>
      <c r="CA1" s="91" t="s">
        <v>78</v>
      </c>
      <c r="CB1" s="91" t="s">
        <v>79</v>
      </c>
      <c r="CC1" s="102" t="s">
        <v>80</v>
      </c>
      <c r="CD1" s="91" t="s">
        <v>1436</v>
      </c>
      <c r="CE1" s="91" t="s">
        <v>1437</v>
      </c>
      <c r="CF1" s="91" t="s">
        <v>1438</v>
      </c>
      <c r="CG1" s="91" t="s">
        <v>85</v>
      </c>
      <c r="CH1" s="91" t="s">
        <v>1439</v>
      </c>
      <c r="CI1" s="91" t="s">
        <v>1177</v>
      </c>
    </row>
    <row r="2" spans="1:96" ht="409.5" hidden="1">
      <c r="A2" s="106" t="s">
        <v>1380</v>
      </c>
      <c r="B2" s="49">
        <f>6+7+7+8+6+8+6+8+8+8+7.5+5.5+8+8+7+8.5+(4+5)</f>
        <v>125.5</v>
      </c>
      <c r="C2" s="49">
        <v>200</v>
      </c>
      <c r="D2" s="49">
        <f>Tracker2[[#This Row],[Estimated Hrs]]-Tracker2[[#This Row],[Actual Efforts (Hrs)]]</f>
        <v>74.5</v>
      </c>
      <c r="E2" s="134">
        <v>25.5</v>
      </c>
      <c r="F2" s="134" t="s">
        <v>1440</v>
      </c>
      <c r="G2" s="134" t="s">
        <v>1440</v>
      </c>
      <c r="H2" s="135">
        <v>17492028</v>
      </c>
      <c r="I2" s="127">
        <f>Tracker2[[#This Row],[
DCR ID - PTC]]</f>
        <v>17492028</v>
      </c>
      <c r="J2" s="108" t="s">
        <v>1392</v>
      </c>
      <c r="K2" s="108" t="s">
        <v>118</v>
      </c>
      <c r="L2" s="134"/>
      <c r="M2" s="134">
        <v>21</v>
      </c>
      <c r="N2" s="134" t="s">
        <v>1441</v>
      </c>
      <c r="O2" s="111" t="s">
        <v>115</v>
      </c>
      <c r="P2" s="123"/>
      <c r="Q2" s="123"/>
      <c r="R2" s="123"/>
      <c r="S2" s="123"/>
      <c r="T2" s="123"/>
      <c r="U2" s="134"/>
      <c r="V2" s="134"/>
      <c r="W2" s="134"/>
      <c r="X2" s="134"/>
      <c r="Y2" s="134"/>
      <c r="Z2" s="134"/>
      <c r="AA2" s="134"/>
      <c r="AC2" s="134"/>
      <c r="AD2" s="134" t="s">
        <v>93</v>
      </c>
      <c r="AE2" s="49"/>
      <c r="AF2" s="136"/>
      <c r="AG2" s="137">
        <v>46093</v>
      </c>
      <c r="AH2" s="134" t="s">
        <v>109</v>
      </c>
      <c r="AI2" s="134" t="s">
        <v>95</v>
      </c>
      <c r="AJ2" s="138">
        <v>46142.395833333336</v>
      </c>
      <c r="AK2" s="134" t="s">
        <v>96</v>
      </c>
      <c r="AL2" s="137">
        <v>45915.820856481485</v>
      </c>
      <c r="AM2" s="139"/>
      <c r="AN2" s="139"/>
      <c r="AO2" s="116">
        <v>46136</v>
      </c>
      <c r="AP2" s="134"/>
      <c r="AQ2" s="49"/>
      <c r="AR2" s="49"/>
      <c r="AS2" s="139"/>
      <c r="AT2" s="138"/>
      <c r="AU2" s="138"/>
      <c r="AV2" s="134"/>
      <c r="AW2" s="134"/>
      <c r="AX2" s="134" t="s">
        <v>97</v>
      </c>
      <c r="AY2" s="134" t="s">
        <v>98</v>
      </c>
      <c r="AZ2" s="134"/>
      <c r="BA2" s="134"/>
      <c r="BB2" s="134"/>
      <c r="BC2" s="134"/>
      <c r="BD2" s="123"/>
      <c r="BE2" s="123"/>
      <c r="BF2" s="172"/>
      <c r="BG2" s="123"/>
      <c r="BH2" s="173"/>
      <c r="BI2" s="123"/>
      <c r="BJ2" s="123"/>
      <c r="BK2" s="123"/>
      <c r="BL2" s="123"/>
      <c r="BM2" s="140" t="e">
        <v>#N/A</v>
      </c>
      <c r="BN2" s="123"/>
      <c r="BO2" s="140"/>
      <c r="BP2" s="140"/>
      <c r="BQ2" s="140"/>
      <c r="BR2" s="123"/>
      <c r="BS2" s="141"/>
      <c r="BT2" s="123"/>
      <c r="BU2" s="141"/>
      <c r="BV2" s="123"/>
      <c r="BW2" s="123"/>
      <c r="BX2" s="123"/>
      <c r="BY2" s="123"/>
      <c r="BZ2" s="123"/>
      <c r="CA2" s="123"/>
      <c r="CB2" s="174">
        <v>0.6</v>
      </c>
      <c r="CC2" s="140" t="s">
        <v>93</v>
      </c>
      <c r="CD2" s="175" t="s">
        <v>1442</v>
      </c>
      <c r="CE2" s="175" t="s">
        <v>1443</v>
      </c>
      <c r="CF2" s="170">
        <v>46136</v>
      </c>
      <c r="CG2" s="123" t="e">
        <v>#N/A</v>
      </c>
      <c r="CH2" s="123" t="s">
        <v>125</v>
      </c>
      <c r="CI2" s="123" t="s">
        <v>1444</v>
      </c>
    </row>
    <row r="3" spans="1:96" ht="57.95" hidden="1">
      <c r="A3" s="106" t="s">
        <v>449</v>
      </c>
      <c r="B3" s="49">
        <f>4+7+6.5+2.5+6.5+5.5+5.5+8.5+6.5+4+15+9+6.5+5+6.5+10.5+0.5+1+1+2+4+5.5+1+3+3+2+3+6+2+1+1+2+1+0+4.5+6.5+2+3+5+1+4</f>
        <v>174</v>
      </c>
      <c r="C3" s="49">
        <v>350</v>
      </c>
      <c r="D3" s="49">
        <f>Tracker2[[#This Row],[Estimated Hrs]]-Tracker2[[#This Row],[Actual Efforts (Hrs)]]</f>
        <v>176</v>
      </c>
      <c r="E3" s="134">
        <v>25.5</v>
      </c>
      <c r="F3" s="134"/>
      <c r="G3" s="150"/>
      <c r="H3" s="135">
        <v>17494197</v>
      </c>
      <c r="I3" s="127">
        <f>Tracker2[[#This Row],[
DCR ID - PTC]]</f>
        <v>17494197</v>
      </c>
      <c r="J3" s="108" t="s">
        <v>1445</v>
      </c>
      <c r="K3" s="108" t="s">
        <v>101</v>
      </c>
      <c r="L3" s="134"/>
      <c r="M3" s="134">
        <v>21</v>
      </c>
      <c r="N3" s="134" t="s">
        <v>1446</v>
      </c>
      <c r="O3" s="111" t="s">
        <v>115</v>
      </c>
      <c r="P3" s="123"/>
      <c r="Q3" s="123"/>
      <c r="R3" s="123"/>
      <c r="S3" s="123"/>
      <c r="T3" s="123"/>
      <c r="U3" s="134"/>
      <c r="V3" s="134"/>
      <c r="W3" s="134"/>
      <c r="X3" s="134"/>
      <c r="Y3" s="134"/>
      <c r="Z3" s="134"/>
      <c r="AA3" s="134"/>
      <c r="AC3" s="134"/>
      <c r="AD3" s="134" t="s">
        <v>93</v>
      </c>
      <c r="AE3" s="49"/>
      <c r="AF3" s="136"/>
      <c r="AG3" s="137"/>
      <c r="AH3" s="134" t="s">
        <v>109</v>
      </c>
      <c r="AI3" s="134" t="s">
        <v>95</v>
      </c>
      <c r="AJ3" s="138">
        <v>46142.395833333336</v>
      </c>
      <c r="AK3" s="134" t="s">
        <v>96</v>
      </c>
      <c r="AL3" s="137">
        <v>45915.820856481485</v>
      </c>
      <c r="AM3" s="139"/>
      <c r="AN3" s="139"/>
      <c r="AO3" s="116">
        <v>46141</v>
      </c>
      <c r="AP3" s="134"/>
      <c r="AQ3" s="49"/>
      <c r="AR3" s="49"/>
      <c r="AS3" s="139"/>
      <c r="AT3" s="138"/>
      <c r="AU3" s="138"/>
      <c r="AV3" s="134"/>
      <c r="AW3" s="134"/>
      <c r="AX3" s="134"/>
      <c r="AY3" s="134" t="s">
        <v>98</v>
      </c>
      <c r="AZ3" s="134"/>
      <c r="BA3" s="134"/>
      <c r="BB3" s="134"/>
      <c r="BC3" s="134"/>
      <c r="BD3" s="123"/>
      <c r="BE3" s="123"/>
      <c r="BF3" s="172"/>
      <c r="BG3" s="123"/>
      <c r="BH3" s="173"/>
      <c r="BI3" s="123"/>
      <c r="BJ3" s="123"/>
      <c r="BK3" s="123"/>
      <c r="BL3" s="123"/>
      <c r="BM3" s="140" t="s">
        <v>1447</v>
      </c>
      <c r="BN3" s="123"/>
      <c r="BO3" s="140"/>
      <c r="BP3" s="140"/>
      <c r="BQ3" s="140"/>
      <c r="BR3" s="123"/>
      <c r="BS3" s="141"/>
      <c r="BT3" s="123"/>
      <c r="BU3" s="141"/>
      <c r="BV3" s="123"/>
      <c r="BW3" s="123"/>
      <c r="BX3" s="123"/>
      <c r="BY3" s="123"/>
      <c r="BZ3" s="123"/>
      <c r="CA3" s="123"/>
      <c r="CB3" s="174"/>
      <c r="CC3" s="140"/>
      <c r="CD3" s="175" t="s">
        <v>1448</v>
      </c>
      <c r="CE3" s="175" t="s">
        <v>1449</v>
      </c>
      <c r="CF3" s="170" t="s">
        <v>1450</v>
      </c>
      <c r="CG3" s="123" t="s">
        <v>182</v>
      </c>
      <c r="CH3" s="123"/>
      <c r="CI3" s="123"/>
    </row>
    <row r="4" spans="1:96" ht="409.5">
      <c r="A4" s="106" t="s">
        <v>1451</v>
      </c>
      <c r="B4" s="49">
        <f>6+8+8+8+8+4+7+6+6+7+1+7+4+4+2+6+7+7+4+4.5+5.5+(0.75)+7.5+4+6+6+8+6+6+5+4.5+7+7.5+6.5+7+7+7+5.5+6</f>
        <v>227.25</v>
      </c>
      <c r="C4" s="49">
        <v>420</v>
      </c>
      <c r="D4" s="49">
        <f>Tracker2[[#This Row],[Estimated Hrs]]-Tracker2[[#This Row],[Actual Efforts (Hrs)]]</f>
        <v>192.75</v>
      </c>
      <c r="E4" s="134">
        <v>25.5</v>
      </c>
      <c r="F4" s="134" t="s">
        <v>1440</v>
      </c>
      <c r="G4" s="134" t="s">
        <v>1440</v>
      </c>
      <c r="H4" s="135">
        <v>18241536</v>
      </c>
      <c r="I4" s="127">
        <f>Tracker2[[#This Row],[
DCR ID - PTC]]</f>
        <v>18241536</v>
      </c>
      <c r="J4" s="108" t="s">
        <v>1452</v>
      </c>
      <c r="K4" s="108" t="s">
        <v>118</v>
      </c>
      <c r="L4" s="134"/>
      <c r="M4" s="134">
        <v>21</v>
      </c>
      <c r="N4" s="134" t="s">
        <v>1453</v>
      </c>
      <c r="O4" s="111" t="s">
        <v>115</v>
      </c>
      <c r="P4" s="123"/>
      <c r="Q4" s="123"/>
      <c r="R4" s="123"/>
      <c r="S4" s="123"/>
      <c r="T4" s="123"/>
      <c r="U4" s="134"/>
      <c r="V4" s="134"/>
      <c r="W4" s="134"/>
      <c r="X4" s="134"/>
      <c r="Y4" s="134"/>
      <c r="Z4" s="134"/>
      <c r="AA4" s="134"/>
      <c r="AC4" s="134"/>
      <c r="AD4" s="134" t="s">
        <v>93</v>
      </c>
      <c r="AE4" s="49"/>
      <c r="AF4" s="136"/>
      <c r="AG4" s="137">
        <v>46054</v>
      </c>
      <c r="AH4" s="134" t="s">
        <v>109</v>
      </c>
      <c r="AI4" s="134" t="s">
        <v>95</v>
      </c>
      <c r="AJ4" s="138">
        <v>46142.395833333336</v>
      </c>
      <c r="AK4" s="134" t="s">
        <v>96</v>
      </c>
      <c r="AL4" s="137">
        <v>45915.820856481485</v>
      </c>
      <c r="AM4" s="139"/>
      <c r="AN4" s="139"/>
      <c r="AO4" s="116">
        <v>46139</v>
      </c>
      <c r="AP4" s="134"/>
      <c r="AQ4" s="49"/>
      <c r="AR4" s="49"/>
      <c r="AS4" s="139"/>
      <c r="AT4" s="138"/>
      <c r="AU4" s="138"/>
      <c r="AV4" s="134"/>
      <c r="AW4" s="134"/>
      <c r="AX4" s="134" t="s">
        <v>97</v>
      </c>
      <c r="AY4" s="134" t="s">
        <v>98</v>
      </c>
      <c r="AZ4" s="134"/>
      <c r="BA4" s="134"/>
      <c r="BB4" s="134"/>
      <c r="BC4" s="134"/>
      <c r="BD4" s="123"/>
      <c r="BE4" s="123"/>
      <c r="BF4" s="172"/>
      <c r="BG4" s="123"/>
      <c r="BH4" s="173"/>
      <c r="BI4" s="123"/>
      <c r="BJ4" s="123"/>
      <c r="BK4" s="123"/>
      <c r="BL4" s="123"/>
      <c r="BM4" s="140" t="s">
        <v>1447</v>
      </c>
      <c r="BN4" s="123"/>
      <c r="BO4" s="140"/>
      <c r="BP4" s="140"/>
      <c r="BQ4" s="140"/>
      <c r="BR4" s="123"/>
      <c r="BS4" s="141"/>
      <c r="BT4" s="123"/>
      <c r="BU4" s="141"/>
      <c r="BV4" s="123"/>
      <c r="BW4" s="123"/>
      <c r="BX4" s="123"/>
      <c r="BY4" s="123"/>
      <c r="BZ4" s="123"/>
      <c r="CA4" s="123"/>
      <c r="CB4" s="174">
        <v>0.6</v>
      </c>
      <c r="CC4" s="140" t="s">
        <v>93</v>
      </c>
      <c r="CD4" s="175" t="s">
        <v>1454</v>
      </c>
      <c r="CE4" s="175" t="s">
        <v>1455</v>
      </c>
      <c r="CF4" s="170" t="s">
        <v>1456</v>
      </c>
      <c r="CG4" s="123" t="s">
        <v>182</v>
      </c>
      <c r="CH4" s="123" t="s">
        <v>785</v>
      </c>
      <c r="CI4" s="123" t="s">
        <v>1444</v>
      </c>
    </row>
    <row r="5" spans="1:96" ht="377.1" hidden="1">
      <c r="A5" s="106" t="s">
        <v>1457</v>
      </c>
      <c r="B5" s="107">
        <f>2+2+3+4.5+10+9+16+3+6+2+7+8.5+7+2+6+0.5+5+1.5</f>
        <v>95</v>
      </c>
      <c r="C5" s="49">
        <v>20</v>
      </c>
      <c r="D5" s="49">
        <f>Tracker2[[#This Row],[Estimated Hrs]]-Tracker2[[#This Row],[Actual Efforts (Hrs)]]</f>
        <v>-75</v>
      </c>
      <c r="E5" s="108">
        <f t="shared" ref="E5" si="0">2+3+1.5+1.5+2.5+3+4+4+4</f>
        <v>25.5</v>
      </c>
      <c r="F5" s="134" t="s">
        <v>1440</v>
      </c>
      <c r="G5" s="134" t="s">
        <v>1440</v>
      </c>
      <c r="H5" s="109">
        <v>18165771</v>
      </c>
      <c r="I5" s="127">
        <f>Tracker2[[#This Row],[
DCR ID - PTC]]</f>
        <v>18165771</v>
      </c>
      <c r="J5" s="108" t="s">
        <v>1458</v>
      </c>
      <c r="K5" s="108" t="s">
        <v>118</v>
      </c>
      <c r="L5" s="108"/>
      <c r="M5" s="108">
        <f t="shared" ref="M5" si="1">7+4+3+6+1</f>
        <v>21</v>
      </c>
      <c r="N5" s="108" t="s">
        <v>1459</v>
      </c>
      <c r="O5" s="111" t="s">
        <v>106</v>
      </c>
      <c r="P5" s="111"/>
      <c r="Q5" s="111"/>
      <c r="R5" s="111"/>
      <c r="S5" s="111"/>
      <c r="T5" s="111"/>
      <c r="U5" s="108"/>
      <c r="V5" s="108"/>
      <c r="W5" s="108"/>
      <c r="X5" s="108"/>
      <c r="Y5" s="108"/>
      <c r="Z5" s="108"/>
      <c r="AA5" s="108"/>
      <c r="AB5" s="112"/>
      <c r="AC5" s="108"/>
      <c r="AD5" s="108"/>
      <c r="AE5" s="107"/>
      <c r="AF5" s="113"/>
      <c r="AG5" s="115">
        <v>46010</v>
      </c>
      <c r="AH5" s="108"/>
      <c r="AI5" s="108"/>
      <c r="AJ5" s="114"/>
      <c r="AK5" s="108"/>
      <c r="AL5" s="115"/>
      <c r="AM5" s="116"/>
      <c r="AN5" s="116"/>
      <c r="AO5" s="116">
        <v>46066</v>
      </c>
      <c r="AP5" s="108"/>
      <c r="AQ5" s="107"/>
      <c r="AR5" s="107"/>
      <c r="AS5" s="116">
        <v>46073</v>
      </c>
      <c r="AT5" s="114">
        <v>46062</v>
      </c>
      <c r="AU5" s="114">
        <v>46063</v>
      </c>
      <c r="AV5" s="108"/>
      <c r="AW5" s="108"/>
      <c r="AX5" s="134" t="s">
        <v>97</v>
      </c>
      <c r="AY5" s="134" t="s">
        <v>98</v>
      </c>
      <c r="AZ5" s="108"/>
      <c r="BA5" s="108"/>
      <c r="BB5" s="108"/>
      <c r="BC5" s="108"/>
      <c r="BD5" s="111"/>
      <c r="BE5" s="111"/>
      <c r="BF5" s="167"/>
      <c r="BG5" s="111"/>
      <c r="BH5" s="168"/>
      <c r="BI5" s="111"/>
      <c r="BJ5" s="111"/>
      <c r="BK5" s="111"/>
      <c r="BL5" s="111"/>
      <c r="BM5" s="140" t="s">
        <v>125</v>
      </c>
      <c r="BN5" s="111"/>
      <c r="BO5" s="117"/>
      <c r="BP5" s="117"/>
      <c r="BQ5" s="117"/>
      <c r="BR5" s="111"/>
      <c r="BS5" s="118"/>
      <c r="BT5" s="111"/>
      <c r="BU5" s="118"/>
      <c r="BV5" s="111"/>
      <c r="BW5" s="111"/>
      <c r="BX5" s="111"/>
      <c r="BY5" s="111"/>
      <c r="BZ5" s="111"/>
      <c r="CA5" s="111"/>
      <c r="CB5" s="169">
        <v>1</v>
      </c>
      <c r="CC5" s="117" t="s">
        <v>125</v>
      </c>
      <c r="CD5" s="175" t="s">
        <v>125</v>
      </c>
      <c r="CE5" s="175" t="s">
        <v>125</v>
      </c>
      <c r="CF5" s="170">
        <v>46062</v>
      </c>
      <c r="CG5" s="123" t="s">
        <v>125</v>
      </c>
      <c r="CH5" s="111" t="s">
        <v>125</v>
      </c>
      <c r="CI5" s="111" t="s">
        <v>1460</v>
      </c>
    </row>
    <row r="6" spans="1:96" ht="409.5" hidden="1">
      <c r="A6" s="106" t="s">
        <v>1461</v>
      </c>
      <c r="B6" s="107">
        <f>6+3.5+3+6.5+7+7+7+4+6.5+7+7+6.5+7+7.5+7+8+7.5+7+7+7.5+7.5+7.5+8+7.5+8+7+8+8+7+5.5+8+8+8+8</f>
        <v>235.5</v>
      </c>
      <c r="C6" s="49">
        <v>200</v>
      </c>
      <c r="D6" s="49">
        <f>Tracker2[[#This Row],[Estimated Hrs]]-Tracker2[[#This Row],[Actual Efforts (Hrs)]]</f>
        <v>-35.5</v>
      </c>
      <c r="E6" s="108">
        <v>25.5</v>
      </c>
      <c r="F6" s="134" t="s">
        <v>1440</v>
      </c>
      <c r="G6" s="134" t="s">
        <v>1440</v>
      </c>
      <c r="H6" s="109">
        <v>17494197</v>
      </c>
      <c r="I6" s="127">
        <f>Tracker2[[#This Row],[
DCR ID - PTC]]</f>
        <v>17494197</v>
      </c>
      <c r="J6" s="108" t="s">
        <v>1445</v>
      </c>
      <c r="K6" s="108" t="s">
        <v>118</v>
      </c>
      <c r="L6" s="108"/>
      <c r="M6" s="108">
        <v>21</v>
      </c>
      <c r="N6" s="108" t="s">
        <v>1462</v>
      </c>
      <c r="O6" s="111" t="s">
        <v>115</v>
      </c>
      <c r="P6" s="111"/>
      <c r="Q6" s="111"/>
      <c r="R6" s="111"/>
      <c r="S6" s="111"/>
      <c r="T6" s="111"/>
      <c r="U6" s="108"/>
      <c r="V6" s="108"/>
      <c r="W6" s="108"/>
      <c r="X6" s="108"/>
      <c r="Y6" s="108"/>
      <c r="Z6" s="108"/>
      <c r="AA6" s="108"/>
      <c r="AB6" s="112"/>
      <c r="AC6" s="108"/>
      <c r="AD6" s="108"/>
      <c r="AE6" s="107"/>
      <c r="AF6" s="113"/>
      <c r="AG6" s="115">
        <v>46054</v>
      </c>
      <c r="AH6" s="108"/>
      <c r="AI6" s="108"/>
      <c r="AJ6" s="114"/>
      <c r="AK6" s="108"/>
      <c r="AL6" s="115"/>
      <c r="AM6" s="116"/>
      <c r="AN6" s="116"/>
      <c r="AO6" s="116">
        <v>46141</v>
      </c>
      <c r="AP6" s="108"/>
      <c r="AQ6" s="107"/>
      <c r="AR6" s="107"/>
      <c r="AS6" s="116"/>
      <c r="AT6" s="114"/>
      <c r="AU6" s="114"/>
      <c r="AV6" s="108"/>
      <c r="AW6" s="108"/>
      <c r="AX6" s="134" t="s">
        <v>97</v>
      </c>
      <c r="AY6" s="134" t="s">
        <v>98</v>
      </c>
      <c r="AZ6" s="108"/>
      <c r="BA6" s="108"/>
      <c r="BB6" s="108"/>
      <c r="BC6" s="108"/>
      <c r="BD6" s="111"/>
      <c r="BE6" s="111"/>
      <c r="BF6" s="167"/>
      <c r="BG6" s="111"/>
      <c r="BH6" s="168"/>
      <c r="BI6" s="111"/>
      <c r="BJ6" s="111"/>
      <c r="BK6" s="111"/>
      <c r="BL6" s="111"/>
      <c r="BM6" s="140" t="s">
        <v>1447</v>
      </c>
      <c r="BN6" s="111"/>
      <c r="BO6" s="117"/>
      <c r="BP6" s="117"/>
      <c r="BQ6" s="117"/>
      <c r="BR6" s="111"/>
      <c r="BS6" s="118"/>
      <c r="BT6" s="111"/>
      <c r="BU6" s="118"/>
      <c r="BV6" s="111"/>
      <c r="BW6" s="111"/>
      <c r="BX6" s="111"/>
      <c r="BY6" s="111"/>
      <c r="BZ6" s="111"/>
      <c r="CA6" s="111"/>
      <c r="CB6" s="169">
        <v>0.94499999999999995</v>
      </c>
      <c r="CC6" s="117" t="s">
        <v>93</v>
      </c>
      <c r="CD6" s="175" t="s">
        <v>1463</v>
      </c>
      <c r="CE6" s="175" t="s">
        <v>1464</v>
      </c>
      <c r="CF6" s="170">
        <v>46128</v>
      </c>
      <c r="CG6" s="123" t="s">
        <v>182</v>
      </c>
      <c r="CH6" s="111" t="s">
        <v>125</v>
      </c>
      <c r="CI6" s="111" t="s">
        <v>1465</v>
      </c>
    </row>
    <row r="7" spans="1:96" ht="246.6" hidden="1">
      <c r="A7" s="106" t="s">
        <v>1461</v>
      </c>
      <c r="B7" s="107">
        <f>3.5+6+6+5+1.5+1+5+2.5+4+(7.5)+2</f>
        <v>44</v>
      </c>
      <c r="C7" s="107">
        <v>30</v>
      </c>
      <c r="D7" s="107">
        <f>Tracker2[[#This Row],[Estimated Hrs]]-Tracker2[[#This Row],[Actual Efforts (Hrs)]]</f>
        <v>-14</v>
      </c>
      <c r="E7" s="108">
        <f>2+3+1.5+1.5+2.5+3+4+4+4</f>
        <v>25.5</v>
      </c>
      <c r="F7" s="134" t="s">
        <v>1440</v>
      </c>
      <c r="G7" s="134" t="s">
        <v>1440</v>
      </c>
      <c r="H7" s="109">
        <v>18139347</v>
      </c>
      <c r="I7" s="127">
        <f>Tracker2[[#This Row],[
DCR ID - PTC]]</f>
        <v>18139347</v>
      </c>
      <c r="J7" s="108" t="s">
        <v>1398</v>
      </c>
      <c r="K7" s="108" t="s">
        <v>104</v>
      </c>
      <c r="L7" s="108"/>
      <c r="M7" s="108">
        <f>7+4+3+6+1</f>
        <v>21</v>
      </c>
      <c r="N7" s="108" t="s">
        <v>1466</v>
      </c>
      <c r="O7" s="111" t="s">
        <v>106</v>
      </c>
      <c r="P7" s="111"/>
      <c r="Q7" s="111"/>
      <c r="R7" s="111"/>
      <c r="S7" s="111"/>
      <c r="T7" s="111"/>
      <c r="U7" s="108"/>
      <c r="V7" s="108"/>
      <c r="W7" s="108"/>
      <c r="X7" s="108"/>
      <c r="Y7" s="108"/>
      <c r="Z7" s="108"/>
      <c r="AA7" s="108"/>
      <c r="AB7" s="112"/>
      <c r="AC7" s="108"/>
      <c r="AD7" s="108"/>
      <c r="AE7" s="107"/>
      <c r="AF7" s="113"/>
      <c r="AG7" s="115">
        <v>46056</v>
      </c>
      <c r="AH7" s="108"/>
      <c r="AI7" s="108"/>
      <c r="AJ7" s="114"/>
      <c r="AK7" s="108"/>
      <c r="AL7" s="115"/>
      <c r="AM7" s="116"/>
      <c r="AN7" s="116"/>
      <c r="AO7" s="116">
        <v>46073</v>
      </c>
      <c r="AP7" s="108"/>
      <c r="AQ7" s="107"/>
      <c r="AR7" s="107"/>
      <c r="AS7" s="116">
        <v>46073</v>
      </c>
      <c r="AT7" s="114">
        <v>46072</v>
      </c>
      <c r="AU7" s="114">
        <v>46078</v>
      </c>
      <c r="AV7" s="108"/>
      <c r="AW7" s="108"/>
      <c r="AX7" s="134" t="s">
        <v>97</v>
      </c>
      <c r="AY7" s="134" t="s">
        <v>98</v>
      </c>
      <c r="AZ7" s="108"/>
      <c r="BA7" s="108"/>
      <c r="BB7" s="108"/>
      <c r="BC7" s="108"/>
      <c r="BD7" s="111"/>
      <c r="BE7" s="111"/>
      <c r="BF7" s="167"/>
      <c r="BG7" s="111"/>
      <c r="BH7" s="168"/>
      <c r="BI7" s="111"/>
      <c r="BJ7" s="111"/>
      <c r="BK7" s="111"/>
      <c r="BL7" s="111"/>
      <c r="BM7" s="117" t="s">
        <v>462</v>
      </c>
      <c r="BN7" s="111"/>
      <c r="BO7" s="117"/>
      <c r="BP7" s="117"/>
      <c r="BQ7" s="117"/>
      <c r="BR7" s="111"/>
      <c r="BS7" s="118"/>
      <c r="BT7" s="111"/>
      <c r="BU7" s="118"/>
      <c r="BV7" s="111"/>
      <c r="BW7" s="111"/>
      <c r="BX7" s="111"/>
      <c r="BY7" s="111"/>
      <c r="BZ7" s="111"/>
      <c r="CA7" s="111"/>
      <c r="CB7" s="169">
        <v>1</v>
      </c>
      <c r="CC7" s="117" t="s">
        <v>125</v>
      </c>
      <c r="CD7" s="170">
        <v>46066</v>
      </c>
      <c r="CE7" s="171">
        <v>46069</v>
      </c>
      <c r="CF7" s="170">
        <v>46070</v>
      </c>
      <c r="CG7" s="111" t="s">
        <v>182</v>
      </c>
      <c r="CH7" s="111">
        <v>46073</v>
      </c>
      <c r="CI7" s="111" t="s">
        <v>1460</v>
      </c>
    </row>
    <row r="8" spans="1:96" ht="101.45" hidden="1">
      <c r="A8" s="106" t="s">
        <v>1376</v>
      </c>
      <c r="B8" s="107">
        <f>3+4+3+5.5+8+7+3+1+1</f>
        <v>35.5</v>
      </c>
      <c r="C8" s="49">
        <v>70</v>
      </c>
      <c r="D8" s="49">
        <f>Tracker2[[#This Row],[Estimated Hrs]]-Tracker2[[#This Row],[Actual Efforts (Hrs)]]</f>
        <v>34.5</v>
      </c>
      <c r="E8" s="108">
        <f>2+3+1.5+1.5+2.5+3+4+4+4</f>
        <v>25.5</v>
      </c>
      <c r="F8" s="134" t="s">
        <v>1440</v>
      </c>
      <c r="G8" s="134" t="s">
        <v>1440</v>
      </c>
      <c r="H8" s="109">
        <v>18067411</v>
      </c>
      <c r="I8" s="127">
        <f>Tracker2[[#This Row],[
DCR ID - PTC]]</f>
        <v>18067411</v>
      </c>
      <c r="J8" s="333" t="s">
        <v>1397</v>
      </c>
      <c r="K8" s="108" t="s">
        <v>118</v>
      </c>
      <c r="L8" s="108"/>
      <c r="M8" s="108">
        <f>7+4+3+6+1</f>
        <v>21</v>
      </c>
      <c r="N8" s="108" t="s">
        <v>1467</v>
      </c>
      <c r="O8" s="111" t="s">
        <v>115</v>
      </c>
      <c r="P8" s="111"/>
      <c r="Q8" s="111"/>
      <c r="R8" s="111"/>
      <c r="S8" s="111"/>
      <c r="T8" s="111"/>
      <c r="U8" s="108"/>
      <c r="V8" s="108"/>
      <c r="W8" s="108"/>
      <c r="X8" s="108"/>
      <c r="Y8" s="108"/>
      <c r="Z8" s="108"/>
      <c r="AA8" s="108"/>
      <c r="AB8" s="112"/>
      <c r="AC8" s="108"/>
      <c r="AD8" s="108"/>
      <c r="AE8" s="107"/>
      <c r="AF8" s="113"/>
      <c r="AG8" s="115">
        <v>46056</v>
      </c>
      <c r="AH8" s="108"/>
      <c r="AI8" s="108"/>
      <c r="AJ8" s="114"/>
      <c r="AK8" s="108"/>
      <c r="AL8" s="115"/>
      <c r="AM8" s="116"/>
      <c r="AN8" s="116"/>
      <c r="AO8" s="116">
        <v>46136</v>
      </c>
      <c r="AP8" s="108"/>
      <c r="AQ8" s="107"/>
      <c r="AR8" s="107"/>
      <c r="AS8" s="116"/>
      <c r="AT8" s="114"/>
      <c r="AU8" s="114"/>
      <c r="AV8" s="108"/>
      <c r="AW8" s="108"/>
      <c r="AX8" s="134" t="s">
        <v>97</v>
      </c>
      <c r="AY8" s="134" t="s">
        <v>98</v>
      </c>
      <c r="AZ8" s="108"/>
      <c r="BA8" s="108"/>
      <c r="BB8" s="108"/>
      <c r="BC8" s="108"/>
      <c r="BD8" s="111"/>
      <c r="BE8" s="111"/>
      <c r="BF8" s="167"/>
      <c r="BG8" s="111"/>
      <c r="BH8" s="168"/>
      <c r="BI8" s="111"/>
      <c r="BJ8" s="111"/>
      <c r="BK8" s="111"/>
      <c r="BL8" s="111"/>
      <c r="BM8" s="140" t="s">
        <v>467</v>
      </c>
      <c r="BN8" s="111"/>
      <c r="BO8" s="117"/>
      <c r="BP8" s="117"/>
      <c r="BQ8" s="117"/>
      <c r="BR8" s="111"/>
      <c r="BS8" s="118"/>
      <c r="BT8" s="111"/>
      <c r="BU8" s="118"/>
      <c r="BV8" s="111"/>
      <c r="BW8" s="111"/>
      <c r="BX8" s="111"/>
      <c r="BY8" s="111"/>
      <c r="BZ8" s="111"/>
      <c r="CA8" s="111"/>
      <c r="CB8" s="169">
        <v>0.2</v>
      </c>
      <c r="CC8" s="117" t="s">
        <v>93</v>
      </c>
      <c r="CD8" s="175">
        <v>46122</v>
      </c>
      <c r="CE8" s="175">
        <v>46125</v>
      </c>
      <c r="CF8" s="175">
        <v>46127</v>
      </c>
      <c r="CG8" s="123" t="s">
        <v>182</v>
      </c>
      <c r="CH8" s="111" t="s">
        <v>1265</v>
      </c>
      <c r="CI8" s="111" t="s">
        <v>1468</v>
      </c>
    </row>
    <row r="9" spans="1:96" ht="409.5" hidden="1">
      <c r="A9" s="106" t="s">
        <v>1469</v>
      </c>
      <c r="B9" s="107">
        <f>(2+3.5+4+3+4+3.5+5+6+2)+(1+5+1.5+5.5+4)</f>
        <v>50</v>
      </c>
      <c r="C9" s="107">
        <v>40</v>
      </c>
      <c r="D9" s="107">
        <f>Tracker2[[#This Row],[Estimated Hrs]]-Tracker2[[#This Row],[Actual Efforts (Hrs)]]</f>
        <v>-10</v>
      </c>
      <c r="E9" s="108">
        <f>2+3+1.5+1.5+2.5+3+4+4+4</f>
        <v>25.5</v>
      </c>
      <c r="F9" s="134" t="s">
        <v>1440</v>
      </c>
      <c r="G9" s="134" t="s">
        <v>1440</v>
      </c>
      <c r="H9" s="109">
        <v>18142230</v>
      </c>
      <c r="I9" s="127">
        <f>Tracker2[[#This Row],[
DCR ID - PTC]]</f>
        <v>18142230</v>
      </c>
      <c r="J9" s="108" t="s">
        <v>1470</v>
      </c>
      <c r="K9" s="108" t="s">
        <v>104</v>
      </c>
      <c r="L9" s="108"/>
      <c r="M9" s="108">
        <f>7+4+3+6+1</f>
        <v>21</v>
      </c>
      <c r="N9" s="110" t="s">
        <v>1471</v>
      </c>
      <c r="O9" s="111" t="s">
        <v>106</v>
      </c>
      <c r="P9" s="111"/>
      <c r="Q9" s="111"/>
      <c r="R9" s="111"/>
      <c r="S9" s="111"/>
      <c r="T9" s="111"/>
      <c r="U9" s="108"/>
      <c r="V9" s="108"/>
      <c r="W9" s="108"/>
      <c r="X9" s="108"/>
      <c r="Y9" s="108"/>
      <c r="Z9" s="108"/>
      <c r="AA9" s="108"/>
      <c r="AB9" s="112"/>
      <c r="AC9" s="108"/>
      <c r="AD9" s="108"/>
      <c r="AE9" s="107"/>
      <c r="AF9" s="113"/>
      <c r="AG9" s="115">
        <v>46059</v>
      </c>
      <c r="AH9" s="108"/>
      <c r="AI9" s="108"/>
      <c r="AJ9" s="114"/>
      <c r="AK9" s="108"/>
      <c r="AL9" s="115"/>
      <c r="AM9" s="116"/>
      <c r="AN9" s="116"/>
      <c r="AO9" s="116">
        <v>46083</v>
      </c>
      <c r="AP9" s="108"/>
      <c r="AQ9" s="107"/>
      <c r="AR9" s="107"/>
      <c r="AS9" s="116">
        <v>46083</v>
      </c>
      <c r="AT9" s="114">
        <v>46087</v>
      </c>
      <c r="AU9" s="114">
        <v>46092</v>
      </c>
      <c r="AV9" s="108"/>
      <c r="AW9" s="108"/>
      <c r="AX9" s="134" t="s">
        <v>97</v>
      </c>
      <c r="AY9" s="134" t="s">
        <v>98</v>
      </c>
      <c r="AZ9" s="108"/>
      <c r="BA9" s="108"/>
      <c r="BB9" s="108"/>
      <c r="BC9" s="108"/>
      <c r="BD9" s="111"/>
      <c r="BE9" s="111"/>
      <c r="BF9" s="167"/>
      <c r="BG9" s="111"/>
      <c r="BH9" s="168"/>
      <c r="BI9" s="111"/>
      <c r="BJ9" s="111"/>
      <c r="BK9" s="111"/>
      <c r="BL9" s="111"/>
      <c r="BM9" s="117" t="s">
        <v>414</v>
      </c>
      <c r="BN9" s="111"/>
      <c r="BO9" s="117"/>
      <c r="BP9" s="117"/>
      <c r="BQ9" s="117"/>
      <c r="BR9" s="111"/>
      <c r="BS9" s="118"/>
      <c r="BT9" s="111"/>
      <c r="BU9" s="118"/>
      <c r="BV9" s="111"/>
      <c r="BW9" s="111"/>
      <c r="BX9" s="111"/>
      <c r="BY9" s="111"/>
      <c r="BZ9" s="111"/>
      <c r="CA9" s="111"/>
      <c r="CB9" s="169">
        <v>1</v>
      </c>
      <c r="CC9" s="117" t="s">
        <v>93</v>
      </c>
      <c r="CD9" s="170">
        <v>46071</v>
      </c>
      <c r="CE9" s="171">
        <v>46076</v>
      </c>
      <c r="CF9" s="170">
        <v>46079</v>
      </c>
      <c r="CG9" s="111" t="s">
        <v>125</v>
      </c>
      <c r="CH9" s="111">
        <v>46084</v>
      </c>
      <c r="CI9" s="111" t="s">
        <v>1460</v>
      </c>
    </row>
    <row r="10" spans="1:96" ht="409.5" hidden="1">
      <c r="A10" s="106" t="s">
        <v>449</v>
      </c>
      <c r="B10" s="107">
        <f>1+2+7+4+2.5+4+(0.5+7)+5+6+5+4+3+6.5+6+4</f>
        <v>67.5</v>
      </c>
      <c r="C10" s="107">
        <v>20</v>
      </c>
      <c r="D10" s="107"/>
      <c r="E10" s="108">
        <f>2+3+1.5+1.5+2.5+3+4+4+4</f>
        <v>25.5</v>
      </c>
      <c r="F10" s="134" t="s">
        <v>1440</v>
      </c>
      <c r="G10" s="134" t="s">
        <v>1440</v>
      </c>
      <c r="H10" s="342">
        <v>18680412</v>
      </c>
      <c r="I10" s="127">
        <f>Tracker2[[#This Row],[
DCR ID - PTC]]</f>
        <v>18680412</v>
      </c>
      <c r="J10" s="181" t="s">
        <v>1401</v>
      </c>
      <c r="K10" s="108" t="s">
        <v>104</v>
      </c>
      <c r="L10" s="108"/>
      <c r="M10" s="108">
        <f>7+4+3+6+1</f>
        <v>21</v>
      </c>
      <c r="N10" s="108" t="s">
        <v>1472</v>
      </c>
      <c r="O10" s="111" t="s">
        <v>106</v>
      </c>
      <c r="P10" s="111"/>
      <c r="Q10" s="111"/>
      <c r="R10" s="111"/>
      <c r="S10" s="111"/>
      <c r="T10" s="111"/>
      <c r="U10" s="108"/>
      <c r="V10" s="108"/>
      <c r="W10" s="108"/>
      <c r="X10" s="108"/>
      <c r="Y10" s="108"/>
      <c r="Z10" s="108"/>
      <c r="AA10" s="108"/>
      <c r="AB10" s="112"/>
      <c r="AC10" s="108"/>
      <c r="AD10" s="108"/>
      <c r="AE10" s="107"/>
      <c r="AF10" s="113"/>
      <c r="AG10" s="115">
        <v>46059</v>
      </c>
      <c r="AH10" s="108"/>
      <c r="AI10" s="108"/>
      <c r="AJ10" s="114"/>
      <c r="AK10" s="108"/>
      <c r="AL10" s="115"/>
      <c r="AM10" s="116"/>
      <c r="AN10" s="116"/>
      <c r="AO10" s="116">
        <v>46083</v>
      </c>
      <c r="AP10" s="108"/>
      <c r="AQ10" s="107"/>
      <c r="AR10" s="107"/>
      <c r="AS10" s="116">
        <v>46087</v>
      </c>
      <c r="AT10" s="116">
        <v>46087</v>
      </c>
      <c r="AU10" s="116">
        <v>46087</v>
      </c>
      <c r="AV10" s="108"/>
      <c r="AW10" s="108"/>
      <c r="AX10" s="134" t="s">
        <v>97</v>
      </c>
      <c r="AY10" s="134" t="s">
        <v>98</v>
      </c>
      <c r="AZ10" s="108"/>
      <c r="BA10" s="108"/>
      <c r="BB10" s="108"/>
      <c r="BC10" s="108"/>
      <c r="BD10" s="111"/>
      <c r="BE10" s="111"/>
      <c r="BF10" s="167"/>
      <c r="BG10" s="111"/>
      <c r="BH10" s="168"/>
      <c r="BI10" s="111"/>
      <c r="BJ10" s="111"/>
      <c r="BK10" s="111"/>
      <c r="BL10" s="111"/>
      <c r="BM10" s="117" t="s">
        <v>467</v>
      </c>
      <c r="BN10" s="111"/>
      <c r="BO10" s="117"/>
      <c r="BP10" s="117"/>
      <c r="BQ10" s="117"/>
      <c r="BR10" s="111"/>
      <c r="BS10" s="118"/>
      <c r="BT10" s="111"/>
      <c r="BU10" s="118"/>
      <c r="BV10" s="111"/>
      <c r="BW10" s="111"/>
      <c r="BX10" s="111"/>
      <c r="BY10" s="111"/>
      <c r="BZ10" s="111"/>
      <c r="CA10" s="111"/>
      <c r="CB10" s="169">
        <v>1</v>
      </c>
      <c r="CC10" s="117" t="s">
        <v>93</v>
      </c>
      <c r="CD10" s="170">
        <v>46076</v>
      </c>
      <c r="CE10" s="171">
        <v>46077</v>
      </c>
      <c r="CF10" s="170">
        <v>46077</v>
      </c>
      <c r="CG10" s="111" t="s">
        <v>182</v>
      </c>
      <c r="CH10" s="111">
        <v>46086</v>
      </c>
      <c r="CI10" s="111" t="s">
        <v>1460</v>
      </c>
    </row>
    <row r="11" spans="1:96" ht="409.5" hidden="1">
      <c r="A11" s="106" t="s">
        <v>1376</v>
      </c>
      <c r="B11" s="49">
        <f>2+2.5+5.5+7.5+7.5+7.5+8+8.5+6.5+5+8+7+5.5+4+2.5+0.5+8+7+5</f>
        <v>108</v>
      </c>
      <c r="C11" s="49">
        <v>100</v>
      </c>
      <c r="D11" s="49">
        <f>Tracker2[[#This Row],[Estimated Hrs]]-Tracker2[[#This Row],[Actual Efforts (Hrs)]]</f>
        <v>-8</v>
      </c>
      <c r="E11" s="134">
        <f t="shared" ref="E11:E15" si="2">2+3+1.5+1.5+2.5+3+4+4+4</f>
        <v>25.5</v>
      </c>
      <c r="F11" s="134" t="s">
        <v>1440</v>
      </c>
      <c r="G11" s="134" t="s">
        <v>1440</v>
      </c>
      <c r="H11" s="135">
        <v>17491947</v>
      </c>
      <c r="I11" s="127">
        <f>Tracker2[[#This Row],[
DCR ID - PTC]]</f>
        <v>17491947</v>
      </c>
      <c r="J11" s="108" t="s">
        <v>1402</v>
      </c>
      <c r="K11" s="108" t="s">
        <v>118</v>
      </c>
      <c r="L11" s="134"/>
      <c r="M11" s="134">
        <f t="shared" ref="M11:M15" si="3">7+4+3+6+1</f>
        <v>21</v>
      </c>
      <c r="N11" s="134" t="s">
        <v>1473</v>
      </c>
      <c r="O11" s="111" t="s">
        <v>106</v>
      </c>
      <c r="P11" s="123"/>
      <c r="Q11" s="123"/>
      <c r="R11" s="123"/>
      <c r="S11" s="123"/>
      <c r="T11" s="123"/>
      <c r="U11" s="134"/>
      <c r="V11" s="134"/>
      <c r="W11" s="134"/>
      <c r="X11" s="134"/>
      <c r="Y11" s="134"/>
      <c r="Z11" s="134"/>
      <c r="AA11" s="134" t="s">
        <v>107</v>
      </c>
      <c r="AB11" s="29">
        <v>46080</v>
      </c>
      <c r="AC11" s="134"/>
      <c r="AD11" s="134" t="s">
        <v>93</v>
      </c>
      <c r="AE11" s="49"/>
      <c r="AF11" s="136"/>
      <c r="AG11" s="137">
        <v>46014.025983796295</v>
      </c>
      <c r="AH11" s="134" t="s">
        <v>319</v>
      </c>
      <c r="AI11" s="134" t="s">
        <v>95</v>
      </c>
      <c r="AJ11" s="138">
        <v>46142.395833333336</v>
      </c>
      <c r="AK11" s="134" t="s">
        <v>218</v>
      </c>
      <c r="AL11" s="137">
        <v>45915.817997685182</v>
      </c>
      <c r="AM11" s="139"/>
      <c r="AN11" s="139"/>
      <c r="AO11" s="116">
        <v>46114</v>
      </c>
      <c r="AP11" s="134"/>
      <c r="AQ11" s="49"/>
      <c r="AR11" s="49"/>
      <c r="AS11" s="116">
        <v>46115</v>
      </c>
      <c r="AT11" s="138">
        <v>46091</v>
      </c>
      <c r="AU11" s="138">
        <v>46100</v>
      </c>
      <c r="AV11" s="134"/>
      <c r="AW11" s="134"/>
      <c r="AX11" s="134" t="s">
        <v>97</v>
      </c>
      <c r="AY11" s="134" t="s">
        <v>98</v>
      </c>
      <c r="AZ11" s="134"/>
      <c r="BA11" s="134"/>
      <c r="BB11" s="134"/>
      <c r="BC11" s="134"/>
      <c r="BD11" s="123"/>
      <c r="BE11" s="123"/>
      <c r="BF11" s="123"/>
      <c r="BG11" s="123"/>
      <c r="BH11" s="123"/>
      <c r="BI11" s="123"/>
      <c r="BJ11" s="123"/>
      <c r="BK11" s="123"/>
      <c r="BL11" s="123"/>
      <c r="BM11" s="140" t="s">
        <v>1474</v>
      </c>
      <c r="BN11" s="123"/>
      <c r="BO11" s="140"/>
      <c r="BP11" s="140"/>
      <c r="BQ11" s="140"/>
      <c r="BR11" s="123"/>
      <c r="BS11" s="141"/>
      <c r="BT11" s="123"/>
      <c r="BU11" s="141"/>
      <c r="BV11" s="123"/>
      <c r="BW11" s="123"/>
      <c r="BX11" s="123"/>
      <c r="BY11" s="123"/>
      <c r="BZ11" s="123"/>
      <c r="CA11" s="123"/>
      <c r="CB11" s="174">
        <v>1</v>
      </c>
      <c r="CC11" s="140" t="s">
        <v>93</v>
      </c>
      <c r="CD11" s="175">
        <v>46083</v>
      </c>
      <c r="CE11" s="175">
        <v>46085</v>
      </c>
      <c r="CF11" s="170">
        <v>46087</v>
      </c>
      <c r="CG11" s="123" t="s">
        <v>270</v>
      </c>
      <c r="CH11" s="123"/>
      <c r="CI11" s="123" t="s">
        <v>1460</v>
      </c>
      <c r="CJ11" s="120"/>
      <c r="CK11" s="120"/>
      <c r="CL11" s="125"/>
    </row>
    <row r="12" spans="1:96" ht="130.5" hidden="1">
      <c r="A12" s="106" t="s">
        <v>1376</v>
      </c>
      <c r="B12" s="49">
        <f>7+7.5+4.5+4+4.5+2.5</f>
        <v>30</v>
      </c>
      <c r="C12" s="107">
        <v>24</v>
      </c>
      <c r="D12" s="49">
        <v>0</v>
      </c>
      <c r="E12" s="134">
        <f t="shared" si="2"/>
        <v>25.5</v>
      </c>
      <c r="F12" s="134" t="s">
        <v>1440</v>
      </c>
      <c r="G12" s="134" t="s">
        <v>1440</v>
      </c>
      <c r="H12" s="135">
        <v>18067411</v>
      </c>
      <c r="I12" s="127">
        <f>Tracker2[[#This Row],[
DCR ID - PTC]]</f>
        <v>18067411</v>
      </c>
      <c r="J12" s="108" t="s">
        <v>1397</v>
      </c>
      <c r="K12" s="108" t="s">
        <v>104</v>
      </c>
      <c r="L12" s="134"/>
      <c r="M12" s="134">
        <f t="shared" si="3"/>
        <v>21</v>
      </c>
      <c r="N12" s="134" t="s">
        <v>1475</v>
      </c>
      <c r="O12" s="111" t="s">
        <v>106</v>
      </c>
      <c r="P12" s="123"/>
      <c r="Q12" s="123"/>
      <c r="R12" s="123"/>
      <c r="S12" s="123"/>
      <c r="T12" s="123"/>
      <c r="U12" s="134"/>
      <c r="V12" s="134"/>
      <c r="W12" s="134"/>
      <c r="X12" s="134"/>
      <c r="Y12" s="134"/>
      <c r="Z12" s="134"/>
      <c r="AA12" s="134" t="s">
        <v>107</v>
      </c>
      <c r="AC12" s="134"/>
      <c r="AD12" s="134" t="s">
        <v>146</v>
      </c>
      <c r="AE12" s="49"/>
      <c r="AF12" s="136"/>
      <c r="AG12" s="137">
        <v>46056</v>
      </c>
      <c r="AH12" s="134" t="s">
        <v>109</v>
      </c>
      <c r="AI12" s="134" t="s">
        <v>95</v>
      </c>
      <c r="AJ12" s="138"/>
      <c r="AK12" s="134" t="s">
        <v>218</v>
      </c>
      <c r="AL12" s="137">
        <v>45988.467291666668</v>
      </c>
      <c r="AM12" s="139"/>
      <c r="AN12" s="139"/>
      <c r="AO12" s="116">
        <v>46071</v>
      </c>
      <c r="AP12" s="134"/>
      <c r="AQ12" s="49"/>
      <c r="AR12" s="49"/>
      <c r="AS12" s="139">
        <v>46080</v>
      </c>
      <c r="AT12" s="138">
        <v>46071</v>
      </c>
      <c r="AU12" s="138">
        <v>46079</v>
      </c>
      <c r="AV12" s="134"/>
      <c r="AW12" s="134"/>
      <c r="AX12" s="134" t="s">
        <v>97</v>
      </c>
      <c r="AY12" s="134" t="s">
        <v>98</v>
      </c>
      <c r="AZ12" s="134"/>
      <c r="BA12" s="134"/>
      <c r="BB12" s="134"/>
      <c r="BC12" s="134"/>
      <c r="BD12" s="123"/>
      <c r="BE12" s="123"/>
      <c r="BF12" s="123"/>
      <c r="BG12" s="123"/>
      <c r="BH12" s="123"/>
      <c r="BI12" s="123"/>
      <c r="BJ12" s="123"/>
      <c r="BK12" s="123"/>
      <c r="BL12" s="123"/>
      <c r="BM12" s="117" t="s">
        <v>467</v>
      </c>
      <c r="BN12" s="123"/>
      <c r="BO12" s="140"/>
      <c r="BP12" s="140"/>
      <c r="BQ12" s="140"/>
      <c r="BR12" s="123"/>
      <c r="BS12" s="141"/>
      <c r="BT12" s="123"/>
      <c r="BU12" s="141"/>
      <c r="BV12" s="123"/>
      <c r="BW12" s="123"/>
      <c r="BX12" s="123"/>
      <c r="BY12" s="123"/>
      <c r="BZ12" s="123"/>
      <c r="CA12" s="123"/>
      <c r="CB12" s="174">
        <v>1</v>
      </c>
      <c r="CC12" s="140"/>
      <c r="CD12" s="170">
        <v>46064</v>
      </c>
      <c r="CE12" s="171">
        <v>46065</v>
      </c>
      <c r="CF12" s="170">
        <v>46066</v>
      </c>
      <c r="CG12" s="111" t="s">
        <v>182</v>
      </c>
      <c r="CH12" s="111">
        <v>46072</v>
      </c>
      <c r="CI12" s="123" t="s">
        <v>1460</v>
      </c>
      <c r="CJ12" s="123"/>
      <c r="CK12" s="123"/>
      <c r="CL12" s="123"/>
    </row>
    <row r="13" spans="1:96" ht="391.5" hidden="1">
      <c r="A13" s="106" t="s">
        <v>1380</v>
      </c>
      <c r="B13" s="107">
        <f>5+6+5+5+5+6+7+7.5+7+7.5+1+1</f>
        <v>63</v>
      </c>
      <c r="C13" s="49">
        <v>55</v>
      </c>
      <c r="D13" s="49">
        <f>Tracker2[[#This Row],[Estimated Hrs]]-Tracker2[[#This Row],[Actual Efforts (Hrs)]]</f>
        <v>-8</v>
      </c>
      <c r="E13" s="134">
        <f t="shared" si="2"/>
        <v>25.5</v>
      </c>
      <c r="F13" s="134" t="s">
        <v>1440</v>
      </c>
      <c r="G13" s="134" t="s">
        <v>1440</v>
      </c>
      <c r="H13" s="135">
        <v>18054159</v>
      </c>
      <c r="I13" s="127">
        <f>Tracker2[[#This Row],[
DCR ID - PTC]]</f>
        <v>18054159</v>
      </c>
      <c r="J13" s="108" t="s">
        <v>1476</v>
      </c>
      <c r="K13" s="108" t="s">
        <v>118</v>
      </c>
      <c r="L13" s="134"/>
      <c r="M13" s="134">
        <f t="shared" si="3"/>
        <v>21</v>
      </c>
      <c r="N13" s="134" t="s">
        <v>1477</v>
      </c>
      <c r="O13" s="111" t="s">
        <v>106</v>
      </c>
      <c r="P13" s="123"/>
      <c r="Q13" s="123"/>
      <c r="R13" s="123"/>
      <c r="S13" s="123"/>
      <c r="T13" s="123"/>
      <c r="U13" s="134"/>
      <c r="V13" s="134"/>
      <c r="W13" s="134"/>
      <c r="X13" s="134"/>
      <c r="Y13" s="134"/>
      <c r="Z13" s="134"/>
      <c r="AA13" s="134" t="s">
        <v>107</v>
      </c>
      <c r="AC13" s="134"/>
      <c r="AD13" s="134" t="s">
        <v>146</v>
      </c>
      <c r="AE13" s="49"/>
      <c r="AF13" s="136"/>
      <c r="AG13" s="137">
        <v>46014.809699074074</v>
      </c>
      <c r="AH13" s="134" t="s">
        <v>319</v>
      </c>
      <c r="AI13" s="134" t="s">
        <v>95</v>
      </c>
      <c r="AJ13" s="138">
        <v>46081.4375</v>
      </c>
      <c r="AK13" s="134" t="s">
        <v>218</v>
      </c>
      <c r="AL13" s="137">
        <v>45986.613495370373</v>
      </c>
      <c r="AM13" s="139"/>
      <c r="AN13" s="139"/>
      <c r="AO13" s="116">
        <v>46100</v>
      </c>
      <c r="AP13" s="134"/>
      <c r="AQ13" s="49"/>
      <c r="AR13" s="49"/>
      <c r="AS13" s="116">
        <v>46111</v>
      </c>
      <c r="AT13" s="138">
        <v>46099</v>
      </c>
      <c r="AU13" s="138">
        <v>46106</v>
      </c>
      <c r="AV13" s="134"/>
      <c r="AW13" s="134"/>
      <c r="AX13" s="134" t="s">
        <v>97</v>
      </c>
      <c r="AY13" s="134" t="s">
        <v>98</v>
      </c>
      <c r="AZ13" s="134"/>
      <c r="BA13" s="134"/>
      <c r="BB13" s="134"/>
      <c r="BC13" s="134"/>
      <c r="BD13" s="123"/>
      <c r="BE13" s="123"/>
      <c r="BF13" s="123"/>
      <c r="BG13" s="123"/>
      <c r="BH13" s="123"/>
      <c r="BI13" s="123"/>
      <c r="BJ13" s="123"/>
      <c r="BK13" s="123"/>
      <c r="BL13" s="123"/>
      <c r="BM13" s="140" t="s">
        <v>290</v>
      </c>
      <c r="BN13" s="123"/>
      <c r="BO13" s="140"/>
      <c r="BP13" s="140"/>
      <c r="BQ13" s="140"/>
      <c r="BR13" s="123"/>
      <c r="BS13" s="141"/>
      <c r="BT13" s="123"/>
      <c r="BU13" s="141"/>
      <c r="BV13" s="123"/>
      <c r="BW13" s="123"/>
      <c r="BX13" s="123"/>
      <c r="BY13" s="123"/>
      <c r="BZ13" s="123"/>
      <c r="CA13" s="123"/>
      <c r="CB13" s="174">
        <v>1</v>
      </c>
      <c r="CC13" s="140" t="s">
        <v>93</v>
      </c>
      <c r="CD13" s="175">
        <v>46092</v>
      </c>
      <c r="CE13" s="175">
        <v>46094</v>
      </c>
      <c r="CF13" s="170">
        <v>46097</v>
      </c>
      <c r="CG13" s="123" t="s">
        <v>270</v>
      </c>
      <c r="CH13" s="123"/>
      <c r="CI13" s="123" t="s">
        <v>1460</v>
      </c>
      <c r="CJ13" s="123"/>
      <c r="CK13" s="123"/>
      <c r="CL13" s="123"/>
    </row>
    <row r="14" spans="1:96" ht="231.95" hidden="1">
      <c r="A14" s="106" t="s">
        <v>1380</v>
      </c>
      <c r="B14" s="107">
        <f>1.5+7+7+7+6.5+6.5+6+2+2+1.5+0.5</f>
        <v>47.5</v>
      </c>
      <c r="C14" s="49">
        <v>50</v>
      </c>
      <c r="D14" s="49">
        <f>Tracker2[[#This Row],[Estimated Hrs]]-Tracker2[[#This Row],[Actual Efforts (Hrs)]]</f>
        <v>2.5</v>
      </c>
      <c r="E14" s="134">
        <f t="shared" si="2"/>
        <v>25.5</v>
      </c>
      <c r="F14" s="134" t="s">
        <v>1440</v>
      </c>
      <c r="G14" s="134" t="s">
        <v>1440</v>
      </c>
      <c r="H14" s="135">
        <v>18060099</v>
      </c>
      <c r="I14" s="127">
        <f>Tracker2[[#This Row],[
DCR ID - PTC]]</f>
        <v>18060099</v>
      </c>
      <c r="J14" s="108" t="s">
        <v>1478</v>
      </c>
      <c r="K14" s="134" t="s">
        <v>118</v>
      </c>
      <c r="L14" s="134"/>
      <c r="M14" s="134">
        <f t="shared" si="3"/>
        <v>21</v>
      </c>
      <c r="N14" s="134" t="s">
        <v>1479</v>
      </c>
      <c r="O14" s="123" t="s">
        <v>106</v>
      </c>
      <c r="P14" s="123"/>
      <c r="Q14" s="123"/>
      <c r="R14" s="123"/>
      <c r="S14" s="123"/>
      <c r="T14" s="123"/>
      <c r="U14" s="134"/>
      <c r="V14" s="134"/>
      <c r="W14" s="134"/>
      <c r="X14" s="134"/>
      <c r="Y14" s="134"/>
      <c r="Z14" s="134"/>
      <c r="AA14" s="134" t="s">
        <v>130</v>
      </c>
      <c r="AC14" s="134"/>
      <c r="AD14" s="134" t="s">
        <v>146</v>
      </c>
      <c r="AE14" s="49"/>
      <c r="AF14" s="136"/>
      <c r="AG14" s="137">
        <v>46014.810370370367</v>
      </c>
      <c r="AH14" s="134" t="s">
        <v>319</v>
      </c>
      <c r="AI14" s="134" t="s">
        <v>95</v>
      </c>
      <c r="AJ14" s="138">
        <v>46081.4375</v>
      </c>
      <c r="AK14" s="134" t="s">
        <v>218</v>
      </c>
      <c r="AL14" s="137">
        <v>45987.48027777778</v>
      </c>
      <c r="AM14" s="139"/>
      <c r="AN14" s="139"/>
      <c r="AO14" s="116">
        <v>46085</v>
      </c>
      <c r="AP14" s="134"/>
      <c r="AQ14" s="49"/>
      <c r="AR14" s="49"/>
      <c r="AS14" s="139">
        <v>46100</v>
      </c>
      <c r="AT14" s="138">
        <v>46079</v>
      </c>
      <c r="AU14" s="138">
        <v>46091</v>
      </c>
      <c r="AV14" s="134"/>
      <c r="AW14" s="134"/>
      <c r="AX14" s="134" t="s">
        <v>97</v>
      </c>
      <c r="AY14" s="134" t="s">
        <v>98</v>
      </c>
      <c r="AZ14" s="134"/>
      <c r="BA14" s="134"/>
      <c r="BB14" s="134"/>
      <c r="BC14" s="134"/>
      <c r="BD14" s="123"/>
      <c r="BE14" s="123"/>
      <c r="BF14" s="123"/>
      <c r="BG14" s="123"/>
      <c r="BH14" s="123"/>
      <c r="BI14" s="123"/>
      <c r="BJ14" s="123"/>
      <c r="BK14" s="123"/>
      <c r="BL14" s="123"/>
      <c r="BM14" s="140" t="s">
        <v>473</v>
      </c>
      <c r="BN14" s="123"/>
      <c r="BO14" s="140"/>
      <c r="BP14" s="140"/>
      <c r="BQ14" s="140"/>
      <c r="BR14" s="123"/>
      <c r="BS14" s="141"/>
      <c r="BT14" s="123"/>
      <c r="BU14" s="141"/>
      <c r="BV14" s="123"/>
      <c r="BW14" s="123"/>
      <c r="BX14" s="123"/>
      <c r="BY14" s="123"/>
      <c r="BZ14" s="123"/>
      <c r="CA14" s="123"/>
      <c r="CB14" s="174">
        <v>1</v>
      </c>
      <c r="CC14" s="140" t="s">
        <v>93</v>
      </c>
      <c r="CD14" s="175">
        <v>46077</v>
      </c>
      <c r="CE14" s="175">
        <v>46078</v>
      </c>
      <c r="CF14" s="170">
        <v>46079</v>
      </c>
      <c r="CG14" s="123" t="s">
        <v>270</v>
      </c>
      <c r="CH14" s="123"/>
      <c r="CI14" s="123" t="s">
        <v>1460</v>
      </c>
      <c r="CJ14" s="123"/>
      <c r="CK14" s="123"/>
      <c r="CL14" s="123"/>
      <c r="CP14" s="123"/>
      <c r="CQ14" s="123"/>
      <c r="CR14" s="111"/>
    </row>
    <row r="15" spans="1:96" ht="290.10000000000002" hidden="1">
      <c r="A15" s="106" t="s">
        <v>1469</v>
      </c>
      <c r="B15" s="49">
        <f>5+6.5+5+7+4+2+2+0.5+2+1</f>
        <v>35</v>
      </c>
      <c r="C15" s="107">
        <v>20</v>
      </c>
      <c r="D15" s="49">
        <f>C15-B15</f>
        <v>-15</v>
      </c>
      <c r="E15" s="134">
        <f t="shared" si="2"/>
        <v>25.5</v>
      </c>
      <c r="F15" s="134" t="s">
        <v>1440</v>
      </c>
      <c r="G15" s="134" t="s">
        <v>1440</v>
      </c>
      <c r="H15" s="135">
        <v>18656113</v>
      </c>
      <c r="I15" s="127">
        <f>Tracker2[[#This Row],[
DCR ID - PTC]]</f>
        <v>18656113</v>
      </c>
      <c r="J15" s="108" t="s">
        <v>936</v>
      </c>
      <c r="K15" s="134" t="s">
        <v>104</v>
      </c>
      <c r="L15" s="134"/>
      <c r="M15" s="134">
        <f t="shared" si="3"/>
        <v>21</v>
      </c>
      <c r="N15" s="134" t="s">
        <v>1480</v>
      </c>
      <c r="O15" s="123" t="s">
        <v>106</v>
      </c>
      <c r="P15" s="123"/>
      <c r="Q15" s="123"/>
      <c r="R15" s="123"/>
      <c r="S15" s="123"/>
      <c r="T15" s="123"/>
      <c r="U15" s="134"/>
      <c r="V15" s="134"/>
      <c r="W15" s="134"/>
      <c r="X15" s="134"/>
      <c r="Y15" s="134"/>
      <c r="Z15" s="134"/>
      <c r="AA15" s="134"/>
      <c r="AC15" s="134"/>
      <c r="AD15" s="134"/>
      <c r="AE15" s="49"/>
      <c r="AF15" s="136"/>
      <c r="AG15" s="137">
        <v>46062</v>
      </c>
      <c r="AH15" s="134"/>
      <c r="AI15" s="134"/>
      <c r="AJ15" s="138"/>
      <c r="AK15" s="134"/>
      <c r="AL15" s="137"/>
      <c r="AM15" s="139"/>
      <c r="AN15" s="139"/>
      <c r="AO15" s="116">
        <v>46076</v>
      </c>
      <c r="AP15" s="134"/>
      <c r="AQ15" s="49"/>
      <c r="AR15" s="49"/>
      <c r="AS15" s="116">
        <v>46076</v>
      </c>
      <c r="AT15" s="138">
        <v>46070</v>
      </c>
      <c r="AU15" s="138">
        <v>46074</v>
      </c>
      <c r="AV15" s="134"/>
      <c r="AW15" s="134"/>
      <c r="AX15" s="134" t="s">
        <v>97</v>
      </c>
      <c r="AY15" s="134" t="s">
        <v>98</v>
      </c>
      <c r="AZ15" s="134"/>
      <c r="BA15" s="134"/>
      <c r="BB15" s="134"/>
      <c r="BC15" s="134"/>
      <c r="BD15" s="123"/>
      <c r="BE15" s="123"/>
      <c r="BF15" s="172"/>
      <c r="BG15" s="123"/>
      <c r="BH15" s="173"/>
      <c r="BI15" s="123"/>
      <c r="BJ15" s="123"/>
      <c r="BK15" s="123"/>
      <c r="BL15" s="123"/>
      <c r="BM15" s="117" t="s">
        <v>1253</v>
      </c>
      <c r="BN15" s="123"/>
      <c r="BO15" s="140"/>
      <c r="BP15" s="140"/>
      <c r="BQ15" s="140"/>
      <c r="BR15" s="123"/>
      <c r="BS15" s="141"/>
      <c r="BT15" s="123"/>
      <c r="BU15" s="141"/>
      <c r="BV15" s="123"/>
      <c r="BW15" s="123"/>
      <c r="BX15" s="123"/>
      <c r="BY15" s="123"/>
      <c r="BZ15" s="123"/>
      <c r="CA15" s="123"/>
      <c r="CB15" s="174">
        <v>1</v>
      </c>
      <c r="CC15" s="140" t="s">
        <v>93</v>
      </c>
      <c r="CD15" s="170">
        <v>46066</v>
      </c>
      <c r="CE15" s="171">
        <v>46069</v>
      </c>
      <c r="CF15" s="170">
        <v>46071</v>
      </c>
      <c r="CG15" s="111" t="s">
        <v>265</v>
      </c>
      <c r="CH15" s="111" t="s">
        <v>125</v>
      </c>
      <c r="CI15" s="123" t="s">
        <v>1460</v>
      </c>
    </row>
    <row r="16" spans="1:96" ht="57.95" hidden="1">
      <c r="A16" s="106" t="s">
        <v>449</v>
      </c>
      <c r="B16" s="107">
        <v>10</v>
      </c>
      <c r="C16" s="107">
        <v>20</v>
      </c>
      <c r="D16" s="107"/>
      <c r="E16" s="108">
        <f>2+3+1.5+1.5+2.5+3+4+4+4</f>
        <v>25.5</v>
      </c>
      <c r="F16" s="134" t="s">
        <v>1440</v>
      </c>
      <c r="G16" s="134" t="s">
        <v>1440</v>
      </c>
      <c r="H16" s="343">
        <v>18673035</v>
      </c>
      <c r="I16" s="127">
        <f>Tracker2[[#This Row],[
DCR ID - PTC]]</f>
        <v>18673035</v>
      </c>
      <c r="J16" s="181" t="s">
        <v>1399</v>
      </c>
      <c r="K16" s="108" t="s">
        <v>104</v>
      </c>
      <c r="L16" s="108"/>
      <c r="M16" s="108">
        <f>7+4+3+6+1</f>
        <v>21</v>
      </c>
      <c r="N16" s="108" t="s">
        <v>1481</v>
      </c>
      <c r="O16" s="111" t="s">
        <v>106</v>
      </c>
      <c r="P16" s="111"/>
      <c r="Q16" s="111"/>
      <c r="R16" s="111"/>
      <c r="S16" s="111"/>
      <c r="T16" s="111"/>
      <c r="U16" s="108"/>
      <c r="V16" s="108"/>
      <c r="W16" s="108"/>
      <c r="X16" s="108"/>
      <c r="Y16" s="108"/>
      <c r="Z16" s="108"/>
      <c r="AA16" s="108"/>
      <c r="AB16" s="112"/>
      <c r="AC16" s="108"/>
      <c r="AD16" s="108"/>
      <c r="AE16" s="107"/>
      <c r="AF16" s="113"/>
      <c r="AG16" s="115">
        <v>46059</v>
      </c>
      <c r="AH16" s="108"/>
      <c r="AI16" s="108"/>
      <c r="AJ16" s="114"/>
      <c r="AK16" s="108"/>
      <c r="AL16" s="115"/>
      <c r="AM16" s="116"/>
      <c r="AN16" s="116"/>
      <c r="AO16" s="116">
        <v>46083</v>
      </c>
      <c r="AP16" s="108"/>
      <c r="AQ16" s="107"/>
      <c r="AR16" s="107"/>
      <c r="AS16" s="116">
        <v>46087</v>
      </c>
      <c r="AT16" s="116">
        <v>46087</v>
      </c>
      <c r="AU16" s="116">
        <v>46087</v>
      </c>
      <c r="AV16" s="108"/>
      <c r="AW16" s="108"/>
      <c r="AX16" s="134" t="s">
        <v>97</v>
      </c>
      <c r="AY16" s="134" t="s">
        <v>98</v>
      </c>
      <c r="AZ16" s="108"/>
      <c r="BA16" s="108"/>
      <c r="BB16" s="108"/>
      <c r="BC16" s="108"/>
      <c r="BD16" s="111"/>
      <c r="BE16" s="111"/>
      <c r="BF16" s="167"/>
      <c r="BG16" s="111"/>
      <c r="BH16" s="168"/>
      <c r="BI16" s="111"/>
      <c r="BJ16" s="111"/>
      <c r="BK16" s="111"/>
      <c r="BL16" s="111"/>
      <c r="BM16" s="117" t="s">
        <v>500</v>
      </c>
      <c r="BN16" s="111"/>
      <c r="BO16" s="117"/>
      <c r="BP16" s="117"/>
      <c r="BQ16" s="117"/>
      <c r="BR16" s="111"/>
      <c r="BS16" s="118"/>
      <c r="BT16" s="111"/>
      <c r="BU16" s="118"/>
      <c r="BV16" s="111"/>
      <c r="BW16" s="111"/>
      <c r="BX16" s="111"/>
      <c r="BY16" s="111"/>
      <c r="BZ16" s="111"/>
      <c r="CA16" s="111"/>
      <c r="CB16" s="169">
        <v>1</v>
      </c>
      <c r="CC16" s="117" t="s">
        <v>93</v>
      </c>
      <c r="CD16" s="170">
        <v>46076</v>
      </c>
      <c r="CE16" s="171">
        <v>46077</v>
      </c>
      <c r="CF16" s="170">
        <v>46077</v>
      </c>
      <c r="CG16" s="111" t="s">
        <v>182</v>
      </c>
      <c r="CH16" s="111">
        <v>46086</v>
      </c>
      <c r="CI16" s="111" t="s">
        <v>1460</v>
      </c>
      <c r="CJ16" s="146"/>
      <c r="CK16" s="146"/>
      <c r="CL16" s="146"/>
    </row>
    <row r="17" spans="1:90" ht="57.95" hidden="1">
      <c r="A17" s="106" t="s">
        <v>449</v>
      </c>
      <c r="B17" s="107">
        <v>10</v>
      </c>
      <c r="C17" s="107">
        <v>20</v>
      </c>
      <c r="D17" s="107"/>
      <c r="E17" s="108">
        <f>2+3+1.5+1.5+2.5+3+4+4+4</f>
        <v>25.5</v>
      </c>
      <c r="F17" s="134" t="s">
        <v>1440</v>
      </c>
      <c r="G17" s="134" t="s">
        <v>1440</v>
      </c>
      <c r="H17" s="344">
        <v>18672926</v>
      </c>
      <c r="I17" s="127">
        <f>Tracker2[[#This Row],[
DCR ID - PTC]]</f>
        <v>18672926</v>
      </c>
      <c r="J17" s="181" t="s">
        <v>1482</v>
      </c>
      <c r="K17" s="108" t="s">
        <v>104</v>
      </c>
      <c r="L17" s="108"/>
      <c r="M17" s="108">
        <f>7+4+3+6+1</f>
        <v>21</v>
      </c>
      <c r="N17" s="108" t="s">
        <v>1483</v>
      </c>
      <c r="O17" s="111" t="s">
        <v>106</v>
      </c>
      <c r="P17" s="111"/>
      <c r="Q17" s="111"/>
      <c r="R17" s="111"/>
      <c r="S17" s="111"/>
      <c r="T17" s="111"/>
      <c r="U17" s="108"/>
      <c r="V17" s="108"/>
      <c r="W17" s="108"/>
      <c r="X17" s="108"/>
      <c r="Y17" s="108"/>
      <c r="Z17" s="108"/>
      <c r="AA17" s="108"/>
      <c r="AB17" s="112"/>
      <c r="AC17" s="108"/>
      <c r="AD17" s="108"/>
      <c r="AE17" s="107"/>
      <c r="AF17" s="113"/>
      <c r="AG17" s="115">
        <v>46059</v>
      </c>
      <c r="AH17" s="108"/>
      <c r="AI17" s="108"/>
      <c r="AJ17" s="114"/>
      <c r="AK17" s="108"/>
      <c r="AL17" s="115"/>
      <c r="AM17" s="116"/>
      <c r="AN17" s="116"/>
      <c r="AO17" s="116">
        <v>46083</v>
      </c>
      <c r="AP17" s="108"/>
      <c r="AQ17" s="107"/>
      <c r="AR17" s="107"/>
      <c r="AS17" s="116">
        <v>46087</v>
      </c>
      <c r="AT17" s="116">
        <v>46087</v>
      </c>
      <c r="AU17" s="116">
        <v>46087</v>
      </c>
      <c r="AV17" s="108"/>
      <c r="AW17" s="108"/>
      <c r="AX17" s="134" t="s">
        <v>97</v>
      </c>
      <c r="AY17" s="134" t="s">
        <v>98</v>
      </c>
      <c r="AZ17" s="108"/>
      <c r="BA17" s="108"/>
      <c r="BB17" s="108"/>
      <c r="BC17" s="108"/>
      <c r="BD17" s="111"/>
      <c r="BE17" s="111"/>
      <c r="BF17" s="167"/>
      <c r="BG17" s="111"/>
      <c r="BH17" s="168"/>
      <c r="BI17" s="111"/>
      <c r="BJ17" s="111"/>
      <c r="BK17" s="111"/>
      <c r="BL17" s="111"/>
      <c r="BM17" s="117" t="s">
        <v>573</v>
      </c>
      <c r="BN17" s="111"/>
      <c r="BO17" s="117"/>
      <c r="BP17" s="117"/>
      <c r="BQ17" s="117"/>
      <c r="BR17" s="111"/>
      <c r="BS17" s="118"/>
      <c r="BT17" s="111"/>
      <c r="BU17" s="118"/>
      <c r="BV17" s="111"/>
      <c r="BW17" s="111"/>
      <c r="BX17" s="111"/>
      <c r="BY17" s="111"/>
      <c r="BZ17" s="111"/>
      <c r="CA17" s="111"/>
      <c r="CB17" s="169">
        <v>1</v>
      </c>
      <c r="CC17" s="117" t="s">
        <v>93</v>
      </c>
      <c r="CD17" s="170">
        <v>46076</v>
      </c>
      <c r="CE17" s="171">
        <v>46077</v>
      </c>
      <c r="CF17" s="170">
        <v>46077</v>
      </c>
      <c r="CG17" s="111" t="s">
        <v>182</v>
      </c>
      <c r="CH17" s="111">
        <v>46086</v>
      </c>
      <c r="CI17" s="111" t="s">
        <v>1460</v>
      </c>
      <c r="CJ17" s="146"/>
      <c r="CK17" s="146"/>
      <c r="CL17" s="146"/>
    </row>
    <row r="18" spans="1:90" ht="57.95" hidden="1">
      <c r="A18" s="106" t="s">
        <v>449</v>
      </c>
      <c r="B18" s="49"/>
      <c r="C18" s="107">
        <v>20</v>
      </c>
      <c r="D18" s="49"/>
      <c r="E18" s="134">
        <f>2+3+1.5+1.5+2.5+3+4+4+4</f>
        <v>25.5</v>
      </c>
      <c r="F18" s="134" t="s">
        <v>1440</v>
      </c>
      <c r="G18" s="134" t="s">
        <v>1440</v>
      </c>
      <c r="H18" s="135">
        <v>18673040</v>
      </c>
      <c r="I18" s="127">
        <v>18673040</v>
      </c>
      <c r="J18" s="108" t="s">
        <v>1484</v>
      </c>
      <c r="K18" s="108" t="s">
        <v>104</v>
      </c>
      <c r="L18" s="134"/>
      <c r="M18" s="134">
        <f>7+4+3+6+1</f>
        <v>21</v>
      </c>
      <c r="N18" s="134" t="s">
        <v>1483</v>
      </c>
      <c r="O18" s="111" t="s">
        <v>106</v>
      </c>
      <c r="P18" s="123"/>
      <c r="Q18" s="123"/>
      <c r="R18" s="123"/>
      <c r="S18" s="123"/>
      <c r="T18" s="123"/>
      <c r="U18" s="134"/>
      <c r="V18" s="134"/>
      <c r="W18" s="134"/>
      <c r="X18" s="134"/>
      <c r="Y18" s="134"/>
      <c r="Z18" s="134"/>
      <c r="AA18" s="134"/>
      <c r="AC18" s="134"/>
      <c r="AD18" s="134"/>
      <c r="AE18" s="49"/>
      <c r="AF18" s="136"/>
      <c r="AG18" s="115">
        <v>46059</v>
      </c>
      <c r="AH18" s="134"/>
      <c r="AI18" s="134"/>
      <c r="AJ18" s="138"/>
      <c r="AK18" s="134"/>
      <c r="AL18" s="137"/>
      <c r="AM18" s="139"/>
      <c r="AN18" s="139"/>
      <c r="AO18" s="116">
        <v>46083</v>
      </c>
      <c r="AP18" s="134"/>
      <c r="AQ18" s="49"/>
      <c r="AR18" s="49"/>
      <c r="AS18" s="116">
        <v>46087</v>
      </c>
      <c r="AT18" s="116">
        <v>46087</v>
      </c>
      <c r="AU18" s="116">
        <v>46087</v>
      </c>
      <c r="AV18" s="134"/>
      <c r="AW18" s="134"/>
      <c r="AX18" s="134" t="s">
        <v>97</v>
      </c>
      <c r="AY18" s="134" t="s">
        <v>98</v>
      </c>
      <c r="AZ18" s="134"/>
      <c r="BA18" s="134"/>
      <c r="BB18" s="134"/>
      <c r="BC18" s="134"/>
      <c r="BD18" s="123"/>
      <c r="BE18" s="123"/>
      <c r="BF18" s="172"/>
      <c r="BG18" s="123"/>
      <c r="BH18" s="173"/>
      <c r="BI18" s="123"/>
      <c r="BJ18" s="123"/>
      <c r="BK18" s="123"/>
      <c r="BL18" s="123"/>
      <c r="BM18" s="117" t="s">
        <v>1231</v>
      </c>
      <c r="BN18" s="123"/>
      <c r="BO18" s="140"/>
      <c r="BP18" s="140"/>
      <c r="BQ18" s="140"/>
      <c r="BR18" s="123"/>
      <c r="BS18" s="141"/>
      <c r="BT18" s="123"/>
      <c r="BU18" s="141"/>
      <c r="BV18" s="123"/>
      <c r="BW18" s="123"/>
      <c r="BX18" s="123"/>
      <c r="BY18" s="123"/>
      <c r="BZ18" s="123"/>
      <c r="CA18" s="123"/>
      <c r="CB18" s="169">
        <v>1</v>
      </c>
      <c r="CC18" s="117" t="s">
        <v>93</v>
      </c>
      <c r="CD18" s="170">
        <v>46076</v>
      </c>
      <c r="CE18" s="171">
        <v>46077</v>
      </c>
      <c r="CF18" s="170">
        <v>46077</v>
      </c>
      <c r="CG18" s="111" t="s">
        <v>182</v>
      </c>
      <c r="CH18" s="111">
        <v>46086</v>
      </c>
      <c r="CI18" s="123" t="s">
        <v>1460</v>
      </c>
    </row>
    <row r="19" spans="1:90" ht="57.95" hidden="1">
      <c r="A19" s="106" t="s">
        <v>449</v>
      </c>
      <c r="B19" s="107"/>
      <c r="C19" s="107">
        <v>20</v>
      </c>
      <c r="D19" s="107"/>
      <c r="E19" s="108">
        <f>2+3+1.5+1.5+2.5+3+4+4+4</f>
        <v>25.5</v>
      </c>
      <c r="F19" s="134" t="s">
        <v>1440</v>
      </c>
      <c r="G19" s="134" t="s">
        <v>1440</v>
      </c>
      <c r="H19" s="109">
        <v>18673059</v>
      </c>
      <c r="I19" s="127">
        <v>18673059</v>
      </c>
      <c r="J19" s="108" t="s">
        <v>1400</v>
      </c>
      <c r="K19" s="108" t="s">
        <v>104</v>
      </c>
      <c r="L19" s="108"/>
      <c r="M19" s="108">
        <f>7+4+3+6+1</f>
        <v>21</v>
      </c>
      <c r="N19" s="108" t="s">
        <v>1483</v>
      </c>
      <c r="O19" s="111" t="s">
        <v>106</v>
      </c>
      <c r="P19" s="111"/>
      <c r="Q19" s="111"/>
      <c r="R19" s="111"/>
      <c r="S19" s="111"/>
      <c r="T19" s="111"/>
      <c r="U19" s="108"/>
      <c r="V19" s="108"/>
      <c r="W19" s="108"/>
      <c r="X19" s="108"/>
      <c r="Y19" s="108"/>
      <c r="Z19" s="108"/>
      <c r="AA19" s="108"/>
      <c r="AB19" s="112"/>
      <c r="AC19" s="108"/>
      <c r="AD19" s="108"/>
      <c r="AE19" s="107"/>
      <c r="AF19" s="113"/>
      <c r="AG19" s="115">
        <v>46059</v>
      </c>
      <c r="AH19" s="108"/>
      <c r="AI19" s="108"/>
      <c r="AJ19" s="114"/>
      <c r="AK19" s="108"/>
      <c r="AL19" s="115"/>
      <c r="AM19" s="116"/>
      <c r="AN19" s="116"/>
      <c r="AO19" s="116">
        <v>46083</v>
      </c>
      <c r="AP19" s="108"/>
      <c r="AQ19" s="107"/>
      <c r="AR19" s="107"/>
      <c r="AS19" s="116">
        <v>46087</v>
      </c>
      <c r="AT19" s="116">
        <v>46087</v>
      </c>
      <c r="AU19" s="116">
        <v>46087</v>
      </c>
      <c r="AV19" s="108"/>
      <c r="AW19" s="108"/>
      <c r="AX19" s="134" t="s">
        <v>97</v>
      </c>
      <c r="AY19" s="134" t="s">
        <v>98</v>
      </c>
      <c r="AZ19" s="108"/>
      <c r="BA19" s="108"/>
      <c r="BB19" s="108"/>
      <c r="BC19" s="108"/>
      <c r="BD19" s="111"/>
      <c r="BE19" s="111"/>
      <c r="BF19" s="167"/>
      <c r="BG19" s="111"/>
      <c r="BH19" s="168"/>
      <c r="BI19" s="111"/>
      <c r="BJ19" s="111"/>
      <c r="BK19" s="111"/>
      <c r="BL19" s="111"/>
      <c r="BM19" s="117" t="s">
        <v>1485</v>
      </c>
      <c r="BN19" s="111"/>
      <c r="BO19" s="117"/>
      <c r="BP19" s="117"/>
      <c r="BQ19" s="117"/>
      <c r="BR19" s="111"/>
      <c r="BS19" s="118"/>
      <c r="BT19" s="111"/>
      <c r="BU19" s="118"/>
      <c r="BV19" s="111"/>
      <c r="BW19" s="111"/>
      <c r="BX19" s="111"/>
      <c r="BY19" s="111"/>
      <c r="BZ19" s="111"/>
      <c r="CA19" s="111"/>
      <c r="CB19" s="169">
        <v>1</v>
      </c>
      <c r="CC19" s="117" t="s">
        <v>93</v>
      </c>
      <c r="CD19" s="170">
        <v>46076</v>
      </c>
      <c r="CE19" s="171">
        <v>46077</v>
      </c>
      <c r="CF19" s="170">
        <v>46077</v>
      </c>
      <c r="CG19" s="111" t="s">
        <v>270</v>
      </c>
      <c r="CH19" s="111">
        <v>46086</v>
      </c>
      <c r="CI19" s="111" t="s">
        <v>1460</v>
      </c>
    </row>
    <row r="20" spans="1:90" ht="116.1" hidden="1">
      <c r="A20" s="106" t="s">
        <v>734</v>
      </c>
      <c r="B20" s="107">
        <f>40</f>
        <v>40</v>
      </c>
      <c r="C20" s="107">
        <v>60</v>
      </c>
      <c r="D20" s="107"/>
      <c r="E20" s="108">
        <f>2+3+1.5+1.5+2.5+3+4+4+4</f>
        <v>25.5</v>
      </c>
      <c r="F20" s="134" t="s">
        <v>1440</v>
      </c>
      <c r="G20" s="134" t="s">
        <v>1440</v>
      </c>
      <c r="H20" s="127">
        <v>18479118</v>
      </c>
      <c r="I20" s="127">
        <v>18479118</v>
      </c>
      <c r="J20" s="108" t="s">
        <v>1486</v>
      </c>
      <c r="K20" s="108" t="s">
        <v>104</v>
      </c>
      <c r="L20" s="108"/>
      <c r="M20" s="108">
        <f>7+4+3+6+1</f>
        <v>21</v>
      </c>
      <c r="N20" s="108" t="s">
        <v>1487</v>
      </c>
      <c r="O20" s="111" t="s">
        <v>14</v>
      </c>
      <c r="P20" s="111"/>
      <c r="Q20" s="111"/>
      <c r="R20" s="111"/>
      <c r="S20" s="111"/>
      <c r="T20" s="111"/>
      <c r="U20" s="108"/>
      <c r="V20" s="108"/>
      <c r="W20" s="108"/>
      <c r="X20" s="108"/>
      <c r="Y20" s="108"/>
      <c r="Z20" s="108"/>
      <c r="AA20" s="108"/>
      <c r="AB20" s="112"/>
      <c r="AC20" s="108"/>
      <c r="AD20" s="108"/>
      <c r="AE20" s="107"/>
      <c r="AF20" s="113"/>
      <c r="AG20" s="115">
        <v>46085</v>
      </c>
      <c r="AH20" s="108"/>
      <c r="AI20" s="108"/>
      <c r="AJ20" s="114"/>
      <c r="AK20" s="108"/>
      <c r="AL20" s="115"/>
      <c r="AM20" s="116"/>
      <c r="AN20" s="116"/>
      <c r="AO20" s="116">
        <v>46108</v>
      </c>
      <c r="AP20" s="108"/>
      <c r="AQ20" s="107"/>
      <c r="AR20" s="107"/>
      <c r="AS20" s="116"/>
      <c r="AT20" s="114"/>
      <c r="AU20" s="114"/>
      <c r="AV20" s="108"/>
      <c r="AW20" s="108"/>
      <c r="AX20" s="134" t="s">
        <v>97</v>
      </c>
      <c r="AY20" s="134" t="s">
        <v>98</v>
      </c>
      <c r="AZ20" s="108"/>
      <c r="BA20" s="108"/>
      <c r="BB20" s="108"/>
      <c r="BC20" s="108"/>
      <c r="BD20" s="111"/>
      <c r="BE20" s="111"/>
      <c r="BF20" s="167"/>
      <c r="BG20" s="111"/>
      <c r="BH20" s="168"/>
      <c r="BI20" s="111"/>
      <c r="BJ20" s="111"/>
      <c r="BK20" s="111"/>
      <c r="BL20" s="111"/>
      <c r="BM20" s="117" t="s">
        <v>270</v>
      </c>
      <c r="BN20" s="111"/>
      <c r="BO20" s="117"/>
      <c r="BP20" s="117"/>
      <c r="BQ20" s="117"/>
      <c r="BR20" s="111"/>
      <c r="BS20" s="118"/>
      <c r="BT20" s="111"/>
      <c r="BU20" s="118"/>
      <c r="BV20" s="111"/>
      <c r="BW20" s="111"/>
      <c r="BX20" s="111"/>
      <c r="BY20" s="111"/>
      <c r="BZ20" s="111"/>
      <c r="CA20" s="111"/>
      <c r="CB20" s="169">
        <v>0.96499999999999997</v>
      </c>
      <c r="CC20" s="117" t="s">
        <v>108</v>
      </c>
      <c r="CD20" s="170">
        <v>0</v>
      </c>
      <c r="CE20" s="171">
        <v>0</v>
      </c>
      <c r="CF20" s="170">
        <v>0</v>
      </c>
      <c r="CG20" s="111" t="s">
        <v>270</v>
      </c>
      <c r="CH20" s="111" t="s">
        <v>125</v>
      </c>
      <c r="CI20" s="111" t="s">
        <v>1488</v>
      </c>
    </row>
    <row r="21" spans="1:90" ht="174" hidden="1">
      <c r="A21" s="257" t="s">
        <v>1469</v>
      </c>
      <c r="B21" s="49">
        <f>6+0.5+2+7.5+7+5+4</f>
        <v>32</v>
      </c>
      <c r="C21" s="49">
        <v>35</v>
      </c>
      <c r="D21" s="49">
        <f>Tracker2[[#This Row],[Estimated Hrs]]-Tracker2[[#This Row],[Actual Efforts (Hrs)]]</f>
        <v>3</v>
      </c>
      <c r="E21" s="134">
        <f t="shared" ref="E21:E26" si="4">2+3+1.5+1.5+2.5+3+4+4+4</f>
        <v>25.5</v>
      </c>
      <c r="F21" s="134" t="s">
        <v>1440</v>
      </c>
      <c r="G21" s="134" t="s">
        <v>1440</v>
      </c>
      <c r="H21" s="127">
        <v>18656113</v>
      </c>
      <c r="I21" s="127">
        <v>18656113</v>
      </c>
      <c r="J21" s="108" t="s">
        <v>936</v>
      </c>
      <c r="K21" s="134" t="s">
        <v>118</v>
      </c>
      <c r="L21" s="134"/>
      <c r="M21" s="134">
        <f t="shared" ref="M21:M26" si="5">7+4+3+6+1</f>
        <v>21</v>
      </c>
      <c r="N21" s="134" t="s">
        <v>1489</v>
      </c>
      <c r="O21" s="111" t="s">
        <v>106</v>
      </c>
      <c r="P21" s="123"/>
      <c r="Q21" s="123"/>
      <c r="R21" s="123"/>
      <c r="S21" s="123"/>
      <c r="T21" s="123"/>
      <c r="U21" s="134"/>
      <c r="V21" s="134"/>
      <c r="W21" s="134"/>
      <c r="X21" s="134"/>
      <c r="Y21" s="134"/>
      <c r="Z21" s="134"/>
      <c r="AA21" s="134"/>
      <c r="AC21" s="134"/>
      <c r="AD21" s="134"/>
      <c r="AE21" s="49"/>
      <c r="AF21" s="136"/>
      <c r="AG21" s="137">
        <v>46062</v>
      </c>
      <c r="AH21" s="134"/>
      <c r="AI21" s="134"/>
      <c r="AJ21" s="138"/>
      <c r="AK21" s="134"/>
      <c r="AL21" s="137"/>
      <c r="AM21" s="139"/>
      <c r="AN21" s="139"/>
      <c r="AO21" s="116">
        <v>46108</v>
      </c>
      <c r="AP21" s="134"/>
      <c r="AQ21" s="49"/>
      <c r="AR21" s="49"/>
      <c r="AS21" s="139">
        <v>46111</v>
      </c>
      <c r="AT21" s="138">
        <v>46104</v>
      </c>
      <c r="AU21" s="138">
        <v>46109</v>
      </c>
      <c r="AV21" s="134"/>
      <c r="AW21" s="134"/>
      <c r="AX21" s="134" t="s">
        <v>97</v>
      </c>
      <c r="AY21" s="134" t="s">
        <v>98</v>
      </c>
      <c r="AZ21" s="134"/>
      <c r="BA21" s="134"/>
      <c r="BB21" s="134"/>
      <c r="BC21" s="134"/>
      <c r="BD21" s="123"/>
      <c r="BE21" s="123"/>
      <c r="BF21" s="172"/>
      <c r="BG21" s="123"/>
      <c r="BH21" s="173"/>
      <c r="BI21" s="123"/>
      <c r="BJ21" s="123"/>
      <c r="BK21" s="123"/>
      <c r="BL21" s="123"/>
      <c r="BM21" s="140" t="s">
        <v>1253</v>
      </c>
      <c r="BN21" s="123"/>
      <c r="BO21" s="140"/>
      <c r="BP21" s="140"/>
      <c r="BQ21" s="140"/>
      <c r="BR21" s="123"/>
      <c r="BS21" s="141"/>
      <c r="BT21" s="123"/>
      <c r="BU21" s="141"/>
      <c r="BV21" s="123"/>
      <c r="BW21" s="123"/>
      <c r="BX21" s="123"/>
      <c r="BY21" s="123"/>
      <c r="BZ21" s="123"/>
      <c r="CA21" s="123"/>
      <c r="CB21" s="174">
        <v>1</v>
      </c>
      <c r="CC21" s="140" t="s">
        <v>93</v>
      </c>
      <c r="CD21" s="175">
        <v>46099</v>
      </c>
      <c r="CE21" s="175">
        <v>46101</v>
      </c>
      <c r="CF21" s="170">
        <v>46104</v>
      </c>
      <c r="CG21" s="123" t="s">
        <v>265</v>
      </c>
      <c r="CH21" s="123" t="s">
        <v>125</v>
      </c>
      <c r="CI21" s="123" t="s">
        <v>1460</v>
      </c>
    </row>
    <row r="22" spans="1:90" ht="57.95" hidden="1">
      <c r="A22" s="260" t="s">
        <v>1376</v>
      </c>
      <c r="B22" s="49"/>
      <c r="C22" s="49">
        <v>30</v>
      </c>
      <c r="D22" s="49">
        <f>Tracker2[[#This Row],[Estimated Hrs]]-Tracker2[[#This Row],[Actual Efforts (Hrs)]]</f>
        <v>30</v>
      </c>
      <c r="E22" s="134">
        <f t="shared" si="4"/>
        <v>25.5</v>
      </c>
      <c r="F22" s="134" t="s">
        <v>1440</v>
      </c>
      <c r="G22" s="134" t="s">
        <v>1440</v>
      </c>
      <c r="H22" s="127">
        <v>18680412</v>
      </c>
      <c r="I22" s="127">
        <v>18680412</v>
      </c>
      <c r="J22" s="333" t="s">
        <v>1401</v>
      </c>
      <c r="K22" s="134" t="s">
        <v>118</v>
      </c>
      <c r="L22" s="134"/>
      <c r="M22" s="134">
        <f t="shared" si="5"/>
        <v>21</v>
      </c>
      <c r="N22" s="134" t="s">
        <v>1490</v>
      </c>
      <c r="O22" s="111" t="s">
        <v>115</v>
      </c>
      <c r="P22" s="123"/>
      <c r="Q22" s="123"/>
      <c r="R22" s="123"/>
      <c r="S22" s="123"/>
      <c r="T22" s="123"/>
      <c r="U22" s="134"/>
      <c r="V22" s="134"/>
      <c r="W22" s="134"/>
      <c r="X22" s="134"/>
      <c r="Y22" s="134"/>
      <c r="Z22" s="134"/>
      <c r="AA22" s="134"/>
      <c r="AC22" s="134"/>
      <c r="AD22" s="134"/>
      <c r="AE22" s="49"/>
      <c r="AF22" s="136"/>
      <c r="AG22" s="115">
        <v>46059</v>
      </c>
      <c r="AH22" s="134"/>
      <c r="AI22" s="134"/>
      <c r="AJ22" s="138"/>
      <c r="AK22" s="134"/>
      <c r="AL22" s="137"/>
      <c r="AM22" s="139"/>
      <c r="AN22" s="139"/>
      <c r="AO22" s="116">
        <v>46136</v>
      </c>
      <c r="AP22" s="134"/>
      <c r="AQ22" s="49"/>
      <c r="AR22" s="49"/>
      <c r="AS22" s="139"/>
      <c r="AT22" s="138"/>
      <c r="AU22" s="138"/>
      <c r="AV22" s="134"/>
      <c r="AW22" s="134"/>
      <c r="AX22" s="134" t="s">
        <v>97</v>
      </c>
      <c r="AY22" s="134" t="s">
        <v>98</v>
      </c>
      <c r="AZ22" s="134"/>
      <c r="BA22" s="134"/>
      <c r="BB22" s="134"/>
      <c r="BC22" s="134"/>
      <c r="BD22" s="123"/>
      <c r="BE22" s="123"/>
      <c r="BF22" s="172"/>
      <c r="BG22" s="123"/>
      <c r="BH22" s="173"/>
      <c r="BI22" s="123"/>
      <c r="BJ22" s="123"/>
      <c r="BK22" s="123"/>
      <c r="BL22" s="123"/>
      <c r="BM22" s="140" t="s">
        <v>467</v>
      </c>
      <c r="BN22" s="123"/>
      <c r="BO22" s="140"/>
      <c r="BP22" s="140"/>
      <c r="BQ22" s="140"/>
      <c r="BR22" s="123"/>
      <c r="BS22" s="141"/>
      <c r="BT22" s="123"/>
      <c r="BU22" s="141"/>
      <c r="BV22" s="123"/>
      <c r="BW22" s="123"/>
      <c r="BX22" s="123"/>
      <c r="BY22" s="123"/>
      <c r="BZ22" s="123"/>
      <c r="CA22" s="123"/>
      <c r="CB22" s="174">
        <v>0.3</v>
      </c>
      <c r="CC22" s="140" t="s">
        <v>93</v>
      </c>
      <c r="CD22" s="175">
        <v>46122</v>
      </c>
      <c r="CE22" s="175">
        <v>46125</v>
      </c>
      <c r="CF22" s="175">
        <v>46127</v>
      </c>
      <c r="CG22" s="123" t="s">
        <v>182</v>
      </c>
      <c r="CH22" s="123" t="s">
        <v>785</v>
      </c>
      <c r="CI22" s="123" t="s">
        <v>1468</v>
      </c>
    </row>
    <row r="23" spans="1:90" ht="57.95" hidden="1">
      <c r="A23" s="260" t="s">
        <v>1376</v>
      </c>
      <c r="B23" s="49"/>
      <c r="C23" s="49">
        <v>30</v>
      </c>
      <c r="D23" s="49">
        <f>Tracker2[[#This Row],[Estimated Hrs]]-Tracker2[[#This Row],[Actual Efforts (Hrs)]]</f>
        <v>30</v>
      </c>
      <c r="E23" s="134">
        <f t="shared" si="4"/>
        <v>25.5</v>
      </c>
      <c r="F23" s="134" t="s">
        <v>1440</v>
      </c>
      <c r="G23" s="134" t="s">
        <v>1440</v>
      </c>
      <c r="H23" s="127">
        <v>18673035</v>
      </c>
      <c r="I23" s="127">
        <v>18673035</v>
      </c>
      <c r="J23" s="108" t="s">
        <v>1399</v>
      </c>
      <c r="K23" s="134" t="s">
        <v>118</v>
      </c>
      <c r="L23" s="134"/>
      <c r="M23" s="134">
        <f t="shared" si="5"/>
        <v>21</v>
      </c>
      <c r="N23" s="134"/>
      <c r="O23" s="111" t="s">
        <v>122</v>
      </c>
      <c r="P23" s="123"/>
      <c r="Q23" s="123"/>
      <c r="R23" s="123"/>
      <c r="S23" s="123"/>
      <c r="T23" s="123"/>
      <c r="U23" s="134"/>
      <c r="V23" s="134"/>
      <c r="W23" s="134"/>
      <c r="X23" s="134"/>
      <c r="Y23" s="134"/>
      <c r="Z23" s="134"/>
      <c r="AA23" s="134"/>
      <c r="AC23" s="134"/>
      <c r="AD23" s="134"/>
      <c r="AE23" s="49"/>
      <c r="AF23" s="136"/>
      <c r="AG23" s="115">
        <v>46059</v>
      </c>
      <c r="AH23" s="134"/>
      <c r="AI23" s="134"/>
      <c r="AJ23" s="138"/>
      <c r="AK23" s="134"/>
      <c r="AL23" s="137"/>
      <c r="AM23" s="139"/>
      <c r="AN23" s="139"/>
      <c r="AO23" s="116">
        <v>46136</v>
      </c>
      <c r="AP23" s="134"/>
      <c r="AQ23" s="49"/>
      <c r="AR23" s="49"/>
      <c r="AS23" s="139"/>
      <c r="AT23" s="138"/>
      <c r="AU23" s="138"/>
      <c r="AV23" s="134"/>
      <c r="AW23" s="134"/>
      <c r="AX23" s="134" t="s">
        <v>97</v>
      </c>
      <c r="AY23" s="134" t="s">
        <v>98</v>
      </c>
      <c r="AZ23" s="134"/>
      <c r="BA23" s="134"/>
      <c r="BB23" s="134"/>
      <c r="BC23" s="134"/>
      <c r="BD23" s="123"/>
      <c r="BE23" s="123"/>
      <c r="BF23" s="172"/>
      <c r="BG23" s="123"/>
      <c r="BH23" s="173"/>
      <c r="BI23" s="123"/>
      <c r="BJ23" s="123"/>
      <c r="BK23" s="123"/>
      <c r="BL23" s="123"/>
      <c r="BM23" s="140" t="s">
        <v>500</v>
      </c>
      <c r="BN23" s="123"/>
      <c r="BO23" s="140"/>
      <c r="BP23" s="140"/>
      <c r="BQ23" s="140"/>
      <c r="BR23" s="123"/>
      <c r="BS23" s="141"/>
      <c r="BT23" s="123"/>
      <c r="BU23" s="141"/>
      <c r="BV23" s="123"/>
      <c r="BW23" s="123"/>
      <c r="BX23" s="123"/>
      <c r="BY23" s="123"/>
      <c r="BZ23" s="123"/>
      <c r="CA23" s="123"/>
      <c r="CB23" s="174">
        <v>0</v>
      </c>
      <c r="CC23" s="140" t="s">
        <v>93</v>
      </c>
      <c r="CD23" s="175">
        <v>46132</v>
      </c>
      <c r="CE23" s="175">
        <v>46133</v>
      </c>
      <c r="CF23" s="175">
        <v>46135</v>
      </c>
      <c r="CG23" s="123" t="s">
        <v>182</v>
      </c>
      <c r="CH23" s="123" t="s">
        <v>785</v>
      </c>
      <c r="CI23" s="123" t="s">
        <v>1468</v>
      </c>
    </row>
    <row r="24" spans="1:90" ht="57.95" hidden="1">
      <c r="A24" s="260" t="s">
        <v>1461</v>
      </c>
      <c r="B24" s="49"/>
      <c r="C24" s="49">
        <v>30</v>
      </c>
      <c r="D24" s="49">
        <f>Tracker2[[#This Row],[Estimated Hrs]]-Tracker2[[#This Row],[Actual Efforts (Hrs)]]</f>
        <v>30</v>
      </c>
      <c r="E24" s="134">
        <f t="shared" si="4"/>
        <v>25.5</v>
      </c>
      <c r="F24" s="134" t="s">
        <v>1440</v>
      </c>
      <c r="G24" s="134" t="s">
        <v>1440</v>
      </c>
      <c r="H24" s="127">
        <v>18672926</v>
      </c>
      <c r="I24" s="127">
        <v>18672926</v>
      </c>
      <c r="J24" s="108" t="s">
        <v>1482</v>
      </c>
      <c r="K24" s="134" t="s">
        <v>118</v>
      </c>
      <c r="L24" s="134"/>
      <c r="M24" s="134">
        <f t="shared" si="5"/>
        <v>21</v>
      </c>
      <c r="N24" s="134"/>
      <c r="O24" s="111" t="s">
        <v>122</v>
      </c>
      <c r="P24" s="123"/>
      <c r="Q24" s="123"/>
      <c r="R24" s="123"/>
      <c r="S24" s="123"/>
      <c r="T24" s="123"/>
      <c r="U24" s="134"/>
      <c r="V24" s="134"/>
      <c r="W24" s="134"/>
      <c r="X24" s="134"/>
      <c r="Y24" s="134"/>
      <c r="Z24" s="134"/>
      <c r="AA24" s="134"/>
      <c r="AC24" s="134"/>
      <c r="AD24" s="134"/>
      <c r="AE24" s="49"/>
      <c r="AF24" s="136"/>
      <c r="AG24" s="115">
        <v>46059</v>
      </c>
      <c r="AH24" s="134"/>
      <c r="AI24" s="134"/>
      <c r="AJ24" s="138"/>
      <c r="AK24" s="134"/>
      <c r="AL24" s="137"/>
      <c r="AM24" s="139"/>
      <c r="AN24" s="139"/>
      <c r="AO24" s="116">
        <v>46136</v>
      </c>
      <c r="AP24" s="134"/>
      <c r="AQ24" s="49"/>
      <c r="AR24" s="49"/>
      <c r="AS24" s="139"/>
      <c r="AT24" s="138"/>
      <c r="AU24" s="138"/>
      <c r="AV24" s="134"/>
      <c r="AW24" s="134"/>
      <c r="AX24" s="134" t="s">
        <v>97</v>
      </c>
      <c r="AY24" s="134" t="s">
        <v>98</v>
      </c>
      <c r="AZ24" s="134"/>
      <c r="BA24" s="134"/>
      <c r="BB24" s="134"/>
      <c r="BC24" s="134"/>
      <c r="BD24" s="123"/>
      <c r="BE24" s="123"/>
      <c r="BF24" s="172"/>
      <c r="BG24" s="123"/>
      <c r="BH24" s="173"/>
      <c r="BI24" s="123"/>
      <c r="BJ24" s="123"/>
      <c r="BK24" s="123"/>
      <c r="BL24" s="123"/>
      <c r="BM24" s="140" t="s">
        <v>573</v>
      </c>
      <c r="BN24" s="123"/>
      <c r="BO24" s="140"/>
      <c r="BP24" s="140"/>
      <c r="BQ24" s="140"/>
      <c r="BR24" s="123"/>
      <c r="BS24" s="141"/>
      <c r="BT24" s="123"/>
      <c r="BU24" s="141"/>
      <c r="BV24" s="123"/>
      <c r="BW24" s="123"/>
      <c r="BX24" s="123"/>
      <c r="BY24" s="123"/>
      <c r="BZ24" s="123"/>
      <c r="CA24" s="123"/>
      <c r="CB24" s="174">
        <v>0</v>
      </c>
      <c r="CC24" s="140" t="s">
        <v>93</v>
      </c>
      <c r="CD24" s="175">
        <v>46134</v>
      </c>
      <c r="CE24" s="175">
        <v>46135</v>
      </c>
      <c r="CF24" s="175">
        <v>46136</v>
      </c>
      <c r="CG24" s="123" t="s">
        <v>182</v>
      </c>
      <c r="CH24" s="123" t="s">
        <v>785</v>
      </c>
      <c r="CI24" s="123" t="s">
        <v>1468</v>
      </c>
    </row>
    <row r="25" spans="1:90" ht="57.95" hidden="1">
      <c r="A25" s="260" t="s">
        <v>1461</v>
      </c>
      <c r="B25" s="49"/>
      <c r="C25" s="49">
        <v>30</v>
      </c>
      <c r="D25" s="49">
        <f>Tracker2[[#This Row],[Estimated Hrs]]-Tracker2[[#This Row],[Actual Efforts (Hrs)]]</f>
        <v>30</v>
      </c>
      <c r="E25" s="134">
        <f t="shared" si="4"/>
        <v>25.5</v>
      </c>
      <c r="F25" s="134" t="s">
        <v>1440</v>
      </c>
      <c r="G25" s="134" t="s">
        <v>1440</v>
      </c>
      <c r="H25" s="127">
        <v>18673040</v>
      </c>
      <c r="I25" s="127">
        <v>18673040</v>
      </c>
      <c r="J25" s="108" t="s">
        <v>1484</v>
      </c>
      <c r="K25" s="134" t="s">
        <v>118</v>
      </c>
      <c r="L25" s="134"/>
      <c r="M25" s="134">
        <f t="shared" si="5"/>
        <v>21</v>
      </c>
      <c r="N25" s="134"/>
      <c r="O25" s="111" t="s">
        <v>122</v>
      </c>
      <c r="P25" s="123"/>
      <c r="Q25" s="123"/>
      <c r="R25" s="123"/>
      <c r="S25" s="123"/>
      <c r="T25" s="123"/>
      <c r="U25" s="134"/>
      <c r="V25" s="134"/>
      <c r="W25" s="134"/>
      <c r="X25" s="134"/>
      <c r="Y25" s="134"/>
      <c r="Z25" s="134"/>
      <c r="AA25" s="134"/>
      <c r="AC25" s="134"/>
      <c r="AD25" s="134"/>
      <c r="AE25" s="49"/>
      <c r="AF25" s="136"/>
      <c r="AG25" s="115">
        <v>46059</v>
      </c>
      <c r="AH25" s="134"/>
      <c r="AI25" s="134"/>
      <c r="AJ25" s="138"/>
      <c r="AK25" s="134"/>
      <c r="AL25" s="137"/>
      <c r="AM25" s="139"/>
      <c r="AN25" s="139"/>
      <c r="AO25" s="116">
        <v>46121</v>
      </c>
      <c r="AP25" s="134"/>
      <c r="AQ25" s="49"/>
      <c r="AR25" s="49"/>
      <c r="AS25" s="139"/>
      <c r="AT25" s="138"/>
      <c r="AU25" s="138"/>
      <c r="AV25" s="134"/>
      <c r="AW25" s="134"/>
      <c r="AX25" s="134" t="s">
        <v>97</v>
      </c>
      <c r="AY25" s="134" t="s">
        <v>98</v>
      </c>
      <c r="AZ25" s="134"/>
      <c r="BA25" s="134"/>
      <c r="BB25" s="134"/>
      <c r="BC25" s="134"/>
      <c r="BD25" s="123"/>
      <c r="BE25" s="123"/>
      <c r="BF25" s="172"/>
      <c r="BG25" s="123"/>
      <c r="BH25" s="173"/>
      <c r="BI25" s="123"/>
      <c r="BJ25" s="123"/>
      <c r="BK25" s="123"/>
      <c r="BL25" s="123"/>
      <c r="BM25" s="140" t="s">
        <v>1231</v>
      </c>
      <c r="BN25" s="123"/>
      <c r="BO25" s="140"/>
      <c r="BP25" s="140"/>
      <c r="BQ25" s="140"/>
      <c r="BR25" s="123"/>
      <c r="BS25" s="141"/>
      <c r="BT25" s="123"/>
      <c r="BU25" s="141"/>
      <c r="BV25" s="123"/>
      <c r="BW25" s="123"/>
      <c r="BX25" s="123"/>
      <c r="BY25" s="123"/>
      <c r="BZ25" s="123"/>
      <c r="CA25" s="123"/>
      <c r="CB25" s="174">
        <v>0</v>
      </c>
      <c r="CC25" s="140" t="s">
        <v>93</v>
      </c>
      <c r="CD25" s="175">
        <v>46125</v>
      </c>
      <c r="CE25" s="175">
        <v>46127</v>
      </c>
      <c r="CF25" s="175">
        <v>46128</v>
      </c>
      <c r="CG25" s="123" t="s">
        <v>182</v>
      </c>
      <c r="CH25" s="123" t="s">
        <v>785</v>
      </c>
      <c r="CI25" s="123" t="s">
        <v>1468</v>
      </c>
    </row>
    <row r="26" spans="1:90" ht="57.95" hidden="1">
      <c r="A26" s="260" t="s">
        <v>449</v>
      </c>
      <c r="B26" s="107"/>
      <c r="C26" s="49">
        <v>30</v>
      </c>
      <c r="D26" s="49">
        <f>Tracker2[[#This Row],[Estimated Hrs]]-Tracker2[[#This Row],[Actual Efforts (Hrs)]]</f>
        <v>30</v>
      </c>
      <c r="E26" s="108">
        <f t="shared" si="4"/>
        <v>25.5</v>
      </c>
      <c r="F26" s="134" t="s">
        <v>1440</v>
      </c>
      <c r="G26" s="134" t="s">
        <v>1440</v>
      </c>
      <c r="H26" s="127">
        <v>18673059</v>
      </c>
      <c r="I26" s="127">
        <v>18673059</v>
      </c>
      <c r="J26" s="108" t="s">
        <v>1400</v>
      </c>
      <c r="K26" s="134" t="s">
        <v>118</v>
      </c>
      <c r="L26" s="108"/>
      <c r="M26" s="108">
        <f t="shared" si="5"/>
        <v>21</v>
      </c>
      <c r="N26" s="108"/>
      <c r="O26" s="111" t="s">
        <v>122</v>
      </c>
      <c r="P26" s="111"/>
      <c r="Q26" s="111"/>
      <c r="R26" s="111"/>
      <c r="S26" s="111"/>
      <c r="T26" s="111"/>
      <c r="U26" s="108"/>
      <c r="V26" s="108"/>
      <c r="W26" s="108"/>
      <c r="X26" s="108"/>
      <c r="Y26" s="108"/>
      <c r="Z26" s="108"/>
      <c r="AA26" s="108"/>
      <c r="AB26" s="112"/>
      <c r="AC26" s="108"/>
      <c r="AD26" s="108"/>
      <c r="AE26" s="107"/>
      <c r="AF26" s="113"/>
      <c r="AG26" s="115">
        <v>46059</v>
      </c>
      <c r="AH26" s="108"/>
      <c r="AI26" s="108"/>
      <c r="AJ26" s="114"/>
      <c r="AK26" s="108"/>
      <c r="AL26" s="115"/>
      <c r="AM26" s="116"/>
      <c r="AN26" s="116"/>
      <c r="AO26" s="116">
        <v>46134</v>
      </c>
      <c r="AP26" s="108"/>
      <c r="AQ26" s="107"/>
      <c r="AR26" s="107"/>
      <c r="AS26" s="116"/>
      <c r="AT26" s="114"/>
      <c r="AU26" s="114"/>
      <c r="AV26" s="108"/>
      <c r="AW26" s="108"/>
      <c r="AX26" s="134" t="s">
        <v>97</v>
      </c>
      <c r="AY26" s="134" t="s">
        <v>98</v>
      </c>
      <c r="AZ26" s="108"/>
      <c r="BA26" s="108"/>
      <c r="BB26" s="108"/>
      <c r="BC26" s="108"/>
      <c r="BD26" s="111"/>
      <c r="BE26" s="111"/>
      <c r="BF26" s="167"/>
      <c r="BG26" s="111"/>
      <c r="BH26" s="168"/>
      <c r="BI26" s="111"/>
      <c r="BJ26" s="111"/>
      <c r="BK26" s="111"/>
      <c r="BL26" s="111"/>
      <c r="BM26" s="140" t="s">
        <v>1485</v>
      </c>
      <c r="BN26" s="111"/>
      <c r="BO26" s="117"/>
      <c r="BP26" s="117"/>
      <c r="BQ26" s="117"/>
      <c r="BR26" s="111"/>
      <c r="BS26" s="118"/>
      <c r="BT26" s="111"/>
      <c r="BU26" s="118"/>
      <c r="BV26" s="111"/>
      <c r="BW26" s="111"/>
      <c r="BX26" s="111"/>
      <c r="BY26" s="111"/>
      <c r="BZ26" s="111"/>
      <c r="CA26" s="111"/>
      <c r="CB26" s="169">
        <v>0</v>
      </c>
      <c r="CC26" s="140" t="s">
        <v>93</v>
      </c>
      <c r="CD26" s="175">
        <v>46125</v>
      </c>
      <c r="CE26" s="175">
        <v>46127</v>
      </c>
      <c r="CF26" s="170">
        <v>46128</v>
      </c>
      <c r="CG26" s="123" t="s">
        <v>270</v>
      </c>
      <c r="CH26" s="123" t="s">
        <v>785</v>
      </c>
      <c r="CI26" s="123" t="s">
        <v>1468</v>
      </c>
    </row>
    <row r="27" spans="1:90" ht="188.45" hidden="1">
      <c r="A27" s="106" t="s">
        <v>1376</v>
      </c>
      <c r="B27" s="107">
        <f>6+6+8+8+8+8.5+1+5+7+7+6.5</f>
        <v>71</v>
      </c>
      <c r="C27" s="49">
        <v>30</v>
      </c>
      <c r="D27" s="49">
        <f>Tracker2[[#This Row],[Estimated Hrs]]-Tracker2[[#This Row],[Actual Efforts (Hrs)]]</f>
        <v>-41</v>
      </c>
      <c r="E27" s="108">
        <f>2+3+1.5+1.5+2.5+3+4+4+4</f>
        <v>25.5</v>
      </c>
      <c r="F27" s="134" t="s">
        <v>1440</v>
      </c>
      <c r="G27" s="134" t="s">
        <v>1440</v>
      </c>
      <c r="H27" s="127">
        <v>18142230</v>
      </c>
      <c r="I27" s="127">
        <v>18142230</v>
      </c>
      <c r="J27" s="333" t="s">
        <v>1470</v>
      </c>
      <c r="K27" s="108" t="s">
        <v>118</v>
      </c>
      <c r="L27" s="108"/>
      <c r="M27" s="108">
        <f>7+4+3+6+1</f>
        <v>21</v>
      </c>
      <c r="N27" s="108" t="s">
        <v>1491</v>
      </c>
      <c r="O27" s="111" t="s">
        <v>115</v>
      </c>
      <c r="P27" s="111"/>
      <c r="Q27" s="111"/>
      <c r="R27" s="111"/>
      <c r="S27" s="111"/>
      <c r="T27" s="111"/>
      <c r="U27" s="108"/>
      <c r="V27" s="108"/>
      <c r="W27" s="108"/>
      <c r="X27" s="108"/>
      <c r="Y27" s="108"/>
      <c r="Z27" s="108"/>
      <c r="AA27" s="108"/>
      <c r="AB27" s="112"/>
      <c r="AC27" s="108"/>
      <c r="AD27" s="108"/>
      <c r="AE27" s="107"/>
      <c r="AF27" s="113"/>
      <c r="AG27" s="115">
        <v>46059</v>
      </c>
      <c r="AH27" s="108"/>
      <c r="AI27" s="108"/>
      <c r="AJ27" s="114"/>
      <c r="AK27" s="108"/>
      <c r="AL27" s="115"/>
      <c r="AM27" s="116"/>
      <c r="AN27" s="116"/>
      <c r="AO27" s="116">
        <v>46129</v>
      </c>
      <c r="AP27" s="108"/>
      <c r="AQ27" s="107"/>
      <c r="AR27" s="107"/>
      <c r="AS27" s="116"/>
      <c r="AT27" s="114"/>
      <c r="AU27" s="114"/>
      <c r="AV27" s="108"/>
      <c r="AW27" s="108"/>
      <c r="AX27" s="134" t="s">
        <v>97</v>
      </c>
      <c r="AY27" s="134" t="s">
        <v>98</v>
      </c>
      <c r="AZ27" s="108"/>
      <c r="BA27" s="108"/>
      <c r="BB27" s="108"/>
      <c r="BC27" s="108"/>
      <c r="BD27" s="111"/>
      <c r="BE27" s="111"/>
      <c r="BF27" s="167"/>
      <c r="BG27" s="111"/>
      <c r="BH27" s="168"/>
      <c r="BI27" s="111"/>
      <c r="BJ27" s="111"/>
      <c r="BK27" s="111"/>
      <c r="BL27" s="111"/>
      <c r="BM27" s="140" t="s">
        <v>414</v>
      </c>
      <c r="BN27" s="111"/>
      <c r="BO27" s="117"/>
      <c r="BP27" s="117"/>
      <c r="BQ27" s="117"/>
      <c r="BR27" s="111"/>
      <c r="BS27" s="118"/>
      <c r="BT27" s="111"/>
      <c r="BU27" s="118"/>
      <c r="BV27" s="111"/>
      <c r="BW27" s="111"/>
      <c r="BX27" s="111"/>
      <c r="BY27" s="111"/>
      <c r="BZ27" s="111"/>
      <c r="CA27" s="111"/>
      <c r="CB27" s="169">
        <v>0.99</v>
      </c>
      <c r="CC27" s="117" t="s">
        <v>93</v>
      </c>
      <c r="CD27" s="175">
        <v>46118</v>
      </c>
      <c r="CE27" s="175">
        <v>46119</v>
      </c>
      <c r="CF27" s="175">
        <v>46120</v>
      </c>
      <c r="CG27" s="123" t="s">
        <v>313</v>
      </c>
      <c r="CH27" s="111" t="s">
        <v>125</v>
      </c>
      <c r="CI27" s="111" t="s">
        <v>1492</v>
      </c>
    </row>
    <row r="28" spans="1:90" ht="116.1" hidden="1">
      <c r="A28" s="106" t="s">
        <v>1376</v>
      </c>
      <c r="B28" s="107">
        <f>0.5+3+3+5.5+7</f>
        <v>19</v>
      </c>
      <c r="C28" s="49">
        <f>37.5+19</f>
        <v>56.5</v>
      </c>
      <c r="D28" s="49">
        <f>Tracker2[[#This Row],[Estimated Hrs]]-Tracker2[[#This Row],[Actual Efforts (Hrs)]]</f>
        <v>37.5</v>
      </c>
      <c r="E28" s="108">
        <f>2+3+1.5+1.5+2.5+3+4+4+4</f>
        <v>25.5</v>
      </c>
      <c r="F28" s="134" t="s">
        <v>1440</v>
      </c>
      <c r="G28" s="134" t="s">
        <v>1440</v>
      </c>
      <c r="H28" s="127">
        <v>18139347</v>
      </c>
      <c r="I28" s="127">
        <v>18139347</v>
      </c>
      <c r="J28" s="333" t="s">
        <v>1398</v>
      </c>
      <c r="K28" s="108" t="s">
        <v>118</v>
      </c>
      <c r="L28" s="108"/>
      <c r="M28" s="108">
        <f>7+4+3+6+1</f>
        <v>21</v>
      </c>
      <c r="N28" s="108" t="s">
        <v>1493</v>
      </c>
      <c r="O28" s="111" t="s">
        <v>201</v>
      </c>
      <c r="P28" s="111"/>
      <c r="Q28" s="111"/>
      <c r="R28" s="111"/>
      <c r="S28" s="111"/>
      <c r="T28" s="111"/>
      <c r="U28" s="108"/>
      <c r="V28" s="108"/>
      <c r="W28" s="108"/>
      <c r="X28" s="108"/>
      <c r="Y28" s="108"/>
      <c r="Z28" s="108"/>
      <c r="AA28" s="108"/>
      <c r="AB28" s="112"/>
      <c r="AC28" s="108"/>
      <c r="AD28" s="108"/>
      <c r="AE28" s="107"/>
      <c r="AF28" s="113"/>
      <c r="AG28" s="115">
        <v>46056</v>
      </c>
      <c r="AH28" s="108"/>
      <c r="AI28" s="108"/>
      <c r="AJ28" s="114"/>
      <c r="AK28" s="108"/>
      <c r="AL28" s="115"/>
      <c r="AM28" s="116"/>
      <c r="AN28" s="116"/>
      <c r="AO28" s="116">
        <v>46141</v>
      </c>
      <c r="AP28" s="108"/>
      <c r="AQ28" s="107"/>
      <c r="AR28" s="107"/>
      <c r="AS28" s="116"/>
      <c r="AT28" s="114"/>
      <c r="AU28" s="114"/>
      <c r="AV28" s="108"/>
      <c r="AW28" s="108"/>
      <c r="AX28" s="134" t="s">
        <v>97</v>
      </c>
      <c r="AY28" s="134" t="s">
        <v>98</v>
      </c>
      <c r="AZ28" s="108"/>
      <c r="BA28" s="108"/>
      <c r="BB28" s="108"/>
      <c r="BC28" s="108"/>
      <c r="BD28" s="111"/>
      <c r="BE28" s="111"/>
      <c r="BF28" s="167"/>
      <c r="BG28" s="111"/>
      <c r="BH28" s="168"/>
      <c r="BI28" s="111"/>
      <c r="BJ28" s="111"/>
      <c r="BK28" s="111"/>
      <c r="BL28" s="111"/>
      <c r="BM28" s="140" t="s">
        <v>462</v>
      </c>
      <c r="BN28" s="111"/>
      <c r="BO28" s="117"/>
      <c r="BP28" s="117"/>
      <c r="BQ28" s="117"/>
      <c r="BR28" s="111"/>
      <c r="BS28" s="118"/>
      <c r="BT28" s="111"/>
      <c r="BU28" s="118"/>
      <c r="BV28" s="111"/>
      <c r="BW28" s="111"/>
      <c r="BX28" s="111"/>
      <c r="BY28" s="111"/>
      <c r="BZ28" s="111"/>
      <c r="CA28" s="111"/>
      <c r="CB28" s="169">
        <v>0.2</v>
      </c>
      <c r="CC28" s="117" t="s">
        <v>93</v>
      </c>
      <c r="CD28" s="175">
        <v>46136</v>
      </c>
      <c r="CE28" s="175">
        <v>46139</v>
      </c>
      <c r="CF28" s="175">
        <v>46139</v>
      </c>
      <c r="CG28" s="123" t="s">
        <v>182</v>
      </c>
      <c r="CH28" s="111" t="s">
        <v>785</v>
      </c>
      <c r="CI28" s="111" t="s">
        <v>1494</v>
      </c>
    </row>
    <row r="29" spans="1:90" ht="188.45" hidden="1">
      <c r="A29" s="106" t="s">
        <v>1469</v>
      </c>
      <c r="B29" s="49">
        <f>1.5+4+4+8+6+6+7.5+7+8+8+7.5+8+7.5+8.5+7.5</f>
        <v>99</v>
      </c>
      <c r="C29" s="49">
        <f>250</f>
        <v>250</v>
      </c>
      <c r="D29" s="49">
        <f>Tracker2[[#This Row],[Estimated Hrs]]-Tracker2[[#This Row],[Actual Efforts (Hrs)]]</f>
        <v>151</v>
      </c>
      <c r="E29" s="134">
        <f>2+3+1.5+1.5+2.5+3+4+4+4</f>
        <v>25.5</v>
      </c>
      <c r="F29" s="134" t="s">
        <v>1440</v>
      </c>
      <c r="G29" s="134" t="s">
        <v>1440</v>
      </c>
      <c r="H29" s="135">
        <v>18148466</v>
      </c>
      <c r="I29" s="127">
        <v>18148466</v>
      </c>
      <c r="J29" s="108" t="s">
        <v>1495</v>
      </c>
      <c r="K29" s="108" t="s">
        <v>118</v>
      </c>
      <c r="L29" s="134"/>
      <c r="M29" s="134">
        <f>7+4+3+6+1</f>
        <v>21</v>
      </c>
      <c r="N29" s="134" t="s">
        <v>1496</v>
      </c>
      <c r="O29" s="111" t="s">
        <v>115</v>
      </c>
      <c r="P29" s="123"/>
      <c r="Q29" s="123"/>
      <c r="R29" s="123"/>
      <c r="S29" s="123"/>
      <c r="T29" s="123"/>
      <c r="U29" s="134"/>
      <c r="V29" s="134"/>
      <c r="W29" s="134"/>
      <c r="X29" s="134"/>
      <c r="Y29" s="134"/>
      <c r="Z29" s="134"/>
      <c r="AA29" s="134"/>
      <c r="AC29" s="134"/>
      <c r="AD29" s="134"/>
      <c r="AE29" s="49"/>
      <c r="AF29" s="136"/>
      <c r="AG29" s="137">
        <v>46112</v>
      </c>
      <c r="AH29" s="134"/>
      <c r="AI29" s="134"/>
      <c r="AJ29" s="138"/>
      <c r="AK29" s="134"/>
      <c r="AL29" s="137"/>
      <c r="AM29" s="139"/>
      <c r="AN29" s="139"/>
      <c r="AO29" s="116">
        <v>46136</v>
      </c>
      <c r="AP29" s="134"/>
      <c r="AQ29" s="49"/>
      <c r="AR29" s="49"/>
      <c r="AS29" s="139"/>
      <c r="AT29" s="138"/>
      <c r="AU29" s="138"/>
      <c r="AV29" s="134"/>
      <c r="AW29" s="134"/>
      <c r="AX29" s="134" t="s">
        <v>97</v>
      </c>
      <c r="AY29" s="134" t="s">
        <v>98</v>
      </c>
      <c r="AZ29" s="134"/>
      <c r="BA29" s="134"/>
      <c r="BB29" s="134"/>
      <c r="BC29" s="134"/>
      <c r="BD29" s="123"/>
      <c r="BE29" s="123"/>
      <c r="BF29" s="172"/>
      <c r="BG29" s="123"/>
      <c r="BH29" s="173"/>
      <c r="BI29" s="123"/>
      <c r="BJ29" s="123"/>
      <c r="BK29" s="123"/>
      <c r="BL29" s="123"/>
      <c r="BM29" s="140" t="s">
        <v>462</v>
      </c>
      <c r="BN29" s="123"/>
      <c r="BO29" s="140"/>
      <c r="BP29" s="140"/>
      <c r="BQ29" s="140"/>
      <c r="BR29" s="123"/>
      <c r="BS29" s="141"/>
      <c r="BT29" s="123"/>
      <c r="BU29" s="141"/>
      <c r="BV29" s="123"/>
      <c r="BW29" s="123"/>
      <c r="BX29" s="123"/>
      <c r="BY29" s="123"/>
      <c r="BZ29" s="123"/>
      <c r="CA29" s="123"/>
      <c r="CB29" s="174">
        <v>0.6</v>
      </c>
      <c r="CC29" s="140" t="s">
        <v>93</v>
      </c>
      <c r="CD29" s="175" t="s">
        <v>1497</v>
      </c>
      <c r="CE29" s="175" t="s">
        <v>1498</v>
      </c>
      <c r="CF29" s="170" t="s">
        <v>1499</v>
      </c>
      <c r="CG29" s="123" t="s">
        <v>182</v>
      </c>
      <c r="CH29" s="123" t="s">
        <v>125</v>
      </c>
      <c r="CI29" s="123" t="s">
        <v>1500</v>
      </c>
    </row>
    <row r="30" spans="1:90" ht="43.5" hidden="1">
      <c r="A30" s="106" t="s">
        <v>1461</v>
      </c>
      <c r="B30" s="107"/>
      <c r="C30" s="107"/>
      <c r="D30" s="107">
        <v>100</v>
      </c>
      <c r="E30" s="108">
        <f>2+3+1.5+1.5+2.5+3+4+4+4</f>
        <v>25.5</v>
      </c>
      <c r="F30" s="108"/>
      <c r="G30" s="121"/>
      <c r="H30" s="109">
        <v>18111626</v>
      </c>
      <c r="I30" s="127">
        <v>18111626</v>
      </c>
      <c r="J30" s="108" t="s">
        <v>1404</v>
      </c>
      <c r="K30" s="108" t="s">
        <v>179</v>
      </c>
      <c r="L30" s="108"/>
      <c r="M30" s="108">
        <f>7+4+3+6+1</f>
        <v>21</v>
      </c>
      <c r="N30" s="108"/>
      <c r="O30" s="111" t="s">
        <v>122</v>
      </c>
      <c r="P30" s="111"/>
      <c r="Q30" s="111"/>
      <c r="R30" s="111"/>
      <c r="S30" s="111"/>
      <c r="T30" s="111"/>
      <c r="U30" s="108"/>
      <c r="V30" s="108"/>
      <c r="W30" s="108"/>
      <c r="X30" s="108"/>
      <c r="Y30" s="108"/>
      <c r="Z30" s="108"/>
      <c r="AA30" s="108"/>
      <c r="AB30" s="112"/>
      <c r="AC30" s="108"/>
      <c r="AD30" s="108"/>
      <c r="AE30" s="107"/>
      <c r="AF30" s="113"/>
      <c r="AG30" s="115"/>
      <c r="AH30" s="108"/>
      <c r="AI30" s="108"/>
      <c r="AJ30" s="114"/>
      <c r="AK30" s="108"/>
      <c r="AL30" s="115"/>
      <c r="AM30" s="116"/>
      <c r="AN30" s="116"/>
      <c r="AO30" s="116">
        <v>46129</v>
      </c>
      <c r="AP30" s="108"/>
      <c r="AQ30" s="107"/>
      <c r="AR30" s="107"/>
      <c r="AS30" s="116"/>
      <c r="AT30" s="114"/>
      <c r="AU30" s="114"/>
      <c r="AV30" s="108"/>
      <c r="AW30" s="108"/>
      <c r="AX30" s="108"/>
      <c r="AY30" s="108"/>
      <c r="AZ30" s="108"/>
      <c r="BA30" s="108"/>
      <c r="BB30" s="108"/>
      <c r="BC30" s="108"/>
      <c r="BD30" s="111"/>
      <c r="BE30" s="111"/>
      <c r="BF30" s="167"/>
      <c r="BG30" s="111"/>
      <c r="BH30" s="168"/>
      <c r="BI30" s="111"/>
      <c r="BJ30" s="111"/>
      <c r="BK30" s="111"/>
      <c r="BL30" s="111"/>
      <c r="BM30" s="117" t="s">
        <v>462</v>
      </c>
      <c r="BN30" s="111"/>
      <c r="BO30" s="117"/>
      <c r="BP30" s="117"/>
      <c r="BQ30" s="117"/>
      <c r="BR30" s="111"/>
      <c r="BS30" s="118"/>
      <c r="BT30" s="111"/>
      <c r="BU30" s="118"/>
      <c r="BV30" s="111"/>
      <c r="BW30" s="111"/>
      <c r="BX30" s="111"/>
      <c r="BY30" s="111"/>
      <c r="BZ30" s="111"/>
      <c r="CA30" s="111"/>
      <c r="CB30" s="169"/>
      <c r="CC30" s="117"/>
      <c r="CD30" s="170" t="s">
        <v>270</v>
      </c>
      <c r="CE30" s="170" t="s">
        <v>270</v>
      </c>
      <c r="CF30" s="170" t="s">
        <v>270</v>
      </c>
      <c r="CG30" s="111" t="s">
        <v>182</v>
      </c>
      <c r="CH30" s="111"/>
      <c r="CI30" s="111"/>
    </row>
    <row r="31" spans="1:90" ht="57.95" hidden="1">
      <c r="A31" s="106" t="s">
        <v>449</v>
      </c>
      <c r="B31" s="107">
        <f>0.5+2</f>
        <v>2.5</v>
      </c>
      <c r="C31" s="107"/>
      <c r="D31" s="107">
        <f>Tracker2[[#This Row],[Estimated Hrs]]-Tracker2[[#This Row],[Actual Efforts (Hrs)]]</f>
        <v>-2.5</v>
      </c>
      <c r="E31" s="108">
        <v>25.5</v>
      </c>
      <c r="F31" s="108"/>
      <c r="G31" s="121"/>
      <c r="H31" s="109">
        <v>18241536</v>
      </c>
      <c r="I31" s="127">
        <f>Tracker2[[#This Row],[
DCR ID - PTC]]</f>
        <v>18241536</v>
      </c>
      <c r="J31" s="108" t="s">
        <v>1452</v>
      </c>
      <c r="K31" s="108" t="s">
        <v>101</v>
      </c>
      <c r="L31" s="108"/>
      <c r="M31" s="108">
        <v>21</v>
      </c>
      <c r="N31" s="108" t="s">
        <v>1501</v>
      </c>
      <c r="O31" s="111" t="s">
        <v>115</v>
      </c>
      <c r="P31" s="111"/>
      <c r="Q31" s="111"/>
      <c r="R31" s="111"/>
      <c r="S31" s="111"/>
      <c r="T31" s="111"/>
      <c r="U31" s="108"/>
      <c r="V31" s="108"/>
      <c r="W31" s="108"/>
      <c r="X31" s="108"/>
      <c r="Y31" s="108"/>
      <c r="Z31" s="108"/>
      <c r="AA31" s="108"/>
      <c r="AB31" s="112"/>
      <c r="AC31" s="108"/>
      <c r="AD31" s="108" t="s">
        <v>93</v>
      </c>
      <c r="AE31" s="107"/>
      <c r="AF31" s="113"/>
      <c r="AG31" s="115"/>
      <c r="AH31" s="108" t="s">
        <v>109</v>
      </c>
      <c r="AI31" s="108" t="s">
        <v>95</v>
      </c>
      <c r="AJ31" s="114">
        <v>46142.395833333336</v>
      </c>
      <c r="AK31" s="108" t="s">
        <v>96</v>
      </c>
      <c r="AL31" s="115">
        <v>45915.820856481485</v>
      </c>
      <c r="AM31" s="116"/>
      <c r="AN31" s="116"/>
      <c r="AO31" s="116">
        <v>46139</v>
      </c>
      <c r="AP31" s="108"/>
      <c r="AQ31" s="107"/>
      <c r="AR31" s="107"/>
      <c r="AS31" s="116"/>
      <c r="AT31" s="114"/>
      <c r="AU31" s="114"/>
      <c r="AV31" s="108"/>
      <c r="AW31" s="108"/>
      <c r="AX31" s="108"/>
      <c r="AY31" s="108" t="s">
        <v>98</v>
      </c>
      <c r="AZ31" s="108"/>
      <c r="BA31" s="108"/>
      <c r="BB31" s="108"/>
      <c r="BC31" s="108"/>
      <c r="BD31" s="111"/>
      <c r="BE31" s="111"/>
      <c r="BF31" s="167"/>
      <c r="BG31" s="111"/>
      <c r="BH31" s="168"/>
      <c r="BI31" s="111"/>
      <c r="BJ31" s="111"/>
      <c r="BK31" s="111"/>
      <c r="BL31" s="111"/>
      <c r="BM31" s="117" t="s">
        <v>1447</v>
      </c>
      <c r="BN31" s="111"/>
      <c r="BO31" s="117"/>
      <c r="BP31" s="117"/>
      <c r="BQ31" s="117"/>
      <c r="BR31" s="111"/>
      <c r="BS31" s="118"/>
      <c r="BT31" s="111"/>
      <c r="BU31" s="118"/>
      <c r="BV31" s="111"/>
      <c r="BW31" s="111"/>
      <c r="BX31" s="111"/>
      <c r="BY31" s="111"/>
      <c r="BZ31" s="111"/>
      <c r="CA31" s="111"/>
      <c r="CB31" s="169"/>
      <c r="CC31" s="117"/>
      <c r="CD31" s="170" t="s">
        <v>1502</v>
      </c>
      <c r="CE31" s="170" t="s">
        <v>1503</v>
      </c>
      <c r="CF31" s="170" t="s">
        <v>1504</v>
      </c>
      <c r="CG31" s="111" t="s">
        <v>182</v>
      </c>
      <c r="CH31" s="111"/>
      <c r="CI31" s="111"/>
    </row>
    <row r="32" spans="1:90" ht="57.95" hidden="1">
      <c r="A32" s="106" t="s">
        <v>1380</v>
      </c>
      <c r="B32" s="107"/>
      <c r="C32" s="107">
        <v>30</v>
      </c>
      <c r="D32" s="107"/>
      <c r="E32" s="108">
        <v>25.5</v>
      </c>
      <c r="F32" s="134" t="s">
        <v>1440</v>
      </c>
      <c r="G32" s="134" t="s">
        <v>1440</v>
      </c>
      <c r="H32" s="109">
        <v>18111626</v>
      </c>
      <c r="I32" s="127">
        <v>18111626</v>
      </c>
      <c r="J32" s="108" t="s">
        <v>1505</v>
      </c>
      <c r="K32" s="108" t="s">
        <v>118</v>
      </c>
      <c r="L32" s="108"/>
      <c r="M32" s="108">
        <v>21</v>
      </c>
      <c r="N32" s="108" t="s">
        <v>1506</v>
      </c>
      <c r="O32" s="111" t="s">
        <v>115</v>
      </c>
      <c r="P32" s="116">
        <v>46129</v>
      </c>
      <c r="Q32" s="111"/>
      <c r="R32" s="111"/>
      <c r="S32" s="111"/>
      <c r="T32" s="111"/>
      <c r="U32" s="108"/>
      <c r="V32" s="108"/>
      <c r="W32" s="108"/>
      <c r="X32" s="108"/>
      <c r="Y32" s="108"/>
      <c r="Z32" s="108"/>
      <c r="AA32" s="108"/>
      <c r="AB32" s="112"/>
      <c r="AC32" s="108"/>
      <c r="AD32" s="108"/>
      <c r="AE32" s="107"/>
      <c r="AF32" s="113"/>
      <c r="AG32" s="137">
        <v>46112</v>
      </c>
      <c r="AH32" s="108"/>
      <c r="AI32" s="108"/>
      <c r="AJ32" s="114"/>
      <c r="AK32" s="108"/>
      <c r="AL32" s="115"/>
      <c r="AM32" s="116"/>
      <c r="AN32" s="116"/>
      <c r="AO32" s="116">
        <v>46136</v>
      </c>
      <c r="AP32" s="108"/>
      <c r="AQ32" s="107"/>
      <c r="AR32" s="107"/>
      <c r="AS32" s="116"/>
      <c r="AT32" s="114"/>
      <c r="AU32" s="114"/>
      <c r="AV32" s="108"/>
      <c r="AW32" s="108"/>
      <c r="AX32" s="134" t="s">
        <v>97</v>
      </c>
      <c r="AY32" s="134" t="s">
        <v>98</v>
      </c>
      <c r="AZ32" s="108"/>
      <c r="BA32" s="108"/>
      <c r="BB32" s="108"/>
      <c r="BC32" s="108"/>
      <c r="BD32" s="111"/>
      <c r="BE32" s="111"/>
      <c r="BF32" s="167"/>
      <c r="BG32" s="111"/>
      <c r="BH32" s="168"/>
      <c r="BI32" s="111"/>
      <c r="BJ32" s="111"/>
      <c r="BK32" s="111"/>
      <c r="BL32" s="111"/>
      <c r="BM32" s="117"/>
      <c r="BN32" s="111"/>
      <c r="BO32" s="117"/>
      <c r="BP32" s="117"/>
      <c r="BQ32" s="117"/>
      <c r="BR32" s="111"/>
      <c r="BS32" s="118"/>
      <c r="BT32" s="111"/>
      <c r="BU32" s="118"/>
      <c r="BV32" s="111"/>
      <c r="BW32" s="111"/>
      <c r="BX32" s="111"/>
      <c r="BY32" s="111"/>
      <c r="BZ32" s="111"/>
      <c r="CA32" s="111"/>
      <c r="CB32" s="169">
        <v>0.6</v>
      </c>
      <c r="CC32" s="117" t="s">
        <v>93</v>
      </c>
      <c r="CD32" s="175" t="s">
        <v>1442</v>
      </c>
      <c r="CE32" s="175" t="s">
        <v>1443</v>
      </c>
      <c r="CF32" s="170">
        <v>46136</v>
      </c>
      <c r="CG32" s="111" t="s">
        <v>182</v>
      </c>
      <c r="CH32" s="111" t="s">
        <v>125</v>
      </c>
      <c r="CI32" s="111" t="s">
        <v>1444</v>
      </c>
    </row>
  </sheetData>
  <conditionalFormatting sqref="O32 Q32:T32 O2:T31 O33:T1048576">
    <cfRule type="cellIs" dxfId="303" priority="91" operator="equal">
      <formula>"At Risk"</formula>
    </cfRule>
    <cfRule type="cellIs" dxfId="302" priority="92" operator="equal">
      <formula>"On Hold"</formula>
    </cfRule>
    <cfRule type="cellIs" dxfId="301" priority="93" operator="equal">
      <formula>"On Track"</formula>
    </cfRule>
  </conditionalFormatting>
  <conditionalFormatting sqref="O32 Q32:T32 O2:T31 O33:T1048576">
    <cfRule type="containsText" dxfId="300" priority="90" operator="containsText" text="Next Sprint">
      <formula>NOT(ISERROR(SEARCH("Next Sprint",O2)))</formula>
    </cfRule>
  </conditionalFormatting>
  <conditionalFormatting sqref="I1">
    <cfRule type="duplicateValues" dxfId="299" priority="86"/>
  </conditionalFormatting>
  <conditionalFormatting sqref="H1">
    <cfRule type="duplicateValues" dxfId="298" priority="87"/>
  </conditionalFormatting>
  <conditionalFormatting sqref="H1">
    <cfRule type="duplicateValues" dxfId="297" priority="88"/>
    <cfRule type="duplicateValues" dxfId="296" priority="89"/>
  </conditionalFormatting>
  <conditionalFormatting sqref="H31 H2:H4 H6:H7 H33:H1048576">
    <cfRule type="duplicateValues" dxfId="295" priority="94"/>
  </conditionalFormatting>
  <conditionalFormatting sqref="H31 H2:H4 H6:H7 H33:H1048576">
    <cfRule type="duplicateValues" dxfId="294" priority="95"/>
    <cfRule type="duplicateValues" dxfId="293" priority="96"/>
  </conditionalFormatting>
  <conditionalFormatting sqref="H31 H1:H4 H6:H7 H33:H1048576">
    <cfRule type="duplicateValues" dxfId="292" priority="97"/>
    <cfRule type="duplicateValues" dxfId="291" priority="98"/>
  </conditionalFormatting>
  <conditionalFormatting sqref="H31 H1:H4 H6:H7 H33:H1048576">
    <cfRule type="duplicateValues" dxfId="290" priority="99"/>
  </conditionalFormatting>
  <conditionalFormatting sqref="G30 G1:H1 H6:H7 G31:H31 G33:H1048576 G3:H3 H2 H4">
    <cfRule type="duplicateValues" dxfId="289" priority="100"/>
  </conditionalFormatting>
  <conditionalFormatting sqref="H5">
    <cfRule type="duplicateValues" dxfId="288" priority="80"/>
  </conditionalFormatting>
  <conditionalFormatting sqref="H5">
    <cfRule type="duplicateValues" dxfId="287" priority="81"/>
    <cfRule type="duplicateValues" dxfId="286" priority="82"/>
    <cfRule type="duplicateValues" dxfId="285" priority="83"/>
  </conditionalFormatting>
  <conditionalFormatting sqref="H5">
    <cfRule type="duplicateValues" dxfId="284" priority="84"/>
  </conditionalFormatting>
  <conditionalFormatting sqref="H5">
    <cfRule type="duplicateValues" dxfId="283" priority="85"/>
  </conditionalFormatting>
  <conditionalFormatting sqref="H9">
    <cfRule type="duplicateValues" dxfId="282" priority="74"/>
  </conditionalFormatting>
  <conditionalFormatting sqref="H9">
    <cfRule type="duplicateValues" dxfId="281" priority="79"/>
  </conditionalFormatting>
  <conditionalFormatting sqref="H9">
    <cfRule type="duplicateValues" dxfId="280" priority="75"/>
    <cfRule type="duplicateValues" dxfId="279" priority="76"/>
    <cfRule type="duplicateValues" dxfId="278" priority="77"/>
  </conditionalFormatting>
  <conditionalFormatting sqref="H9">
    <cfRule type="duplicateValues" dxfId="277" priority="78"/>
  </conditionalFormatting>
  <conditionalFormatting sqref="H8">
    <cfRule type="duplicateValues" dxfId="276" priority="68"/>
  </conditionalFormatting>
  <conditionalFormatting sqref="H8">
    <cfRule type="duplicateValues" dxfId="275" priority="73"/>
  </conditionalFormatting>
  <conditionalFormatting sqref="H8">
    <cfRule type="duplicateValues" dxfId="274" priority="69"/>
    <cfRule type="duplicateValues" dxfId="273" priority="70"/>
    <cfRule type="duplicateValues" dxfId="272" priority="71"/>
  </conditionalFormatting>
  <conditionalFormatting sqref="H8">
    <cfRule type="duplicateValues" dxfId="271" priority="72"/>
  </conditionalFormatting>
  <conditionalFormatting sqref="O11:T12">
    <cfRule type="cellIs" dxfId="270" priority="54" operator="equal">
      <formula>"At Risk"</formula>
    </cfRule>
    <cfRule type="cellIs" dxfId="269" priority="55" operator="equal">
      <formula>"On Hold"</formula>
    </cfRule>
    <cfRule type="cellIs" dxfId="268" priority="56" operator="equal">
      <formula>"On Track"</formula>
    </cfRule>
  </conditionalFormatting>
  <conditionalFormatting sqref="O11:T12">
    <cfRule type="containsText" dxfId="267" priority="53" operator="containsText" text="Next Sprint">
      <formula>NOT(ISERROR(SEARCH("Next Sprint",O11)))</formula>
    </cfRule>
  </conditionalFormatting>
  <conditionalFormatting sqref="H11:H12">
    <cfRule type="duplicateValues" dxfId="266" priority="57"/>
  </conditionalFormatting>
  <conditionalFormatting sqref="H11:H12">
    <cfRule type="duplicateValues" dxfId="265" priority="58"/>
    <cfRule type="duplicateValues" dxfId="264" priority="59"/>
  </conditionalFormatting>
  <conditionalFormatting sqref="H11:H12">
    <cfRule type="duplicateValues" dxfId="263" priority="60"/>
    <cfRule type="duplicateValues" dxfId="262" priority="61"/>
  </conditionalFormatting>
  <conditionalFormatting sqref="H11:H12">
    <cfRule type="duplicateValues" dxfId="261" priority="62"/>
  </conditionalFormatting>
  <conditionalFormatting sqref="H11:H12">
    <cfRule type="duplicateValues" dxfId="260" priority="63"/>
  </conditionalFormatting>
  <conditionalFormatting sqref="Q13:T13 O13 O14:T14">
    <cfRule type="cellIs" dxfId="259" priority="50" operator="equal">
      <formula>"At Risk"</formula>
    </cfRule>
    <cfRule type="cellIs" dxfId="258" priority="51" operator="equal">
      <formula>"On Hold"</formula>
    </cfRule>
    <cfRule type="cellIs" dxfId="257" priority="52" operator="equal">
      <formula>"On Track"</formula>
    </cfRule>
  </conditionalFormatting>
  <conditionalFormatting sqref="Q13:T13 O13 O14:T14">
    <cfRule type="containsText" dxfId="256" priority="49" operator="containsText" text="Next Sprint">
      <formula>NOT(ISERROR(SEARCH("Next Sprint",O13)))</formula>
    </cfRule>
  </conditionalFormatting>
  <conditionalFormatting sqref="H31 H1:H19 H33:H1048576">
    <cfRule type="duplicateValues" dxfId="255" priority="18"/>
  </conditionalFormatting>
  <conditionalFormatting sqref="H15">
    <cfRule type="duplicateValues" dxfId="254" priority="110"/>
  </conditionalFormatting>
  <conditionalFormatting sqref="H20">
    <cfRule type="duplicateValues" dxfId="253" priority="15"/>
  </conditionalFormatting>
  <conditionalFormatting sqref="H20">
    <cfRule type="duplicateValues" dxfId="252" priority="16"/>
    <cfRule type="duplicateValues" dxfId="251" priority="17"/>
  </conditionalFormatting>
  <conditionalFormatting sqref="H21:H26">
    <cfRule type="duplicateValues" dxfId="250" priority="12"/>
  </conditionalFormatting>
  <conditionalFormatting sqref="H21:H26">
    <cfRule type="duplicateValues" dxfId="249" priority="13"/>
    <cfRule type="duplicateValues" dxfId="248" priority="14"/>
  </conditionalFormatting>
  <conditionalFormatting sqref="H27">
    <cfRule type="duplicateValues" dxfId="247" priority="9"/>
  </conditionalFormatting>
  <conditionalFormatting sqref="H27">
    <cfRule type="duplicateValues" dxfId="246" priority="10"/>
    <cfRule type="duplicateValues" dxfId="245" priority="11"/>
  </conditionalFormatting>
  <conditionalFormatting sqref="H28">
    <cfRule type="duplicateValues" dxfId="244" priority="6"/>
  </conditionalFormatting>
  <conditionalFormatting sqref="H28">
    <cfRule type="duplicateValues" dxfId="243" priority="7"/>
    <cfRule type="duplicateValues" dxfId="242" priority="8"/>
  </conditionalFormatting>
  <conditionalFormatting sqref="H29:H30">
    <cfRule type="duplicateValues" dxfId="241" priority="5"/>
  </conditionalFormatting>
  <conditionalFormatting sqref="I29:I30">
    <cfRule type="duplicateValues" dxfId="240" priority="4"/>
  </conditionalFormatting>
  <conditionalFormatting sqref="H13:H14">
    <cfRule type="duplicateValues" dxfId="239" priority="111"/>
  </conditionalFormatting>
  <conditionalFormatting sqref="H13:H15">
    <cfRule type="duplicateValues" dxfId="238" priority="112"/>
  </conditionalFormatting>
  <conditionalFormatting sqref="H13:H15">
    <cfRule type="duplicateValues" dxfId="237" priority="113"/>
    <cfRule type="duplicateValues" dxfId="236" priority="114"/>
  </conditionalFormatting>
  <conditionalFormatting sqref="H32">
    <cfRule type="duplicateValues" dxfId="235" priority="3"/>
  </conditionalFormatting>
  <conditionalFormatting sqref="I32">
    <cfRule type="duplicateValues" dxfId="234" priority="2"/>
  </conditionalFormatting>
  <conditionalFormatting sqref="H1:H1048576">
    <cfRule type="duplicateValues" dxfId="233" priority="1"/>
  </conditionalFormatting>
  <conditionalFormatting sqref="I2:I32">
    <cfRule type="duplicateValues" dxfId="232" priority="40896"/>
  </conditionalFormatting>
  <conditionalFormatting sqref="I2:I32">
    <cfRule type="duplicateValues" dxfId="231" priority="40897"/>
    <cfRule type="duplicateValues" dxfId="230" priority="40898"/>
  </conditionalFormatting>
  <conditionalFormatting sqref="H9">
    <cfRule type="duplicateValues" dxfId="229" priority="40899" stopIfTrue="1"/>
    <cfRule type="expression" dxfId="228" priority="40900" stopIfTrue="1">
      <formula>AND(COUNTIF($B$1:$B$1, H9)+COUNTIF($B$2:$B$65044, H9)&gt;1,NOT(ISBLANK(H9)))</formula>
    </cfRule>
  </conditionalFormatting>
  <conditionalFormatting sqref="H8">
    <cfRule type="duplicateValues" dxfId="227" priority="40901" stopIfTrue="1"/>
    <cfRule type="expression" dxfId="226" priority="40902" stopIfTrue="1">
      <formula>AND(COUNTIF($B$1:$B$1, H8)+COUNTIF($B$2:$B$65044, H8)&gt;1,NOT(ISBLANK(H8)))</formula>
    </cfRule>
  </conditionalFormatting>
  <conditionalFormatting sqref="H5">
    <cfRule type="duplicateValues" dxfId="225" priority="40903" stopIfTrue="1"/>
    <cfRule type="expression" dxfId="224" priority="40904" stopIfTrue="1">
      <formula>AND(COUNTIF($B$1:$B$1, H5)+COUNTIF($B$2:$B$64877, H5)&gt;1,NOT(ISBLANK(H5)))</formula>
    </cfRule>
  </conditionalFormatting>
  <dataValidations count="2">
    <dataValidation type="list" allowBlank="1" showInputMessage="1" showErrorMessage="1" sqref="O1 Q13:T13 P14:T14 P15:P31 O2:T12 Q15:T1048576 O13:O1048576 P33:P1048576" xr:uid="{9C10E709-1086-44D5-A0B8-A516DBE9A1CF}">
      <formula1>"On Track, At Risk,On Hold,Yet to start,Rejected,next Sprint, Closed, Awaited L2 review,Awaited DRB Review,Software Checked In,Cancelled, To Be Retagged, May Miss Deadline, On Time Delivery Missed, Transferred to COL Team, Deferred, Transferred to S/W team"</formula1>
    </dataValidation>
    <dataValidation type="list" allowBlank="1" showInputMessage="1" showErrorMessage="1" sqref="K2:K1048576" xr:uid="{67BBC50F-0250-4859-AC29-CE56BD7A4D4E}">
      <formula1>"Implement, Evaluate,Implement_NA,Evaluate_NA,Verify,Task,Task_NA"</formula1>
    </dataValidation>
  </dataValidations>
  <hyperlinks>
    <hyperlink ref="A7" r:id="rId1" xr:uid="{4B1B3EB6-02B5-4FB6-9FB9-F5CBA8D8BD57}"/>
  </hyperlinks>
  <pageMargins left="0.7" right="0.7" top="0.75" bottom="0.75" header="0.3" footer="0.3"/>
  <pageSetup orientation="portrait" verticalDpi="4" r:id="rId2"/>
  <drawing r:id="rId3"/>
  <legacyDrawing r:id="rId4"/>
  <mc:AlternateContent xmlns:mc="http://schemas.openxmlformats.org/markup-compatibility/2006">
    <mc:Choice Requires="x14">
      <controls>
        <mc:AlternateContent xmlns:mc="http://schemas.openxmlformats.org/markup-compatibility/2006">
          <mc:Choice Requires="x14">
            <control shapeId="402433" r:id="rId5" name="CES_UpdatePB_Btn">
              <controlPr defaultSize="0" print="0" autoFill="0" autoPict="0" macro="[0]!CES_UpdatePB">
                <anchor moveWithCells="1" sizeWithCells="1">
                  <from>
                    <xdr:col>6</xdr:col>
                    <xdr:colOff>165100</xdr:colOff>
                    <xdr:row>0</xdr:row>
                    <xdr:rowOff>38100</xdr:rowOff>
                  </from>
                  <to>
                    <xdr:col>6</xdr:col>
                    <xdr:colOff>1022350</xdr:colOff>
                    <xdr:row>0</xdr:row>
                    <xdr:rowOff>260350</xdr:rowOff>
                  </to>
                </anchor>
              </controlPr>
            </control>
          </mc:Choice>
        </mc:AlternateContent>
        <mc:AlternateContent xmlns:mc="http://schemas.openxmlformats.org/markup-compatibility/2006">
          <mc:Choice Requires="x14">
            <control shapeId="402434" r:id="rId6" name="CES_UpdateCQ_Btn">
              <controlPr defaultSize="0" print="0" autoFill="0" autoPict="0" macro="[0]!CES_UpdateCQ">
                <anchor moveWithCells="1" sizeWithCells="1">
                  <from>
                    <xdr:col>0</xdr:col>
                    <xdr:colOff>50800</xdr:colOff>
                    <xdr:row>0</xdr:row>
                    <xdr:rowOff>38100</xdr:rowOff>
                  </from>
                  <to>
                    <xdr:col>1</xdr:col>
                    <xdr:colOff>965200</xdr:colOff>
                    <xdr:row>0</xdr:row>
                    <xdr:rowOff>260350</xdr:rowOff>
                  </to>
                </anchor>
              </controlPr>
            </control>
          </mc:Choice>
        </mc:AlternateContent>
        <mc:AlternateContent xmlns:mc="http://schemas.openxmlformats.org/markup-compatibility/2006">
          <mc:Choice Requires="x14">
            <control shapeId="402435" r:id="rId7" name="CES_ValidateSCRUM_Btn">
              <controlPr defaultSize="0" print="0" autoFill="0" autoPict="0" macro="[0]!CES_ValidateSCRUM">
                <anchor moveWithCells="1" sizeWithCells="1">
                  <from>
                    <xdr:col>7</xdr:col>
                    <xdr:colOff>298450</xdr:colOff>
                    <xdr:row>0</xdr:row>
                    <xdr:rowOff>38100</xdr:rowOff>
                  </from>
                  <to>
                    <xdr:col>9</xdr:col>
                    <xdr:colOff>1441450</xdr:colOff>
                    <xdr:row>0</xdr:row>
                    <xdr:rowOff>260350</xdr:rowOff>
                  </to>
                </anchor>
              </controlPr>
            </control>
          </mc:Choice>
        </mc:AlternateContent>
        <mc:AlternateContent xmlns:mc="http://schemas.openxmlformats.org/markup-compatibility/2006">
          <mc:Choice Requires="x14">
            <control shapeId="402436" r:id="rId8" name="CES_clearError_Btn">
              <controlPr defaultSize="0" print="0" autoFill="0" autoPict="0" macro="[0]!CES_clearError">
                <anchor moveWithCells="1" sizeWithCells="1">
                  <from>
                    <xdr:col>9</xdr:col>
                    <xdr:colOff>1555750</xdr:colOff>
                    <xdr:row>0</xdr:row>
                    <xdr:rowOff>69850</xdr:rowOff>
                  </from>
                  <to>
                    <xdr:col>11</xdr:col>
                    <xdr:colOff>222250</xdr:colOff>
                    <xdr:row>0</xdr:row>
                    <xdr:rowOff>279400</xdr:rowOff>
                  </to>
                </anchor>
              </controlPr>
            </control>
          </mc:Choice>
        </mc:AlternateContent>
        <mc:AlternateContent xmlns:mc="http://schemas.openxmlformats.org/markup-compatibility/2006">
          <mc:Choice Requires="x14">
            <control shapeId="402437" r:id="rId9" name="CES_UpdatePB_Btn">
              <controlPr defaultSize="0" print="0" autoFill="0" autoPict="0" macro="[0]!CES_UpdatePB">
                <anchor moveWithCells="1" sizeWithCells="1">
                  <from>
                    <xdr:col>6</xdr:col>
                    <xdr:colOff>165100</xdr:colOff>
                    <xdr:row>0</xdr:row>
                    <xdr:rowOff>38100</xdr:rowOff>
                  </from>
                  <to>
                    <xdr:col>6</xdr:col>
                    <xdr:colOff>1022350</xdr:colOff>
                    <xdr:row>0</xdr:row>
                    <xdr:rowOff>260350</xdr:rowOff>
                  </to>
                </anchor>
              </controlPr>
            </control>
          </mc:Choice>
        </mc:AlternateContent>
        <mc:AlternateContent xmlns:mc="http://schemas.openxmlformats.org/markup-compatibility/2006">
          <mc:Choice Requires="x14">
            <control shapeId="402438" r:id="rId10" name="CES_UpdateCQ_Btn">
              <controlPr defaultSize="0" print="0" autoFill="0" autoPict="0" macro="[0]!CES_UpdateCQ">
                <anchor moveWithCells="1" sizeWithCells="1">
                  <from>
                    <xdr:col>0</xdr:col>
                    <xdr:colOff>50800</xdr:colOff>
                    <xdr:row>0</xdr:row>
                    <xdr:rowOff>38100</xdr:rowOff>
                  </from>
                  <to>
                    <xdr:col>1</xdr:col>
                    <xdr:colOff>965200</xdr:colOff>
                    <xdr:row>0</xdr:row>
                    <xdr:rowOff>260350</xdr:rowOff>
                  </to>
                </anchor>
              </controlPr>
            </control>
          </mc:Choice>
        </mc:AlternateContent>
        <mc:AlternateContent xmlns:mc="http://schemas.openxmlformats.org/markup-compatibility/2006">
          <mc:Choice Requires="x14">
            <control shapeId="402439" r:id="rId11" name="CES_ValidateSCRUM_Btn">
              <controlPr defaultSize="0" print="0" autoFill="0" autoPict="0" macro="[0]!CES_ValidateSCRUM">
                <anchor moveWithCells="1" sizeWithCells="1">
                  <from>
                    <xdr:col>7</xdr:col>
                    <xdr:colOff>298450</xdr:colOff>
                    <xdr:row>0</xdr:row>
                    <xdr:rowOff>38100</xdr:rowOff>
                  </from>
                  <to>
                    <xdr:col>9</xdr:col>
                    <xdr:colOff>1441450</xdr:colOff>
                    <xdr:row>0</xdr:row>
                    <xdr:rowOff>260350</xdr:rowOff>
                  </to>
                </anchor>
              </controlPr>
            </control>
          </mc:Choice>
        </mc:AlternateContent>
        <mc:AlternateContent xmlns:mc="http://schemas.openxmlformats.org/markup-compatibility/2006">
          <mc:Choice Requires="x14">
            <control shapeId="402440" r:id="rId12" name="CES_clearError_Btn">
              <controlPr defaultSize="0" print="0" autoFill="0" autoPict="0" macro="[0]!CES_clearError">
                <anchor moveWithCells="1" sizeWithCells="1">
                  <from>
                    <xdr:col>9</xdr:col>
                    <xdr:colOff>1555750</xdr:colOff>
                    <xdr:row>0</xdr:row>
                    <xdr:rowOff>69850</xdr:rowOff>
                  </from>
                  <to>
                    <xdr:col>11</xdr:col>
                    <xdr:colOff>222250</xdr:colOff>
                    <xdr:row>0</xdr:row>
                    <xdr:rowOff>279400</xdr:rowOff>
                  </to>
                </anchor>
              </controlPr>
            </control>
          </mc:Choice>
        </mc:AlternateContent>
      </controls>
    </mc:Choice>
  </mc:AlternateContent>
  <tableParts count="1">
    <tablePart r:id="rId1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5E15A-1FDE-494D-85FD-61F13574D472}">
  <dimension ref="A1:R35"/>
  <sheetViews>
    <sheetView showWhiteSpace="0" topLeftCell="I12" zoomScale="53" zoomScaleNormal="53" zoomScalePageLayoutView="80" workbookViewId="0">
      <selection activeCell="Z37" sqref="Z37"/>
    </sheetView>
  </sheetViews>
  <sheetFormatPr defaultColWidth="8.85546875" defaultRowHeight="14.45"/>
  <cols>
    <col min="1" max="1" width="14.42578125" style="599" customWidth="1"/>
    <col min="2" max="2" width="15.85546875" style="599" bestFit="1" customWidth="1"/>
    <col min="3" max="3" width="12.42578125" style="599" customWidth="1"/>
    <col min="4" max="4" width="8.140625" style="599" bestFit="1" customWidth="1"/>
    <col min="5" max="5" width="8.140625" style="599" customWidth="1"/>
    <col min="6" max="6" width="14.140625" style="599" customWidth="1"/>
    <col min="7" max="7" width="11.42578125" style="599" customWidth="1"/>
    <col min="8" max="8" width="9.5703125" style="599" customWidth="1"/>
    <col min="9" max="9" width="11.42578125" style="599" customWidth="1"/>
    <col min="10" max="10" width="13.42578125" style="599" customWidth="1"/>
    <col min="11" max="11" width="14.42578125" style="599" bestFit="1" customWidth="1"/>
    <col min="12" max="12" width="13.42578125" style="599" customWidth="1"/>
    <col min="13" max="14" width="14.42578125" style="599" customWidth="1"/>
    <col min="15" max="15" width="12.42578125" style="599" bestFit="1" customWidth="1"/>
    <col min="16" max="17" width="12.42578125" style="599" customWidth="1"/>
    <col min="18" max="18" width="28.28515625" style="599" customWidth="1"/>
    <col min="19" max="34" width="8.85546875" style="599"/>
    <col min="35" max="35" width="11.42578125" style="599" bestFit="1" customWidth="1"/>
    <col min="36" max="16384" width="8.85546875" style="599"/>
  </cols>
  <sheetData>
    <row r="1" spans="1:18">
      <c r="O1" s="633"/>
      <c r="P1" s="633"/>
      <c r="Q1" s="633"/>
    </row>
    <row r="2" spans="1:18" s="615" customFormat="1">
      <c r="B2" s="665" t="s">
        <v>809</v>
      </c>
      <c r="C2" s="665"/>
      <c r="D2" s="665"/>
      <c r="E2" s="665"/>
      <c r="F2" s="665"/>
      <c r="G2" s="665"/>
      <c r="H2" s="665"/>
      <c r="I2" s="665"/>
      <c r="J2" s="665"/>
      <c r="K2" s="665"/>
      <c r="L2" s="665"/>
      <c r="M2" s="665"/>
      <c r="N2" s="665"/>
      <c r="O2" s="665"/>
      <c r="P2" s="665"/>
      <c r="Q2" s="665"/>
      <c r="R2" s="665"/>
    </row>
    <row r="3" spans="1:18" s="631" customFormat="1" ht="87">
      <c r="B3" s="632" t="s">
        <v>1343</v>
      </c>
      <c r="C3" s="632" t="s">
        <v>1344</v>
      </c>
      <c r="D3" s="632" t="s">
        <v>1345</v>
      </c>
      <c r="E3" s="632" t="s">
        <v>1346</v>
      </c>
      <c r="F3" s="632" t="s">
        <v>1347</v>
      </c>
      <c r="G3" s="632" t="s">
        <v>1242</v>
      </c>
      <c r="H3" s="632" t="s">
        <v>1507</v>
      </c>
      <c r="I3" s="632" t="s">
        <v>1349</v>
      </c>
      <c r="J3" s="632" t="s">
        <v>1350</v>
      </c>
      <c r="K3" s="632" t="s">
        <v>1351</v>
      </c>
      <c r="L3" s="632" t="s">
        <v>1508</v>
      </c>
      <c r="M3" s="632" t="s">
        <v>1353</v>
      </c>
      <c r="N3" s="632" t="s">
        <v>1354</v>
      </c>
      <c r="O3" s="632" t="s">
        <v>1355</v>
      </c>
      <c r="P3" s="632" t="s">
        <v>1356</v>
      </c>
      <c r="Q3" s="632" t="s">
        <v>1357</v>
      </c>
      <c r="R3" s="632" t="s">
        <v>1177</v>
      </c>
    </row>
    <row r="4" spans="1:18">
      <c r="B4" s="666" t="s">
        <v>1358</v>
      </c>
      <c r="C4" s="609">
        <v>46150</v>
      </c>
      <c r="D4" s="608">
        <v>19</v>
      </c>
      <c r="E4" s="607"/>
      <c r="F4" s="606"/>
      <c r="G4" s="605"/>
      <c r="H4" s="604"/>
      <c r="I4" s="603">
        <f>E4</f>
        <v>0</v>
      </c>
      <c r="J4" s="603">
        <f>F4</f>
        <v>0</v>
      </c>
      <c r="K4" s="603">
        <f>G4</f>
        <v>0</v>
      </c>
      <c r="L4" s="603">
        <f>F4</f>
        <v>0</v>
      </c>
      <c r="M4" s="603"/>
      <c r="N4" s="603"/>
      <c r="O4" s="629">
        <v>1</v>
      </c>
      <c r="P4" s="629">
        <v>1</v>
      </c>
      <c r="Q4" s="629">
        <v>0</v>
      </c>
      <c r="R4" s="608"/>
    </row>
    <row r="5" spans="1:18">
      <c r="B5" s="667"/>
      <c r="C5" s="609">
        <f t="shared" ref="C5:C16" si="0">C4+7</f>
        <v>46157</v>
      </c>
      <c r="D5" s="608">
        <v>20</v>
      </c>
      <c r="E5" s="607"/>
      <c r="F5" s="606"/>
      <c r="G5" s="605"/>
      <c r="H5" s="604"/>
      <c r="I5" s="603">
        <f t="shared" ref="I5:I16" si="1">I4+E5</f>
        <v>0</v>
      </c>
      <c r="J5" s="603">
        <f t="shared" ref="J5:J16" si="2">J4+F5</f>
        <v>0</v>
      </c>
      <c r="K5" s="603">
        <f t="shared" ref="K5:K16" si="3">K4+G5</f>
        <v>0</v>
      </c>
      <c r="L5" s="603">
        <f t="shared" ref="L5:L16" si="4">$G5+L4</f>
        <v>0</v>
      </c>
      <c r="M5" s="603">
        <v>3</v>
      </c>
      <c r="N5" s="603"/>
      <c r="O5" s="629">
        <v>1</v>
      </c>
      <c r="P5" s="629">
        <v>1</v>
      </c>
      <c r="Q5" s="629">
        <v>0</v>
      </c>
      <c r="R5" s="608"/>
    </row>
    <row r="6" spans="1:18">
      <c r="B6" s="667"/>
      <c r="C6" s="609">
        <f t="shared" si="0"/>
        <v>46164</v>
      </c>
      <c r="D6" s="608">
        <v>21</v>
      </c>
      <c r="E6" s="607">
        <v>1</v>
      </c>
      <c r="F6" s="606">
        <f>E6</f>
        <v>1</v>
      </c>
      <c r="G6" s="605">
        <v>1</v>
      </c>
      <c r="H6" s="604"/>
      <c r="I6" s="603">
        <f t="shared" si="1"/>
        <v>1</v>
      </c>
      <c r="J6" s="603">
        <f t="shared" si="2"/>
        <v>1</v>
      </c>
      <c r="K6" s="603">
        <f t="shared" si="3"/>
        <v>1</v>
      </c>
      <c r="L6" s="603">
        <f t="shared" si="4"/>
        <v>1</v>
      </c>
      <c r="M6" s="603">
        <v>3</v>
      </c>
      <c r="N6" s="603"/>
      <c r="O6" s="629">
        <v>1</v>
      </c>
      <c r="P6" s="622">
        <f t="shared" ref="P6:P16" si="5">K6/I6</f>
        <v>1</v>
      </c>
      <c r="Q6" s="622">
        <f t="shared" ref="Q6:Q16" si="6">L6/J6</f>
        <v>1</v>
      </c>
      <c r="R6" s="600"/>
    </row>
    <row r="7" spans="1:18">
      <c r="B7" s="667"/>
      <c r="C7" s="609">
        <f t="shared" si="0"/>
        <v>46171</v>
      </c>
      <c r="D7" s="608">
        <v>22</v>
      </c>
      <c r="E7" s="607">
        <v>1</v>
      </c>
      <c r="F7" s="606">
        <f>E7</f>
        <v>1</v>
      </c>
      <c r="G7" s="605">
        <v>1</v>
      </c>
      <c r="H7" s="604"/>
      <c r="I7" s="603">
        <f t="shared" si="1"/>
        <v>2</v>
      </c>
      <c r="J7" s="603">
        <f t="shared" si="2"/>
        <v>2</v>
      </c>
      <c r="K7" s="603">
        <f t="shared" si="3"/>
        <v>2</v>
      </c>
      <c r="L7" s="603">
        <f t="shared" si="4"/>
        <v>2</v>
      </c>
      <c r="M7" s="603">
        <v>2</v>
      </c>
      <c r="N7" s="603"/>
      <c r="O7" s="629">
        <v>1</v>
      </c>
      <c r="P7" s="622">
        <f t="shared" si="5"/>
        <v>1</v>
      </c>
      <c r="Q7" s="622">
        <f t="shared" si="6"/>
        <v>1</v>
      </c>
      <c r="R7" s="630"/>
    </row>
    <row r="8" spans="1:18">
      <c r="B8" s="667"/>
      <c r="C8" s="609">
        <f t="shared" si="0"/>
        <v>46178</v>
      </c>
      <c r="D8" s="608">
        <v>23</v>
      </c>
      <c r="E8" s="607">
        <v>1</v>
      </c>
      <c r="F8" s="606">
        <f>E8</f>
        <v>1</v>
      </c>
      <c r="G8" s="605">
        <v>1</v>
      </c>
      <c r="H8" s="604"/>
      <c r="I8" s="603">
        <f t="shared" si="1"/>
        <v>3</v>
      </c>
      <c r="J8" s="603">
        <f t="shared" si="2"/>
        <v>3</v>
      </c>
      <c r="K8" s="603">
        <f t="shared" si="3"/>
        <v>3</v>
      </c>
      <c r="L8" s="603">
        <f t="shared" si="4"/>
        <v>3</v>
      </c>
      <c r="M8" s="603">
        <v>1</v>
      </c>
      <c r="N8" s="603">
        <v>1</v>
      </c>
      <c r="O8" s="629">
        <v>1</v>
      </c>
      <c r="P8" s="622">
        <f t="shared" si="5"/>
        <v>1</v>
      </c>
      <c r="Q8" s="622">
        <f t="shared" si="6"/>
        <v>1</v>
      </c>
      <c r="R8" s="628"/>
    </row>
    <row r="9" spans="1:18">
      <c r="B9" s="667"/>
      <c r="C9" s="609">
        <f t="shared" si="0"/>
        <v>46185</v>
      </c>
      <c r="D9" s="608">
        <v>24</v>
      </c>
      <c r="E9" s="607">
        <v>1</v>
      </c>
      <c r="F9" s="606">
        <v>1</v>
      </c>
      <c r="G9" s="605">
        <v>1</v>
      </c>
      <c r="H9" s="604"/>
      <c r="I9" s="603">
        <f t="shared" si="1"/>
        <v>4</v>
      </c>
      <c r="J9" s="603">
        <f t="shared" si="2"/>
        <v>4</v>
      </c>
      <c r="K9" s="603">
        <f t="shared" si="3"/>
        <v>4</v>
      </c>
      <c r="L9" s="603">
        <f t="shared" si="4"/>
        <v>4</v>
      </c>
      <c r="M9" s="603">
        <v>0</v>
      </c>
      <c r="N9" s="603">
        <v>1</v>
      </c>
      <c r="O9" s="629">
        <v>1</v>
      </c>
      <c r="P9" s="622">
        <f t="shared" si="5"/>
        <v>1</v>
      </c>
      <c r="Q9" s="622">
        <f t="shared" si="6"/>
        <v>1</v>
      </c>
      <c r="R9" s="600"/>
    </row>
    <row r="10" spans="1:18">
      <c r="B10" s="667"/>
      <c r="C10" s="609">
        <f t="shared" si="0"/>
        <v>46192</v>
      </c>
      <c r="D10" s="608">
        <v>25</v>
      </c>
      <c r="E10" s="607">
        <v>1</v>
      </c>
      <c r="F10" s="606">
        <v>1</v>
      </c>
      <c r="G10" s="605">
        <v>1</v>
      </c>
      <c r="H10" s="604"/>
      <c r="I10" s="603">
        <f t="shared" si="1"/>
        <v>5</v>
      </c>
      <c r="J10" s="603">
        <f t="shared" si="2"/>
        <v>5</v>
      </c>
      <c r="K10" s="603">
        <f t="shared" si="3"/>
        <v>5</v>
      </c>
      <c r="L10" s="603">
        <f t="shared" si="4"/>
        <v>5</v>
      </c>
      <c r="M10" s="603">
        <v>0</v>
      </c>
      <c r="N10" s="603">
        <v>0</v>
      </c>
      <c r="O10" s="622">
        <v>1</v>
      </c>
      <c r="P10" s="622">
        <f t="shared" si="5"/>
        <v>1</v>
      </c>
      <c r="Q10" s="622">
        <f t="shared" si="6"/>
        <v>1</v>
      </c>
      <c r="R10" s="628"/>
    </row>
    <row r="11" spans="1:18">
      <c r="B11" s="667"/>
      <c r="C11" s="609">
        <f t="shared" si="0"/>
        <v>46199</v>
      </c>
      <c r="D11" s="608">
        <v>26</v>
      </c>
      <c r="E11" s="607"/>
      <c r="F11" s="606"/>
      <c r="G11" s="605"/>
      <c r="H11" s="604"/>
      <c r="I11" s="603">
        <f t="shared" si="1"/>
        <v>5</v>
      </c>
      <c r="J11" s="603">
        <f t="shared" si="2"/>
        <v>5</v>
      </c>
      <c r="K11" s="603">
        <f t="shared" si="3"/>
        <v>5</v>
      </c>
      <c r="L11" s="603">
        <f t="shared" si="4"/>
        <v>5</v>
      </c>
      <c r="M11" s="603"/>
      <c r="N11" s="603"/>
      <c r="O11" s="622">
        <v>1</v>
      </c>
      <c r="P11" s="622">
        <f t="shared" si="5"/>
        <v>1</v>
      </c>
      <c r="Q11" s="622">
        <f t="shared" si="6"/>
        <v>1</v>
      </c>
      <c r="R11" s="600"/>
    </row>
    <row r="12" spans="1:18">
      <c r="B12" s="667"/>
      <c r="C12" s="609">
        <f t="shared" si="0"/>
        <v>46206</v>
      </c>
      <c r="D12" s="608">
        <v>27</v>
      </c>
      <c r="E12" s="607"/>
      <c r="F12" s="606"/>
      <c r="G12" s="605"/>
      <c r="H12" s="604"/>
      <c r="I12" s="603">
        <f t="shared" si="1"/>
        <v>5</v>
      </c>
      <c r="J12" s="603">
        <f t="shared" si="2"/>
        <v>5</v>
      </c>
      <c r="K12" s="603">
        <f t="shared" si="3"/>
        <v>5</v>
      </c>
      <c r="L12" s="603">
        <f t="shared" si="4"/>
        <v>5</v>
      </c>
      <c r="M12" s="603"/>
      <c r="N12" s="603"/>
      <c r="O12" s="622">
        <v>1</v>
      </c>
      <c r="P12" s="622">
        <f t="shared" si="5"/>
        <v>1</v>
      </c>
      <c r="Q12" s="622">
        <f t="shared" si="6"/>
        <v>1</v>
      </c>
      <c r="R12" s="608"/>
    </row>
    <row r="13" spans="1:18">
      <c r="B13" s="667"/>
      <c r="C13" s="609">
        <f t="shared" si="0"/>
        <v>46213</v>
      </c>
      <c r="D13" s="608">
        <v>28</v>
      </c>
      <c r="E13" s="607">
        <v>1</v>
      </c>
      <c r="F13" s="606">
        <v>1</v>
      </c>
      <c r="G13" s="605">
        <v>0</v>
      </c>
      <c r="H13" s="604"/>
      <c r="I13" s="603">
        <f t="shared" si="1"/>
        <v>6</v>
      </c>
      <c r="J13" s="603">
        <f t="shared" si="2"/>
        <v>6</v>
      </c>
      <c r="K13" s="603">
        <f t="shared" si="3"/>
        <v>5</v>
      </c>
      <c r="L13" s="603">
        <f t="shared" si="4"/>
        <v>5</v>
      </c>
      <c r="M13" s="603"/>
      <c r="N13" s="603"/>
      <c r="O13" s="622">
        <v>1</v>
      </c>
      <c r="P13" s="622">
        <f t="shared" si="5"/>
        <v>0.83333333333333337</v>
      </c>
      <c r="Q13" s="622">
        <f t="shared" si="6"/>
        <v>0.83333333333333337</v>
      </c>
      <c r="R13" s="600"/>
    </row>
    <row r="14" spans="1:18">
      <c r="B14" s="667"/>
      <c r="C14" s="609">
        <f t="shared" si="0"/>
        <v>46220</v>
      </c>
      <c r="D14" s="608">
        <v>29</v>
      </c>
      <c r="E14" s="607"/>
      <c r="F14" s="606"/>
      <c r="G14" s="605"/>
      <c r="H14" s="604"/>
      <c r="I14" s="603">
        <f t="shared" si="1"/>
        <v>6</v>
      </c>
      <c r="J14" s="603">
        <f t="shared" si="2"/>
        <v>6</v>
      </c>
      <c r="K14" s="603">
        <f t="shared" si="3"/>
        <v>5</v>
      </c>
      <c r="L14" s="603">
        <f t="shared" si="4"/>
        <v>5</v>
      </c>
      <c r="M14" s="603"/>
      <c r="N14" s="603"/>
      <c r="O14" s="622">
        <v>1</v>
      </c>
      <c r="P14" s="622">
        <f t="shared" si="5"/>
        <v>0.83333333333333337</v>
      </c>
      <c r="Q14" s="622">
        <f t="shared" si="6"/>
        <v>0.83333333333333337</v>
      </c>
      <c r="R14" s="600"/>
    </row>
    <row r="15" spans="1:18" s="610" customFormat="1">
      <c r="A15" s="627"/>
      <c r="B15" s="667"/>
      <c r="C15" s="614">
        <f t="shared" si="0"/>
        <v>46227</v>
      </c>
      <c r="D15" s="608">
        <v>30</v>
      </c>
      <c r="E15" s="607">
        <v>0</v>
      </c>
      <c r="F15" s="607">
        <v>0</v>
      </c>
      <c r="G15" s="607">
        <v>0</v>
      </c>
      <c r="H15" s="626">
        <v>0</v>
      </c>
      <c r="I15" s="613">
        <f t="shared" si="1"/>
        <v>6</v>
      </c>
      <c r="J15" s="613">
        <f t="shared" si="2"/>
        <v>6</v>
      </c>
      <c r="K15" s="613">
        <f t="shared" si="3"/>
        <v>5</v>
      </c>
      <c r="L15" s="613">
        <f t="shared" si="4"/>
        <v>5</v>
      </c>
      <c r="M15" s="613"/>
      <c r="N15" s="613"/>
      <c r="O15" s="625">
        <v>1</v>
      </c>
      <c r="P15" s="625">
        <f t="shared" si="5"/>
        <v>0.83333333333333337</v>
      </c>
      <c r="Q15" s="625">
        <f t="shared" si="6"/>
        <v>0.83333333333333337</v>
      </c>
      <c r="R15" s="624"/>
    </row>
    <row r="16" spans="1:18">
      <c r="B16" s="667"/>
      <c r="C16" s="609">
        <f t="shared" si="0"/>
        <v>46234</v>
      </c>
      <c r="D16" s="608">
        <v>31</v>
      </c>
      <c r="E16" s="607">
        <v>0</v>
      </c>
      <c r="F16" s="607">
        <v>0</v>
      </c>
      <c r="G16" s="623">
        <v>0</v>
      </c>
      <c r="H16" s="604">
        <v>0</v>
      </c>
      <c r="I16" s="603">
        <f t="shared" si="1"/>
        <v>6</v>
      </c>
      <c r="J16" s="603">
        <f t="shared" si="2"/>
        <v>6</v>
      </c>
      <c r="K16" s="603">
        <f t="shared" si="3"/>
        <v>5</v>
      </c>
      <c r="L16" s="603">
        <f t="shared" si="4"/>
        <v>5</v>
      </c>
      <c r="M16" s="603">
        <v>0</v>
      </c>
      <c r="N16" s="603"/>
      <c r="O16" s="622">
        <v>1</v>
      </c>
      <c r="P16" s="622">
        <f t="shared" si="5"/>
        <v>0.83333333333333337</v>
      </c>
      <c r="Q16" s="622">
        <f t="shared" si="6"/>
        <v>0.83333333333333337</v>
      </c>
      <c r="R16" s="600"/>
    </row>
    <row r="17" spans="1:18">
      <c r="E17" s="599">
        <f>SUM(E4:E16)</f>
        <v>6</v>
      </c>
      <c r="F17" s="599">
        <f>SUM(F4:F16)</f>
        <v>6</v>
      </c>
      <c r="G17" s="599">
        <f>SUM(G4:G16)</f>
        <v>5</v>
      </c>
      <c r="H17" s="599">
        <f>SUM(H4:H16)</f>
        <v>0</v>
      </c>
    </row>
    <row r="20" spans="1:18">
      <c r="B20" s="665" t="s">
        <v>1362</v>
      </c>
      <c r="C20" s="665"/>
      <c r="D20" s="665"/>
      <c r="E20" s="665"/>
      <c r="F20" s="665"/>
      <c r="G20" s="665"/>
      <c r="H20" s="665"/>
      <c r="I20" s="665"/>
      <c r="J20" s="665"/>
      <c r="K20" s="665"/>
      <c r="L20" s="665"/>
      <c r="M20" s="665"/>
      <c r="N20" s="665"/>
      <c r="O20" s="665"/>
      <c r="P20" s="665"/>
      <c r="Q20" s="665"/>
      <c r="R20" s="665"/>
    </row>
    <row r="21" spans="1:18" ht="87">
      <c r="B21" s="603" t="s">
        <v>1343</v>
      </c>
      <c r="C21" s="603" t="s">
        <v>1344</v>
      </c>
      <c r="D21" s="603" t="s">
        <v>1345</v>
      </c>
      <c r="E21" s="603" t="s">
        <v>1346</v>
      </c>
      <c r="F21" s="603" t="s">
        <v>1347</v>
      </c>
      <c r="G21" s="621" t="s">
        <v>1242</v>
      </c>
      <c r="H21" s="603" t="s">
        <v>1507</v>
      </c>
      <c r="I21" s="603" t="s">
        <v>1349</v>
      </c>
      <c r="J21" s="603" t="s">
        <v>1350</v>
      </c>
      <c r="K21" s="603" t="s">
        <v>1351</v>
      </c>
      <c r="L21" s="603" t="s">
        <v>1508</v>
      </c>
      <c r="M21" s="603" t="s">
        <v>1365</v>
      </c>
      <c r="N21" s="603" t="s">
        <v>1354</v>
      </c>
      <c r="O21" s="603" t="s">
        <v>1355</v>
      </c>
      <c r="P21" s="603" t="s">
        <v>1366</v>
      </c>
      <c r="Q21" s="603" t="s">
        <v>1357</v>
      </c>
      <c r="R21" s="620" t="s">
        <v>1177</v>
      </c>
    </row>
    <row r="22" spans="1:18">
      <c r="B22" s="668" t="s">
        <v>1367</v>
      </c>
      <c r="C22" s="609">
        <v>46150</v>
      </c>
      <c r="D22" s="608">
        <v>19</v>
      </c>
      <c r="E22" s="607">
        <v>0</v>
      </c>
      <c r="F22" s="606">
        <v>0</v>
      </c>
      <c r="G22" s="605">
        <v>0</v>
      </c>
      <c r="H22" s="604"/>
      <c r="I22" s="603">
        <f>E22</f>
        <v>0</v>
      </c>
      <c r="J22" s="603">
        <f>F22</f>
        <v>0</v>
      </c>
      <c r="K22" s="603">
        <f>G22</f>
        <v>0</v>
      </c>
      <c r="L22" s="603">
        <f>F22</f>
        <v>0</v>
      </c>
      <c r="M22" s="603">
        <v>0</v>
      </c>
      <c r="N22" s="603"/>
      <c r="O22" s="602">
        <v>1</v>
      </c>
      <c r="P22" s="602">
        <v>1</v>
      </c>
      <c r="Q22" s="602">
        <v>1</v>
      </c>
      <c r="R22" s="608"/>
    </row>
    <row r="23" spans="1:18">
      <c r="B23" s="669"/>
      <c r="C23" s="609">
        <f t="shared" ref="C23:C34" si="7">C22+7</f>
        <v>46157</v>
      </c>
      <c r="D23" s="608">
        <v>20</v>
      </c>
      <c r="E23" s="607">
        <v>1</v>
      </c>
      <c r="F23" s="606">
        <v>1</v>
      </c>
      <c r="G23" s="605">
        <v>1</v>
      </c>
      <c r="H23" s="604"/>
      <c r="I23" s="603">
        <f t="shared" ref="I23:I34" si="8">I22+E23</f>
        <v>1</v>
      </c>
      <c r="J23" s="603">
        <f t="shared" ref="J23:J34" si="9">J22+F23</f>
        <v>1</v>
      </c>
      <c r="K23" s="603">
        <f t="shared" ref="K23:K34" si="10">K22+G23</f>
        <v>1</v>
      </c>
      <c r="L23" s="603">
        <f t="shared" ref="L23:L34" si="11">L22+$G23</f>
        <v>1</v>
      </c>
      <c r="M23" s="603">
        <v>3</v>
      </c>
      <c r="N23" s="603"/>
      <c r="O23" s="602">
        <v>1</v>
      </c>
      <c r="P23" s="602">
        <v>1</v>
      </c>
      <c r="Q23" s="601">
        <f t="shared" ref="Q23:Q34" si="12">L23/J23</f>
        <v>1</v>
      </c>
      <c r="R23" s="608"/>
    </row>
    <row r="24" spans="1:18">
      <c r="B24" s="669"/>
      <c r="C24" s="609">
        <f t="shared" si="7"/>
        <v>46164</v>
      </c>
      <c r="D24" s="608">
        <v>21</v>
      </c>
      <c r="E24" s="607">
        <v>0</v>
      </c>
      <c r="F24" s="606">
        <v>0</v>
      </c>
      <c r="G24" s="605">
        <v>0</v>
      </c>
      <c r="H24" s="604"/>
      <c r="I24" s="603">
        <f t="shared" si="8"/>
        <v>1</v>
      </c>
      <c r="J24" s="603">
        <f t="shared" si="9"/>
        <v>1</v>
      </c>
      <c r="K24" s="603">
        <f t="shared" si="10"/>
        <v>1</v>
      </c>
      <c r="L24" s="603">
        <f t="shared" si="11"/>
        <v>1</v>
      </c>
      <c r="M24" s="603">
        <v>6</v>
      </c>
      <c r="N24" s="603"/>
      <c r="O24" s="602">
        <v>1</v>
      </c>
      <c r="P24" s="601">
        <f t="shared" ref="P24:P34" si="13">K24/I24</f>
        <v>1</v>
      </c>
      <c r="Q24" s="601">
        <f t="shared" si="12"/>
        <v>1</v>
      </c>
      <c r="R24" s="608"/>
    </row>
    <row r="25" spans="1:18">
      <c r="B25" s="669"/>
      <c r="C25" s="609">
        <f t="shared" si="7"/>
        <v>46171</v>
      </c>
      <c r="D25" s="608">
        <v>22</v>
      </c>
      <c r="E25" s="607">
        <v>0</v>
      </c>
      <c r="F25" s="606">
        <v>0</v>
      </c>
      <c r="G25" s="605">
        <v>1</v>
      </c>
      <c r="H25" s="604"/>
      <c r="I25" s="603">
        <f t="shared" si="8"/>
        <v>1</v>
      </c>
      <c r="J25" s="603">
        <f t="shared" si="9"/>
        <v>1</v>
      </c>
      <c r="K25" s="603">
        <f t="shared" si="10"/>
        <v>2</v>
      </c>
      <c r="L25" s="603">
        <f t="shared" si="11"/>
        <v>2</v>
      </c>
      <c r="M25" s="603">
        <v>7</v>
      </c>
      <c r="N25" s="603"/>
      <c r="O25" s="602">
        <v>1</v>
      </c>
      <c r="P25" s="601">
        <f t="shared" si="13"/>
        <v>2</v>
      </c>
      <c r="Q25" s="601">
        <f t="shared" si="12"/>
        <v>2</v>
      </c>
      <c r="R25" s="608"/>
    </row>
    <row r="26" spans="1:18">
      <c r="B26" s="669"/>
      <c r="C26" s="609">
        <f t="shared" si="7"/>
        <v>46178</v>
      </c>
      <c r="D26" s="608">
        <v>23</v>
      </c>
      <c r="E26" s="607">
        <v>1</v>
      </c>
      <c r="F26" s="606">
        <v>1</v>
      </c>
      <c r="G26" s="605">
        <v>0</v>
      </c>
      <c r="H26" s="604"/>
      <c r="I26" s="603">
        <f t="shared" si="8"/>
        <v>2</v>
      </c>
      <c r="J26" s="603">
        <f t="shared" si="9"/>
        <v>2</v>
      </c>
      <c r="K26" s="603">
        <f t="shared" si="10"/>
        <v>2</v>
      </c>
      <c r="L26" s="603">
        <f t="shared" si="11"/>
        <v>2</v>
      </c>
      <c r="M26" s="603">
        <v>8</v>
      </c>
      <c r="N26" s="603">
        <v>0</v>
      </c>
      <c r="O26" s="602">
        <v>1</v>
      </c>
      <c r="P26" s="601">
        <f t="shared" si="13"/>
        <v>1</v>
      </c>
      <c r="Q26" s="601">
        <f t="shared" si="12"/>
        <v>1</v>
      </c>
      <c r="R26" s="600"/>
    </row>
    <row r="27" spans="1:18">
      <c r="A27" s="599">
        <v>7</v>
      </c>
      <c r="B27" s="669"/>
      <c r="C27" s="609">
        <f t="shared" si="7"/>
        <v>46185</v>
      </c>
      <c r="D27" s="608">
        <v>24</v>
      </c>
      <c r="E27" s="607">
        <v>1</v>
      </c>
      <c r="F27" s="606">
        <f>1-1</f>
        <v>0</v>
      </c>
      <c r="G27" s="605">
        <v>0</v>
      </c>
      <c r="H27" s="604"/>
      <c r="I27" s="603">
        <f t="shared" si="8"/>
        <v>3</v>
      </c>
      <c r="J27" s="603">
        <f t="shared" si="9"/>
        <v>2</v>
      </c>
      <c r="K27" s="603">
        <f t="shared" si="10"/>
        <v>2</v>
      </c>
      <c r="L27" s="603">
        <f t="shared" si="11"/>
        <v>2</v>
      </c>
      <c r="M27" s="603">
        <v>9</v>
      </c>
      <c r="N27" s="603">
        <v>4</v>
      </c>
      <c r="O27" s="602">
        <v>0.87</v>
      </c>
      <c r="P27" s="601">
        <f t="shared" si="13"/>
        <v>0.66666666666666663</v>
      </c>
      <c r="Q27" s="601">
        <f t="shared" si="12"/>
        <v>1</v>
      </c>
      <c r="R27" s="619"/>
    </row>
    <row r="28" spans="1:18">
      <c r="B28" s="669"/>
      <c r="C28" s="609">
        <f t="shared" si="7"/>
        <v>46192</v>
      </c>
      <c r="D28" s="608">
        <v>25</v>
      </c>
      <c r="E28" s="607">
        <v>3</v>
      </c>
      <c r="F28" s="606">
        <v>3</v>
      </c>
      <c r="G28" s="605">
        <v>3</v>
      </c>
      <c r="H28" s="604">
        <v>1</v>
      </c>
      <c r="I28" s="603">
        <f t="shared" si="8"/>
        <v>6</v>
      </c>
      <c r="J28" s="603">
        <f t="shared" si="9"/>
        <v>5</v>
      </c>
      <c r="K28" s="603">
        <f t="shared" si="10"/>
        <v>5</v>
      </c>
      <c r="L28" s="603">
        <f t="shared" si="11"/>
        <v>5</v>
      </c>
      <c r="M28" s="603">
        <v>7</v>
      </c>
      <c r="N28" s="603">
        <v>3</v>
      </c>
      <c r="O28" s="602">
        <v>1</v>
      </c>
      <c r="P28" s="601">
        <f t="shared" si="13"/>
        <v>0.83333333333333337</v>
      </c>
      <c r="Q28" s="601">
        <f t="shared" si="12"/>
        <v>1</v>
      </c>
      <c r="R28" s="600"/>
    </row>
    <row r="29" spans="1:18">
      <c r="B29" s="669"/>
      <c r="C29" s="609">
        <f t="shared" si="7"/>
        <v>46199</v>
      </c>
      <c r="D29" s="608">
        <v>26</v>
      </c>
      <c r="E29" s="607">
        <f>4+3</f>
        <v>7</v>
      </c>
      <c r="F29" s="606">
        <f>4+3-1</f>
        <v>6</v>
      </c>
      <c r="G29" s="605">
        <v>6</v>
      </c>
      <c r="H29" s="604">
        <v>1</v>
      </c>
      <c r="I29" s="603">
        <f t="shared" si="8"/>
        <v>13</v>
      </c>
      <c r="J29" s="603">
        <f t="shared" si="9"/>
        <v>11</v>
      </c>
      <c r="K29" s="603">
        <f t="shared" si="10"/>
        <v>11</v>
      </c>
      <c r="L29" s="603">
        <f t="shared" si="11"/>
        <v>11</v>
      </c>
      <c r="M29" s="603"/>
      <c r="N29" s="603"/>
      <c r="O29" s="602">
        <v>1</v>
      </c>
      <c r="P29" s="601">
        <f t="shared" si="13"/>
        <v>0.84615384615384615</v>
      </c>
      <c r="Q29" s="601">
        <f t="shared" si="12"/>
        <v>1</v>
      </c>
      <c r="R29" s="608"/>
    </row>
    <row r="30" spans="1:18">
      <c r="B30" s="669"/>
      <c r="C30" s="609">
        <f t="shared" si="7"/>
        <v>46206</v>
      </c>
      <c r="D30" s="608">
        <v>27</v>
      </c>
      <c r="E30" s="607">
        <v>1</v>
      </c>
      <c r="F30" s="606">
        <f>1+1</f>
        <v>2</v>
      </c>
      <c r="G30" s="605"/>
      <c r="H30" s="604">
        <v>1</v>
      </c>
      <c r="I30" s="603">
        <f t="shared" si="8"/>
        <v>14</v>
      </c>
      <c r="J30" s="603">
        <f t="shared" si="9"/>
        <v>13</v>
      </c>
      <c r="K30" s="603">
        <f t="shared" si="10"/>
        <v>11</v>
      </c>
      <c r="L30" s="603">
        <f t="shared" si="11"/>
        <v>11</v>
      </c>
      <c r="M30" s="603"/>
      <c r="N30" s="603"/>
      <c r="O30" s="602">
        <v>1</v>
      </c>
      <c r="P30" s="601">
        <f t="shared" si="13"/>
        <v>0.7857142857142857</v>
      </c>
      <c r="Q30" s="601">
        <f t="shared" si="12"/>
        <v>0.84615384615384615</v>
      </c>
      <c r="R30" s="600"/>
    </row>
    <row r="31" spans="1:18" s="615" customFormat="1">
      <c r="B31" s="669"/>
      <c r="C31" s="618">
        <f t="shared" si="7"/>
        <v>46213</v>
      </c>
      <c r="D31" s="608">
        <v>28</v>
      </c>
      <c r="E31" s="607"/>
      <c r="F31" s="606">
        <v>0</v>
      </c>
      <c r="G31" s="605"/>
      <c r="H31" s="604">
        <v>1</v>
      </c>
      <c r="I31" s="603">
        <f t="shared" si="8"/>
        <v>14</v>
      </c>
      <c r="J31" s="603">
        <f t="shared" si="9"/>
        <v>13</v>
      </c>
      <c r="K31" s="603">
        <f t="shared" si="10"/>
        <v>11</v>
      </c>
      <c r="L31" s="603">
        <f t="shared" si="11"/>
        <v>11</v>
      </c>
      <c r="M31" s="603"/>
      <c r="N31" s="603"/>
      <c r="O31" s="602">
        <v>1</v>
      </c>
      <c r="P31" s="617">
        <f t="shared" si="13"/>
        <v>0.7857142857142857</v>
      </c>
      <c r="Q31" s="617">
        <f t="shared" si="12"/>
        <v>0.84615384615384615</v>
      </c>
      <c r="R31" s="616"/>
    </row>
    <row r="32" spans="1:18">
      <c r="B32" s="669"/>
      <c r="C32" s="609">
        <f t="shared" si="7"/>
        <v>46220</v>
      </c>
      <c r="D32" s="608">
        <v>29</v>
      </c>
      <c r="E32" s="607"/>
      <c r="F32" s="606">
        <v>0</v>
      </c>
      <c r="G32" s="605"/>
      <c r="H32" s="604">
        <v>1</v>
      </c>
      <c r="I32" s="603">
        <f t="shared" si="8"/>
        <v>14</v>
      </c>
      <c r="J32" s="603">
        <f t="shared" si="9"/>
        <v>13</v>
      </c>
      <c r="K32" s="603">
        <f t="shared" si="10"/>
        <v>11</v>
      </c>
      <c r="L32" s="603">
        <f t="shared" si="11"/>
        <v>11</v>
      </c>
      <c r="M32" s="603"/>
      <c r="N32" s="603"/>
      <c r="O32" s="602">
        <v>1</v>
      </c>
      <c r="P32" s="601">
        <f t="shared" si="13"/>
        <v>0.7857142857142857</v>
      </c>
      <c r="Q32" s="601">
        <f t="shared" si="12"/>
        <v>0.84615384615384615</v>
      </c>
      <c r="R32" s="600"/>
    </row>
    <row r="33" spans="2:18" s="610" customFormat="1">
      <c r="B33" s="669"/>
      <c r="C33" s="614">
        <f t="shared" si="7"/>
        <v>46227</v>
      </c>
      <c r="D33" s="608">
        <v>30</v>
      </c>
      <c r="E33" s="607">
        <f>1+1</f>
        <v>2</v>
      </c>
      <c r="F33" s="606">
        <f>1+1</f>
        <v>2</v>
      </c>
      <c r="G33" s="607"/>
      <c r="H33" s="604">
        <v>1</v>
      </c>
      <c r="I33" s="613">
        <f t="shared" si="8"/>
        <v>16</v>
      </c>
      <c r="J33" s="613">
        <f t="shared" si="9"/>
        <v>15</v>
      </c>
      <c r="K33" s="613">
        <f t="shared" si="10"/>
        <v>11</v>
      </c>
      <c r="L33" s="613">
        <f t="shared" si="11"/>
        <v>11</v>
      </c>
      <c r="M33" s="613"/>
      <c r="N33" s="613"/>
      <c r="O33" s="602">
        <v>1</v>
      </c>
      <c r="P33" s="612">
        <f t="shared" si="13"/>
        <v>0.6875</v>
      </c>
      <c r="Q33" s="612">
        <f t="shared" si="12"/>
        <v>0.73333333333333328</v>
      </c>
      <c r="R33" s="611"/>
    </row>
    <row r="34" spans="2:18">
      <c r="B34" s="670"/>
      <c r="C34" s="609">
        <f t="shared" si="7"/>
        <v>46234</v>
      </c>
      <c r="D34" s="608">
        <v>31</v>
      </c>
      <c r="E34" s="607">
        <v>1</v>
      </c>
      <c r="F34" s="606">
        <v>1</v>
      </c>
      <c r="G34" s="605"/>
      <c r="H34" s="604">
        <v>1</v>
      </c>
      <c r="I34" s="603">
        <f t="shared" si="8"/>
        <v>17</v>
      </c>
      <c r="J34" s="603">
        <f t="shared" si="9"/>
        <v>16</v>
      </c>
      <c r="K34" s="603">
        <f t="shared" si="10"/>
        <v>11</v>
      </c>
      <c r="L34" s="603">
        <f t="shared" si="11"/>
        <v>11</v>
      </c>
      <c r="M34" s="603"/>
      <c r="N34" s="603"/>
      <c r="O34" s="602">
        <v>1</v>
      </c>
      <c r="P34" s="601">
        <f t="shared" si="13"/>
        <v>0.6470588235294118</v>
      </c>
      <c r="Q34" s="601">
        <f t="shared" si="12"/>
        <v>0.6875</v>
      </c>
      <c r="R34" s="600"/>
    </row>
    <row r="35" spans="2:18">
      <c r="E35" s="599">
        <f>SUM(E22:E34)</f>
        <v>17</v>
      </c>
      <c r="F35" s="599">
        <f>SUM(F22:F34)</f>
        <v>16</v>
      </c>
      <c r="G35" s="599">
        <f>SUM(G22:G34)</f>
        <v>11</v>
      </c>
      <c r="H35" s="599">
        <f>SUM(H22:H34)</f>
        <v>7</v>
      </c>
    </row>
  </sheetData>
  <mergeCells count="4">
    <mergeCell ref="B2:R2"/>
    <mergeCell ref="B4:B16"/>
    <mergeCell ref="B20:R20"/>
    <mergeCell ref="B22:B34"/>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A6DB1-1A07-495D-8C33-C087B962C380}">
  <dimension ref="A1:W63"/>
  <sheetViews>
    <sheetView zoomScale="50" zoomScaleNormal="50" workbookViewId="0">
      <pane ySplit="1" topLeftCell="A2" activePane="bottomLeft" state="frozen"/>
      <selection pane="bottomLeft" activeCell="K2" sqref="K2:L2"/>
    </sheetView>
  </sheetViews>
  <sheetFormatPr defaultColWidth="8.7109375" defaultRowHeight="14.45"/>
  <cols>
    <col min="1" max="1" width="8.7109375" style="555"/>
    <col min="2" max="2" width="12.42578125" style="555" customWidth="1"/>
    <col min="3" max="3" width="64.7109375" style="549" customWidth="1"/>
    <col min="4" max="5" width="19.28515625" style="549" customWidth="1"/>
    <col min="6" max="7" width="21.5703125" style="549" customWidth="1"/>
    <col min="8" max="10" width="19.28515625" style="549" customWidth="1"/>
    <col min="11" max="11" width="17.140625" style="571" customWidth="1"/>
    <col min="12" max="12" width="15" style="571" customWidth="1"/>
    <col min="13" max="13" width="29" style="555" customWidth="1"/>
    <col min="14" max="14" width="12.42578125" style="555" customWidth="1"/>
    <col min="15" max="15" width="12.5703125" style="555" customWidth="1"/>
    <col min="16" max="16" width="14.85546875" style="555" customWidth="1"/>
    <col min="17" max="17" width="16.140625" style="555" customWidth="1"/>
    <col min="18" max="18" width="14.5703125" style="555" customWidth="1"/>
    <col min="19" max="19" width="14" style="555" customWidth="1"/>
    <col min="20" max="20" width="14.85546875" style="555" customWidth="1"/>
    <col min="21" max="21" width="15.28515625" style="555" customWidth="1"/>
    <col min="22" max="22" width="19.42578125" style="555" customWidth="1"/>
    <col min="23" max="23" width="35" style="555" customWidth="1"/>
    <col min="24" max="16384" width="8.7109375" style="555"/>
  </cols>
  <sheetData>
    <row r="1" spans="1:23" s="549" customFormat="1" ht="66">
      <c r="A1" s="547" t="s">
        <v>1509</v>
      </c>
      <c r="B1" s="547" t="s">
        <v>1510</v>
      </c>
      <c r="C1" s="547" t="s">
        <v>1511</v>
      </c>
      <c r="D1" s="547" t="s">
        <v>1162</v>
      </c>
      <c r="E1" s="547" t="s">
        <v>1178</v>
      </c>
      <c r="F1" s="547" t="s">
        <v>1512</v>
      </c>
      <c r="G1" s="547" t="s">
        <v>1164</v>
      </c>
      <c r="H1" s="547" t="s">
        <v>1513</v>
      </c>
      <c r="I1" s="547" t="s">
        <v>1514</v>
      </c>
      <c r="J1" s="547" t="s">
        <v>1515</v>
      </c>
      <c r="K1" s="548" t="s">
        <v>1516</v>
      </c>
      <c r="L1" s="548" t="s">
        <v>1517</v>
      </c>
      <c r="M1" s="547" t="s">
        <v>1518</v>
      </c>
      <c r="N1" s="535" t="s">
        <v>1179</v>
      </c>
      <c r="O1" s="535" t="s">
        <v>1180</v>
      </c>
      <c r="P1" s="535" t="s">
        <v>1181</v>
      </c>
      <c r="Q1" s="535" t="s">
        <v>1182</v>
      </c>
      <c r="R1" s="535" t="s">
        <v>831</v>
      </c>
      <c r="S1" s="535" t="s">
        <v>1183</v>
      </c>
      <c r="T1" s="535" t="s">
        <v>1184</v>
      </c>
      <c r="U1" s="535" t="s">
        <v>1185</v>
      </c>
      <c r="V1" s="535" t="s">
        <v>1187</v>
      </c>
      <c r="W1" s="547" t="s">
        <v>1177</v>
      </c>
    </row>
    <row r="2" spans="1:23" ht="43.5">
      <c r="A2" s="550">
        <v>1</v>
      </c>
      <c r="B2" s="551">
        <v>19307982</v>
      </c>
      <c r="C2" s="552" t="s">
        <v>1384</v>
      </c>
      <c r="D2" s="552" t="s">
        <v>1189</v>
      </c>
      <c r="E2" s="552"/>
      <c r="F2" s="552"/>
      <c r="G2" s="550"/>
      <c r="H2" s="552" t="s">
        <v>1519</v>
      </c>
      <c r="I2" s="552" t="s">
        <v>182</v>
      </c>
      <c r="J2" s="552"/>
      <c r="K2" s="553">
        <v>35</v>
      </c>
      <c r="L2" s="553">
        <v>30</v>
      </c>
      <c r="M2" s="550" t="s">
        <v>1410</v>
      </c>
      <c r="N2" s="550" t="s">
        <v>917</v>
      </c>
      <c r="O2" s="550" t="s">
        <v>918</v>
      </c>
      <c r="P2" s="550" t="s">
        <v>1386</v>
      </c>
      <c r="Q2" s="550" t="s">
        <v>1520</v>
      </c>
      <c r="R2" s="550" t="s">
        <v>1521</v>
      </c>
      <c r="S2" s="554">
        <v>46188</v>
      </c>
      <c r="T2" s="554">
        <v>46189</v>
      </c>
      <c r="U2" s="554">
        <v>46190</v>
      </c>
      <c r="V2" s="554">
        <v>46196</v>
      </c>
      <c r="W2" s="550"/>
    </row>
    <row r="3" spans="1:23" ht="57.95">
      <c r="A3" s="550">
        <v>2</v>
      </c>
      <c r="B3" s="556">
        <v>14362752</v>
      </c>
      <c r="C3" s="547" t="s">
        <v>1416</v>
      </c>
      <c r="D3" s="552" t="s">
        <v>1194</v>
      </c>
      <c r="E3" s="552" t="s">
        <v>717</v>
      </c>
      <c r="F3" s="552"/>
      <c r="G3" s="550"/>
      <c r="H3" s="547" t="s">
        <v>312</v>
      </c>
      <c r="I3" s="547" t="s">
        <v>313</v>
      </c>
      <c r="J3" s="547"/>
      <c r="K3" s="553">
        <v>0</v>
      </c>
      <c r="L3" s="553">
        <v>0</v>
      </c>
      <c r="M3" s="134" t="s">
        <v>1376</v>
      </c>
      <c r="N3" s="550" t="s">
        <v>125</v>
      </c>
      <c r="O3" s="550" t="s">
        <v>125</v>
      </c>
      <c r="P3" s="550" t="s">
        <v>125</v>
      </c>
      <c r="Q3" s="550" t="s">
        <v>125</v>
      </c>
      <c r="R3" s="550" t="s">
        <v>1389</v>
      </c>
      <c r="S3" s="554">
        <v>46178</v>
      </c>
      <c r="T3" s="554">
        <v>46183</v>
      </c>
      <c r="U3" s="554">
        <v>46185</v>
      </c>
      <c r="V3" s="554">
        <v>46192</v>
      </c>
      <c r="W3" s="550" t="s">
        <v>1522</v>
      </c>
    </row>
    <row r="4" spans="1:23" ht="29.1">
      <c r="A4" s="550">
        <v>3</v>
      </c>
      <c r="B4" s="552">
        <v>18652314</v>
      </c>
      <c r="C4" s="557" t="s">
        <v>1418</v>
      </c>
      <c r="D4" s="557" t="s">
        <v>1194</v>
      </c>
      <c r="E4" s="557" t="s">
        <v>717</v>
      </c>
      <c r="F4" s="557"/>
      <c r="G4" s="550"/>
      <c r="H4" s="557" t="s">
        <v>312</v>
      </c>
      <c r="I4" s="547" t="s">
        <v>313</v>
      </c>
      <c r="J4" s="557"/>
      <c r="K4" s="553">
        <v>0</v>
      </c>
      <c r="L4" s="553">
        <v>0</v>
      </c>
      <c r="M4" s="134" t="s">
        <v>1376</v>
      </c>
      <c r="N4" s="550" t="s">
        <v>125</v>
      </c>
      <c r="O4" s="550" t="s">
        <v>125</v>
      </c>
      <c r="P4" s="550" t="s">
        <v>125</v>
      </c>
      <c r="Q4" s="550" t="s">
        <v>125</v>
      </c>
      <c r="R4" s="550" t="s">
        <v>1389</v>
      </c>
      <c r="S4" s="554">
        <v>46178</v>
      </c>
      <c r="T4" s="554">
        <v>46183</v>
      </c>
      <c r="U4" s="554">
        <v>46185</v>
      </c>
      <c r="V4" s="554">
        <v>46192</v>
      </c>
      <c r="W4" s="550" t="s">
        <v>1523</v>
      </c>
    </row>
    <row r="5" spans="1:23" ht="43.5">
      <c r="A5" s="550">
        <v>4</v>
      </c>
      <c r="B5" s="552">
        <v>19653232</v>
      </c>
      <c r="C5" s="547" t="s">
        <v>1419</v>
      </c>
      <c r="D5" s="547" t="s">
        <v>1194</v>
      </c>
      <c r="E5" s="547"/>
      <c r="F5" s="547"/>
      <c r="G5" s="547" t="s">
        <v>1524</v>
      </c>
      <c r="H5" s="547" t="s">
        <v>1525</v>
      </c>
      <c r="I5" s="547" t="s">
        <v>313</v>
      </c>
      <c r="J5" s="547"/>
      <c r="K5" s="553">
        <v>0</v>
      </c>
      <c r="L5" s="553">
        <v>24</v>
      </c>
      <c r="M5" s="550" t="s">
        <v>1526</v>
      </c>
      <c r="N5" s="550" t="s">
        <v>125</v>
      </c>
      <c r="O5" s="550" t="s">
        <v>125</v>
      </c>
      <c r="P5" s="550" t="s">
        <v>125</v>
      </c>
      <c r="Q5" s="550" t="s">
        <v>125</v>
      </c>
      <c r="R5" s="554">
        <v>46361</v>
      </c>
      <c r="S5" s="554">
        <v>46183</v>
      </c>
      <c r="T5" s="554">
        <v>46185</v>
      </c>
      <c r="U5" s="554">
        <v>46188</v>
      </c>
      <c r="V5" s="554">
        <v>46196</v>
      </c>
      <c r="W5" s="547" t="s">
        <v>1527</v>
      </c>
    </row>
    <row r="6" spans="1:23" ht="43.5">
      <c r="A6" s="550">
        <v>5</v>
      </c>
      <c r="B6" s="552">
        <v>17788154</v>
      </c>
      <c r="C6" s="547" t="s">
        <v>1404</v>
      </c>
      <c r="D6" s="547" t="s">
        <v>1194</v>
      </c>
      <c r="E6" s="547" t="s">
        <v>717</v>
      </c>
      <c r="F6" s="547"/>
      <c r="G6" s="547" t="s">
        <v>1528</v>
      </c>
      <c r="H6" s="547" t="s">
        <v>1529</v>
      </c>
      <c r="I6" s="547" t="s">
        <v>313</v>
      </c>
      <c r="J6" s="547">
        <v>6</v>
      </c>
      <c r="K6" s="553">
        <v>0</v>
      </c>
      <c r="L6" s="553">
        <v>300</v>
      </c>
      <c r="M6" s="550" t="s">
        <v>1530</v>
      </c>
      <c r="N6" s="550" t="s">
        <v>125</v>
      </c>
      <c r="O6" s="550" t="s">
        <v>125</v>
      </c>
      <c r="P6" s="550" t="s">
        <v>125</v>
      </c>
      <c r="Q6" s="550" t="s">
        <v>125</v>
      </c>
      <c r="R6" s="550" t="s">
        <v>1389</v>
      </c>
      <c r="S6" s="547" t="s">
        <v>1531</v>
      </c>
      <c r="T6" s="547" t="s">
        <v>1532</v>
      </c>
      <c r="U6" s="547" t="s">
        <v>1533</v>
      </c>
      <c r="V6" s="554">
        <v>46196</v>
      </c>
      <c r="W6" s="550" t="s">
        <v>1534</v>
      </c>
    </row>
    <row r="7" spans="1:23" ht="43.5">
      <c r="A7" s="550">
        <v>6</v>
      </c>
      <c r="B7" s="552">
        <v>18479118</v>
      </c>
      <c r="C7" s="552" t="s">
        <v>1378</v>
      </c>
      <c r="D7" s="552" t="s">
        <v>1194</v>
      </c>
      <c r="E7" s="552" t="s">
        <v>717</v>
      </c>
      <c r="F7" s="552"/>
      <c r="G7" s="547" t="s">
        <v>1535</v>
      </c>
      <c r="H7" s="557" t="s">
        <v>312</v>
      </c>
      <c r="I7" s="547" t="s">
        <v>313</v>
      </c>
      <c r="J7" s="557"/>
      <c r="K7" s="553">
        <v>0</v>
      </c>
      <c r="L7" s="553">
        <v>185</v>
      </c>
      <c r="M7" s="134" t="s">
        <v>1376</v>
      </c>
      <c r="N7" s="550" t="s">
        <v>125</v>
      </c>
      <c r="O7" s="550" t="s">
        <v>125</v>
      </c>
      <c r="P7" s="550" t="s">
        <v>125</v>
      </c>
      <c r="Q7" s="550" t="s">
        <v>125</v>
      </c>
      <c r="R7" s="550" t="s">
        <v>1389</v>
      </c>
      <c r="S7" s="554">
        <v>46178</v>
      </c>
      <c r="T7" s="554">
        <v>46183</v>
      </c>
      <c r="U7" s="554">
        <v>46185</v>
      </c>
      <c r="V7" s="554">
        <v>46192</v>
      </c>
      <c r="W7" s="550" t="s">
        <v>1536</v>
      </c>
    </row>
    <row r="8" spans="1:23" ht="43.5">
      <c r="A8" s="550">
        <v>7</v>
      </c>
      <c r="B8" s="550">
        <v>18578158</v>
      </c>
      <c r="C8" s="547" t="s">
        <v>1537</v>
      </c>
      <c r="D8" s="547" t="s">
        <v>1538</v>
      </c>
      <c r="E8" s="547"/>
      <c r="F8" s="547"/>
      <c r="G8" s="550"/>
      <c r="H8" s="547" t="s">
        <v>1539</v>
      </c>
      <c r="I8" s="547" t="s">
        <v>1540</v>
      </c>
      <c r="J8" s="547"/>
      <c r="K8" s="553">
        <v>0</v>
      </c>
      <c r="L8" s="553">
        <f>100+160</f>
        <v>260</v>
      </c>
      <c r="M8" s="550" t="s">
        <v>1410</v>
      </c>
      <c r="N8" s="550" t="s">
        <v>125</v>
      </c>
      <c r="O8" s="550" t="s">
        <v>125</v>
      </c>
      <c r="P8" s="550" t="s">
        <v>125</v>
      </c>
      <c r="Q8" s="550" t="s">
        <v>125</v>
      </c>
      <c r="R8" s="550" t="s">
        <v>270</v>
      </c>
      <c r="S8" s="550" t="s">
        <v>270</v>
      </c>
      <c r="T8" s="550" t="s">
        <v>270</v>
      </c>
      <c r="U8" s="550" t="s">
        <v>270</v>
      </c>
      <c r="V8" s="550" t="s">
        <v>270</v>
      </c>
      <c r="W8" s="550"/>
    </row>
    <row r="9" spans="1:23" ht="43.5">
      <c r="A9" s="550">
        <v>8</v>
      </c>
      <c r="B9" s="552">
        <v>18678710</v>
      </c>
      <c r="C9" s="552" t="s">
        <v>1541</v>
      </c>
      <c r="D9" s="552" t="s">
        <v>1194</v>
      </c>
      <c r="E9" s="552" t="s">
        <v>717</v>
      </c>
      <c r="F9" s="552"/>
      <c r="G9" s="550"/>
      <c r="H9" s="552" t="s">
        <v>385</v>
      </c>
      <c r="I9" s="552" t="s">
        <v>313</v>
      </c>
      <c r="J9" s="552"/>
      <c r="K9" s="558">
        <v>0</v>
      </c>
      <c r="L9" s="553">
        <v>60</v>
      </c>
      <c r="M9" s="550" t="s">
        <v>1542</v>
      </c>
      <c r="N9" s="550" t="s">
        <v>125</v>
      </c>
      <c r="O9" s="550" t="s">
        <v>125</v>
      </c>
      <c r="P9" s="550" t="s">
        <v>125</v>
      </c>
      <c r="Q9" s="550" t="s">
        <v>125</v>
      </c>
      <c r="R9" s="554">
        <v>46331</v>
      </c>
      <c r="S9" s="554">
        <v>46162</v>
      </c>
      <c r="T9" s="554">
        <v>46164</v>
      </c>
      <c r="U9" s="554">
        <v>46168</v>
      </c>
      <c r="V9" s="554">
        <v>46174</v>
      </c>
      <c r="W9" s="552" t="s">
        <v>1543</v>
      </c>
    </row>
    <row r="10" spans="1:23" ht="29.1">
      <c r="A10" s="550">
        <v>9</v>
      </c>
      <c r="B10" s="550">
        <v>19567429</v>
      </c>
      <c r="C10" s="547" t="s">
        <v>1387</v>
      </c>
      <c r="D10" s="547" t="s">
        <v>1189</v>
      </c>
      <c r="E10" s="547"/>
      <c r="F10" s="547"/>
      <c r="G10" s="550"/>
      <c r="H10" s="549" t="s">
        <v>368</v>
      </c>
      <c r="I10" s="547" t="s">
        <v>265</v>
      </c>
      <c r="J10" s="547"/>
      <c r="K10" s="553">
        <v>20</v>
      </c>
      <c r="L10" s="553">
        <v>40</v>
      </c>
      <c r="M10" s="134" t="s">
        <v>1544</v>
      </c>
      <c r="N10" s="550" t="s">
        <v>1212</v>
      </c>
      <c r="O10" s="550" t="s">
        <v>1389</v>
      </c>
      <c r="P10" s="550" t="s">
        <v>1389</v>
      </c>
      <c r="Q10" s="550" t="s">
        <v>1386</v>
      </c>
      <c r="R10" s="550" t="s">
        <v>1545</v>
      </c>
      <c r="S10" s="554">
        <v>46177</v>
      </c>
      <c r="T10" s="554">
        <v>46178</v>
      </c>
      <c r="U10" s="554">
        <v>46181</v>
      </c>
      <c r="V10" s="554">
        <v>46185</v>
      </c>
      <c r="W10" s="547" t="s">
        <v>1546</v>
      </c>
    </row>
    <row r="11" spans="1:23" s="562" customFormat="1" ht="43.5">
      <c r="A11" s="550">
        <v>10</v>
      </c>
      <c r="B11" s="559">
        <v>19578660</v>
      </c>
      <c r="C11" s="560" t="s">
        <v>1547</v>
      </c>
      <c r="D11" s="560" t="s">
        <v>1189</v>
      </c>
      <c r="E11" s="560"/>
      <c r="F11" s="560"/>
      <c r="G11" s="561"/>
      <c r="H11" s="560" t="s">
        <v>1338</v>
      </c>
      <c r="I11" s="560" t="s">
        <v>182</v>
      </c>
      <c r="J11" s="560"/>
      <c r="K11" s="553">
        <v>32</v>
      </c>
      <c r="L11" s="553">
        <v>24</v>
      </c>
      <c r="M11" s="561" t="s">
        <v>1548</v>
      </c>
      <c r="N11" s="561" t="s">
        <v>998</v>
      </c>
      <c r="O11" s="561" t="s">
        <v>916</v>
      </c>
      <c r="P11" s="561" t="s">
        <v>917</v>
      </c>
      <c r="Q11" s="561" t="s">
        <v>1549</v>
      </c>
      <c r="R11" s="550" t="s">
        <v>1520</v>
      </c>
      <c r="S11" s="554">
        <v>46183</v>
      </c>
      <c r="T11" s="554">
        <v>46185</v>
      </c>
      <c r="U11" s="554">
        <v>46188</v>
      </c>
      <c r="V11" s="554">
        <v>46196</v>
      </c>
      <c r="W11" s="561"/>
    </row>
    <row r="12" spans="1:23" s="562" customFormat="1" ht="29.1">
      <c r="A12" s="550">
        <v>11</v>
      </c>
      <c r="B12" s="559">
        <v>18241536</v>
      </c>
      <c r="C12" s="560" t="s">
        <v>1374</v>
      </c>
      <c r="D12" s="560" t="s">
        <v>1194</v>
      </c>
      <c r="E12" s="560"/>
      <c r="F12" s="560"/>
      <c r="G12" s="561"/>
      <c r="H12" s="552" t="s">
        <v>1519</v>
      </c>
      <c r="I12" s="560" t="s">
        <v>182</v>
      </c>
      <c r="J12" s="560"/>
      <c r="K12" s="553">
        <v>0</v>
      </c>
      <c r="L12" s="553">
        <v>80</v>
      </c>
      <c r="M12" s="561" t="s">
        <v>221</v>
      </c>
      <c r="N12" s="561" t="s">
        <v>125</v>
      </c>
      <c r="O12" s="561" t="s">
        <v>125</v>
      </c>
      <c r="P12" s="561" t="s">
        <v>125</v>
      </c>
      <c r="Q12" s="561" t="s">
        <v>125</v>
      </c>
      <c r="R12" s="561" t="s">
        <v>125</v>
      </c>
      <c r="S12" s="563">
        <v>46150</v>
      </c>
      <c r="T12" s="563">
        <v>46239</v>
      </c>
      <c r="U12" s="563">
        <v>46331</v>
      </c>
      <c r="V12" s="563">
        <v>46157</v>
      </c>
      <c r="W12" s="561" t="s">
        <v>1550</v>
      </c>
    </row>
    <row r="13" spans="1:23" ht="72.599999999999994">
      <c r="A13" s="550">
        <v>13</v>
      </c>
      <c r="B13" s="550">
        <v>19631063</v>
      </c>
      <c r="C13" s="547" t="s">
        <v>1407</v>
      </c>
      <c r="D13" s="547" t="s">
        <v>1194</v>
      </c>
      <c r="E13" s="547" t="s">
        <v>717</v>
      </c>
      <c r="F13" s="547"/>
      <c r="G13" s="550"/>
      <c r="H13" s="552" t="s">
        <v>1519</v>
      </c>
      <c r="I13" s="560" t="s">
        <v>182</v>
      </c>
      <c r="J13" s="547"/>
      <c r="K13" s="553">
        <v>0</v>
      </c>
      <c r="L13" s="553">
        <v>130</v>
      </c>
      <c r="M13" s="550" t="s">
        <v>1551</v>
      </c>
      <c r="N13" s="550" t="s">
        <v>125</v>
      </c>
      <c r="O13" s="550" t="s">
        <v>125</v>
      </c>
      <c r="P13" s="550" t="s">
        <v>125</v>
      </c>
      <c r="Q13" s="550" t="s">
        <v>125</v>
      </c>
      <c r="R13" s="550" t="s">
        <v>125</v>
      </c>
      <c r="S13" s="550" t="s">
        <v>1552</v>
      </c>
      <c r="T13" s="550" t="s">
        <v>1553</v>
      </c>
      <c r="U13" s="554" t="s">
        <v>1554</v>
      </c>
      <c r="V13" s="554">
        <v>46206</v>
      </c>
      <c r="W13" s="564" t="s">
        <v>1555</v>
      </c>
    </row>
    <row r="14" spans="1:23" ht="29.1">
      <c r="A14" s="565">
        <v>14</v>
      </c>
      <c r="B14" s="154">
        <v>17492028</v>
      </c>
      <c r="C14" s="49" t="s">
        <v>1392</v>
      </c>
      <c r="D14" s="547" t="s">
        <v>1556</v>
      </c>
      <c r="E14" s="547"/>
      <c r="F14" s="547"/>
      <c r="G14" s="550"/>
      <c r="H14" s="547"/>
      <c r="I14" s="560" t="s">
        <v>182</v>
      </c>
      <c r="J14" s="547"/>
      <c r="K14" s="553">
        <v>0</v>
      </c>
      <c r="L14" s="553">
        <v>90</v>
      </c>
      <c r="M14" s="134" t="s">
        <v>1380</v>
      </c>
      <c r="N14" s="550"/>
      <c r="O14" s="550"/>
      <c r="P14" s="550"/>
      <c r="Q14" s="550"/>
      <c r="R14" s="550"/>
      <c r="S14" s="550"/>
      <c r="T14" s="550"/>
      <c r="U14" s="550"/>
      <c r="V14" s="550"/>
      <c r="W14" s="550"/>
    </row>
    <row r="15" spans="1:23" ht="29.1">
      <c r="A15" s="565">
        <v>15</v>
      </c>
      <c r="B15" s="154">
        <v>17785160</v>
      </c>
      <c r="C15" s="449" t="s">
        <v>1394</v>
      </c>
      <c r="D15" s="547" t="s">
        <v>1556</v>
      </c>
      <c r="E15" s="547"/>
      <c r="F15" s="547"/>
      <c r="G15" s="550"/>
      <c r="H15" s="547"/>
      <c r="I15" s="560" t="s">
        <v>182</v>
      </c>
      <c r="J15" s="547"/>
      <c r="K15" s="553">
        <v>0</v>
      </c>
      <c r="L15" s="553">
        <v>30</v>
      </c>
      <c r="M15" s="134" t="s">
        <v>221</v>
      </c>
      <c r="N15" s="550"/>
      <c r="O15" s="550"/>
      <c r="P15" s="550"/>
      <c r="Q15" s="550"/>
      <c r="R15" s="550"/>
      <c r="S15" s="550"/>
      <c r="T15" s="550"/>
      <c r="U15" s="550"/>
      <c r="V15" s="550"/>
      <c r="W15" s="550"/>
    </row>
    <row r="16" spans="1:23" ht="29.1">
      <c r="A16" s="565">
        <v>16</v>
      </c>
      <c r="B16" s="154">
        <v>17785176</v>
      </c>
      <c r="C16" s="449" t="s">
        <v>1396</v>
      </c>
      <c r="D16" s="547" t="s">
        <v>1556</v>
      </c>
      <c r="E16" s="547"/>
      <c r="F16" s="547"/>
      <c r="G16" s="550"/>
      <c r="H16" s="547"/>
      <c r="I16" s="560" t="s">
        <v>182</v>
      </c>
      <c r="J16" s="547"/>
      <c r="K16" s="553">
        <v>0</v>
      </c>
      <c r="L16" s="553">
        <v>40</v>
      </c>
      <c r="M16" s="134" t="s">
        <v>221</v>
      </c>
      <c r="N16" s="550"/>
      <c r="O16" s="550"/>
      <c r="P16" s="550"/>
      <c r="Q16" s="550"/>
      <c r="R16" s="550"/>
      <c r="S16" s="550"/>
      <c r="T16" s="550"/>
      <c r="U16" s="550"/>
      <c r="V16" s="550"/>
      <c r="W16" s="550"/>
    </row>
    <row r="17" spans="1:23" ht="29.1">
      <c r="A17" s="565">
        <v>17</v>
      </c>
      <c r="B17" s="154">
        <v>18067411</v>
      </c>
      <c r="C17" s="134" t="s">
        <v>1397</v>
      </c>
      <c r="D17" s="547" t="s">
        <v>1556</v>
      </c>
      <c r="E17" s="547"/>
      <c r="F17" s="547"/>
      <c r="G17" s="550"/>
      <c r="H17" s="547"/>
      <c r="I17" s="560" t="s">
        <v>182</v>
      </c>
      <c r="J17" s="547"/>
      <c r="K17" s="553">
        <v>0</v>
      </c>
      <c r="L17" s="553">
        <v>35</v>
      </c>
      <c r="M17" s="134" t="s">
        <v>1376</v>
      </c>
      <c r="N17" s="550"/>
      <c r="O17" s="550"/>
      <c r="P17" s="550"/>
      <c r="Q17" s="550"/>
      <c r="R17" s="550"/>
      <c r="S17" s="550"/>
      <c r="T17" s="550"/>
      <c r="U17" s="550"/>
      <c r="V17" s="550"/>
      <c r="W17" s="550"/>
    </row>
    <row r="18" spans="1:23" ht="29.1">
      <c r="A18" s="565">
        <v>18</v>
      </c>
      <c r="B18" s="154">
        <v>18139347</v>
      </c>
      <c r="C18" s="49" t="s">
        <v>1398</v>
      </c>
      <c r="D18" s="547" t="s">
        <v>1556</v>
      </c>
      <c r="E18" s="547"/>
      <c r="F18" s="547"/>
      <c r="G18" s="550"/>
      <c r="H18" s="547"/>
      <c r="I18" s="560" t="s">
        <v>182</v>
      </c>
      <c r="J18" s="547"/>
      <c r="K18" s="553">
        <v>0</v>
      </c>
      <c r="L18" s="553">
        <v>30</v>
      </c>
      <c r="M18" s="134" t="s">
        <v>1376</v>
      </c>
      <c r="N18" s="550"/>
      <c r="O18" s="550"/>
      <c r="P18" s="550"/>
      <c r="Q18" s="550"/>
      <c r="R18" s="550"/>
      <c r="S18" s="550"/>
      <c r="T18" s="550"/>
      <c r="U18" s="550"/>
      <c r="V18" s="550"/>
      <c r="W18" s="550"/>
    </row>
    <row r="19" spans="1:23" ht="49.5">
      <c r="A19" s="565">
        <v>19</v>
      </c>
      <c r="B19" s="272">
        <v>18656113</v>
      </c>
      <c r="C19" s="566" t="s">
        <v>936</v>
      </c>
      <c r="D19" s="547" t="s">
        <v>1556</v>
      </c>
      <c r="E19" s="547"/>
      <c r="F19" s="547"/>
      <c r="G19" s="550"/>
      <c r="H19" s="547"/>
      <c r="I19" s="547" t="s">
        <v>265</v>
      </c>
      <c r="J19" s="547"/>
      <c r="K19" s="553">
        <v>0</v>
      </c>
      <c r="L19" s="553">
        <v>30</v>
      </c>
      <c r="M19" s="134" t="s">
        <v>314</v>
      </c>
      <c r="N19" s="550"/>
      <c r="O19" s="550"/>
      <c r="P19" s="550"/>
      <c r="Q19" s="550"/>
      <c r="R19" s="550"/>
      <c r="S19" s="550"/>
      <c r="T19" s="550"/>
      <c r="U19" s="550"/>
      <c r="V19" s="550"/>
      <c r="W19" s="550"/>
    </row>
    <row r="20" spans="1:23" ht="29.1">
      <c r="A20" s="565">
        <v>20</v>
      </c>
      <c r="B20" s="154">
        <v>18673035</v>
      </c>
      <c r="C20" s="134" t="s">
        <v>1399</v>
      </c>
      <c r="D20" s="547" t="s">
        <v>1556</v>
      </c>
      <c r="E20" s="547"/>
      <c r="F20" s="547"/>
      <c r="G20" s="550"/>
      <c r="H20" s="547"/>
      <c r="I20" s="560" t="s">
        <v>182</v>
      </c>
      <c r="J20" s="547"/>
      <c r="K20" s="553">
        <v>0</v>
      </c>
      <c r="L20" s="553">
        <v>20</v>
      </c>
      <c r="M20" s="134" t="s">
        <v>221</v>
      </c>
      <c r="N20" s="550"/>
      <c r="O20" s="550"/>
      <c r="P20" s="550"/>
      <c r="Q20" s="550"/>
      <c r="R20" s="550"/>
      <c r="S20" s="550"/>
      <c r="T20" s="550"/>
      <c r="U20" s="550"/>
      <c r="V20" s="550"/>
      <c r="W20" s="550"/>
    </row>
    <row r="21" spans="1:23" ht="29.1">
      <c r="A21" s="565">
        <v>21</v>
      </c>
      <c r="B21" s="154">
        <v>18673059</v>
      </c>
      <c r="C21" s="134" t="s">
        <v>1400</v>
      </c>
      <c r="D21" s="547" t="s">
        <v>1556</v>
      </c>
      <c r="E21" s="547"/>
      <c r="F21" s="547"/>
      <c r="G21" s="550"/>
      <c r="H21" s="547"/>
      <c r="I21" s="547" t="s">
        <v>265</v>
      </c>
      <c r="J21" s="547"/>
      <c r="K21" s="553">
        <v>0</v>
      </c>
      <c r="L21" s="553">
        <v>15</v>
      </c>
      <c r="M21" s="134" t="s">
        <v>221</v>
      </c>
      <c r="N21" s="550"/>
      <c r="O21" s="550"/>
      <c r="P21" s="550"/>
      <c r="Q21" s="550"/>
      <c r="R21" s="550"/>
      <c r="S21" s="550"/>
      <c r="T21" s="550"/>
      <c r="U21" s="550"/>
      <c r="V21" s="550"/>
      <c r="W21" s="550"/>
    </row>
    <row r="22" spans="1:23" ht="29.1">
      <c r="A22" s="565">
        <v>22</v>
      </c>
      <c r="B22" s="154">
        <v>18680412</v>
      </c>
      <c r="C22" s="134" t="s">
        <v>1401</v>
      </c>
      <c r="D22" s="547" t="s">
        <v>1556</v>
      </c>
      <c r="E22" s="547"/>
      <c r="F22" s="547"/>
      <c r="G22" s="550"/>
      <c r="H22" s="547"/>
      <c r="I22" s="560" t="s">
        <v>182</v>
      </c>
      <c r="J22" s="547"/>
      <c r="K22" s="553">
        <v>0</v>
      </c>
      <c r="L22" s="553">
        <v>15</v>
      </c>
      <c r="M22" s="134" t="s">
        <v>221</v>
      </c>
      <c r="N22" s="550"/>
      <c r="O22" s="550"/>
      <c r="P22" s="550"/>
      <c r="Q22" s="550"/>
      <c r="R22" s="550"/>
      <c r="S22" s="550"/>
      <c r="T22" s="550"/>
      <c r="U22" s="550"/>
      <c r="V22" s="550"/>
      <c r="W22" s="567" t="s">
        <v>1557</v>
      </c>
    </row>
    <row r="23" spans="1:23" ht="29.1">
      <c r="A23" s="565">
        <v>23</v>
      </c>
      <c r="B23" s="154">
        <v>17491947</v>
      </c>
      <c r="C23" s="568" t="s">
        <v>1402</v>
      </c>
      <c r="D23" s="547" t="s">
        <v>1556</v>
      </c>
      <c r="E23" s="547"/>
      <c r="F23" s="547"/>
      <c r="G23" s="550"/>
      <c r="H23" s="547"/>
      <c r="I23" s="547" t="s">
        <v>182</v>
      </c>
      <c r="J23" s="547"/>
      <c r="K23" s="553">
        <v>0</v>
      </c>
      <c r="L23" s="553">
        <v>60</v>
      </c>
      <c r="M23" s="134" t="s">
        <v>1376</v>
      </c>
      <c r="N23" s="550"/>
      <c r="O23" s="550"/>
      <c r="P23" s="550"/>
      <c r="Q23" s="550"/>
      <c r="R23" s="550"/>
      <c r="S23" s="550"/>
      <c r="T23" s="550"/>
      <c r="U23" s="550"/>
      <c r="V23" s="550"/>
      <c r="W23" s="550"/>
    </row>
    <row r="24" spans="1:23" ht="29.1">
      <c r="A24" s="565"/>
      <c r="B24" s="135">
        <v>18111626</v>
      </c>
      <c r="C24" s="134" t="s">
        <v>1505</v>
      </c>
      <c r="D24" s="547" t="s">
        <v>1556</v>
      </c>
      <c r="E24" s="547"/>
      <c r="F24" s="547"/>
      <c r="G24" s="550"/>
      <c r="H24" s="547"/>
      <c r="I24" s="560" t="s">
        <v>182</v>
      </c>
      <c r="J24" s="547"/>
      <c r="K24" s="553">
        <v>0</v>
      </c>
      <c r="L24" s="553">
        <v>0</v>
      </c>
      <c r="M24" s="134" t="s">
        <v>1380</v>
      </c>
      <c r="N24" s="550"/>
      <c r="O24" s="550"/>
      <c r="P24" s="550"/>
      <c r="Q24" s="550"/>
      <c r="R24" s="550"/>
      <c r="S24" s="550"/>
      <c r="T24" s="550"/>
      <c r="U24" s="550"/>
      <c r="V24" s="550"/>
      <c r="W24" s="567" t="s">
        <v>1558</v>
      </c>
    </row>
    <row r="25" spans="1:23">
      <c r="A25" s="550"/>
      <c r="B25" s="135">
        <v>18148466</v>
      </c>
      <c r="C25" s="134" t="s">
        <v>1495</v>
      </c>
      <c r="D25" s="547" t="s">
        <v>1556</v>
      </c>
      <c r="E25" s="547"/>
      <c r="F25" s="547"/>
      <c r="G25" s="550"/>
      <c r="H25" s="547"/>
      <c r="I25" s="547" t="s">
        <v>313</v>
      </c>
      <c r="J25" s="547"/>
      <c r="K25" s="553">
        <v>0</v>
      </c>
      <c r="L25" s="553">
        <v>60</v>
      </c>
      <c r="M25" s="550"/>
      <c r="N25" s="550"/>
      <c r="O25" s="550"/>
      <c r="P25" s="550"/>
      <c r="Q25" s="550"/>
      <c r="R25" s="550"/>
      <c r="S25" s="550"/>
      <c r="T25" s="550"/>
      <c r="U25" s="550"/>
      <c r="V25" s="550"/>
      <c r="W25" s="550"/>
    </row>
    <row r="26" spans="1:23" ht="29.1">
      <c r="A26" s="550"/>
      <c r="B26" s="135">
        <v>17494197</v>
      </c>
      <c r="C26" s="134" t="s">
        <v>1445</v>
      </c>
      <c r="D26" s="547" t="s">
        <v>1556</v>
      </c>
      <c r="E26" s="547"/>
      <c r="F26" s="547"/>
      <c r="G26" s="550"/>
      <c r="H26" s="547"/>
      <c r="I26" s="547" t="s">
        <v>182</v>
      </c>
      <c r="J26" s="547"/>
      <c r="K26" s="553">
        <v>0</v>
      </c>
      <c r="L26" s="553">
        <v>70</v>
      </c>
      <c r="M26" s="550"/>
      <c r="N26" s="550"/>
      <c r="O26" s="550"/>
      <c r="P26" s="550"/>
      <c r="Q26" s="550"/>
      <c r="R26" s="550"/>
      <c r="S26" s="550"/>
      <c r="T26" s="550"/>
      <c r="U26" s="550"/>
      <c r="V26" s="550"/>
      <c r="W26" s="550"/>
    </row>
    <row r="27" spans="1:23" ht="29.1">
      <c r="A27" s="550"/>
      <c r="B27" s="559">
        <v>18241536</v>
      </c>
      <c r="C27" s="560" t="s">
        <v>1374</v>
      </c>
      <c r="D27" s="547" t="s">
        <v>1556</v>
      </c>
      <c r="E27" s="547"/>
      <c r="F27" s="547"/>
      <c r="G27" s="550"/>
      <c r="H27" s="547"/>
      <c r="I27" s="547"/>
      <c r="J27" s="547"/>
      <c r="K27" s="553">
        <v>0</v>
      </c>
      <c r="L27" s="553">
        <v>110</v>
      </c>
      <c r="M27" s="550"/>
      <c r="N27" s="550"/>
      <c r="O27" s="550"/>
      <c r="P27" s="550"/>
      <c r="Q27" s="550"/>
      <c r="R27" s="550"/>
      <c r="S27" s="550"/>
      <c r="T27" s="550"/>
      <c r="U27" s="550"/>
      <c r="V27" s="550"/>
      <c r="W27" s="550"/>
    </row>
    <row r="28" spans="1:23" ht="29.1">
      <c r="A28" s="565"/>
      <c r="B28" s="135">
        <v>18672926</v>
      </c>
      <c r="C28" s="134" t="s">
        <v>1482</v>
      </c>
      <c r="D28" s="547" t="s">
        <v>1556</v>
      </c>
      <c r="E28" s="547"/>
      <c r="F28" s="547"/>
      <c r="G28" s="550"/>
      <c r="H28" s="547"/>
      <c r="I28" s="547" t="s">
        <v>182</v>
      </c>
      <c r="J28" s="547"/>
      <c r="K28" s="553">
        <v>0</v>
      </c>
      <c r="L28" s="553">
        <v>20</v>
      </c>
      <c r="M28" s="134" t="s">
        <v>221</v>
      </c>
      <c r="N28" s="550"/>
      <c r="O28" s="550"/>
      <c r="P28" s="550"/>
      <c r="Q28" s="550"/>
      <c r="R28" s="550"/>
      <c r="S28" s="550"/>
      <c r="T28" s="550"/>
      <c r="U28" s="550"/>
      <c r="V28" s="550"/>
      <c r="W28" s="550"/>
    </row>
    <row r="29" spans="1:23" ht="29.1">
      <c r="A29" s="565"/>
      <c r="B29" s="135">
        <v>18673040</v>
      </c>
      <c r="C29" s="134" t="s">
        <v>1484</v>
      </c>
      <c r="D29" s="547" t="s">
        <v>1556</v>
      </c>
      <c r="E29" s="547"/>
      <c r="F29" s="547"/>
      <c r="G29" s="550"/>
      <c r="H29" s="547"/>
      <c r="I29" s="547" t="s">
        <v>182</v>
      </c>
      <c r="J29" s="547"/>
      <c r="K29" s="553">
        <v>0</v>
      </c>
      <c r="L29" s="553">
        <v>15</v>
      </c>
      <c r="M29" s="134" t="s">
        <v>221</v>
      </c>
      <c r="N29" s="550"/>
      <c r="O29" s="550"/>
      <c r="P29" s="550"/>
      <c r="Q29" s="550"/>
      <c r="R29" s="550"/>
      <c r="S29" s="550"/>
      <c r="T29" s="550"/>
      <c r="U29" s="550"/>
      <c r="V29" s="550"/>
      <c r="W29" s="550"/>
    </row>
    <row r="30" spans="1:23" ht="29.1">
      <c r="A30" s="565"/>
      <c r="B30" s="135">
        <v>17785155</v>
      </c>
      <c r="C30" s="449" t="s">
        <v>1559</v>
      </c>
      <c r="D30" s="547" t="s">
        <v>1556</v>
      </c>
      <c r="E30" s="547"/>
      <c r="F30" s="547"/>
      <c r="G30" s="550"/>
      <c r="H30" s="547"/>
      <c r="I30" s="547" t="s">
        <v>182</v>
      </c>
      <c r="J30" s="547"/>
      <c r="K30" s="553">
        <v>0</v>
      </c>
      <c r="L30" s="553">
        <v>0</v>
      </c>
      <c r="M30" s="550" t="s">
        <v>221</v>
      </c>
      <c r="N30" s="550"/>
      <c r="O30" s="550"/>
      <c r="P30" s="550"/>
      <c r="Q30" s="550"/>
      <c r="R30" s="550"/>
      <c r="S30" s="550"/>
      <c r="T30" s="550"/>
      <c r="U30" s="550"/>
      <c r="V30" s="550"/>
      <c r="W30" s="567" t="s">
        <v>1560</v>
      </c>
    </row>
    <row r="31" spans="1:23" ht="29.1">
      <c r="A31" s="565"/>
      <c r="B31" s="135">
        <v>18142750</v>
      </c>
      <c r="C31" s="449" t="s">
        <v>1561</v>
      </c>
      <c r="D31" s="547" t="s">
        <v>1556</v>
      </c>
      <c r="E31" s="547"/>
      <c r="F31" s="547"/>
      <c r="G31" s="550"/>
      <c r="H31" s="547"/>
      <c r="I31" s="547" t="s">
        <v>265</v>
      </c>
      <c r="J31" s="547"/>
      <c r="K31" s="553">
        <v>0</v>
      </c>
      <c r="L31" s="553">
        <v>40</v>
      </c>
      <c r="M31" s="134" t="s">
        <v>1376</v>
      </c>
      <c r="N31" s="550"/>
      <c r="O31" s="550"/>
      <c r="P31" s="550"/>
      <c r="Q31" s="550"/>
      <c r="R31" s="550"/>
      <c r="S31" s="550"/>
      <c r="T31" s="550"/>
      <c r="U31" s="550"/>
      <c r="V31" s="550"/>
      <c r="W31" s="569"/>
    </row>
    <row r="32" spans="1:23" ht="29.1">
      <c r="A32" s="550"/>
      <c r="B32" s="469">
        <v>18874999</v>
      </c>
      <c r="C32" s="468" t="s">
        <v>1562</v>
      </c>
      <c r="D32" s="547" t="s">
        <v>270</v>
      </c>
      <c r="E32" s="547"/>
      <c r="F32" s="547"/>
      <c r="G32" s="550"/>
      <c r="H32" s="547"/>
      <c r="I32" s="547"/>
      <c r="J32" s="547"/>
      <c r="K32" s="553" t="s">
        <v>125</v>
      </c>
      <c r="L32" s="553"/>
      <c r="M32" s="550"/>
      <c r="N32" s="550"/>
      <c r="O32" s="550"/>
      <c r="P32" s="550"/>
      <c r="Q32" s="550"/>
      <c r="R32" s="550"/>
      <c r="S32" s="550"/>
      <c r="T32" s="550"/>
      <c r="U32" s="550"/>
      <c r="V32" s="550"/>
      <c r="W32" s="550"/>
    </row>
    <row r="34" spans="2:13">
      <c r="B34" s="570"/>
      <c r="C34" s="555"/>
      <c r="D34" s="555"/>
      <c r="E34" s="555"/>
      <c r="F34" s="555"/>
      <c r="G34" s="555"/>
    </row>
    <row r="35" spans="2:13">
      <c r="B35" s="570"/>
      <c r="I35" s="549" t="s">
        <v>1157</v>
      </c>
      <c r="K35" s="571">
        <f>SUM(K2:K32)</f>
        <v>87</v>
      </c>
      <c r="L35" s="571">
        <f>SUM(L2:L32)</f>
        <v>1813</v>
      </c>
    </row>
    <row r="36" spans="2:13">
      <c r="B36" s="570"/>
      <c r="C36" s="146"/>
      <c r="K36" s="671">
        <f>K35+L35</f>
        <v>1900</v>
      </c>
      <c r="L36" s="671"/>
    </row>
    <row r="37" spans="2:13" ht="43.5">
      <c r="B37" s="570"/>
      <c r="C37" s="146"/>
      <c r="I37" s="549" t="s">
        <v>1563</v>
      </c>
      <c r="K37" s="671">
        <f>K36+(0.1*K36)</f>
        <v>2090</v>
      </c>
      <c r="L37" s="671"/>
      <c r="M37" s="571">
        <f>2604</f>
        <v>2604</v>
      </c>
    </row>
    <row r="38" spans="2:13">
      <c r="B38" s="570"/>
      <c r="C38" s="146"/>
      <c r="M38" s="571"/>
    </row>
    <row r="39" spans="2:13">
      <c r="B39" s="570"/>
      <c r="C39" s="146"/>
      <c r="I39" s="549" t="s">
        <v>1564</v>
      </c>
      <c r="K39" s="572">
        <f>K37/M37</f>
        <v>0.80261136712749614</v>
      </c>
      <c r="M39" s="555">
        <f>90%*M37</f>
        <v>2343.6</v>
      </c>
    </row>
    <row r="40" spans="2:13">
      <c r="B40" s="570"/>
      <c r="M40" s="555">
        <f>M39-M37</f>
        <v>-260.40000000000009</v>
      </c>
    </row>
    <row r="41" spans="2:13">
      <c r="B41" s="570"/>
      <c r="C41" s="146"/>
      <c r="I41" s="549" t="s">
        <v>1565</v>
      </c>
      <c r="K41" s="571">
        <f>7.75*5*6</f>
        <v>232.5</v>
      </c>
    </row>
    <row r="42" spans="2:13" ht="29.1">
      <c r="B42" s="570"/>
      <c r="C42" s="146"/>
      <c r="I42" s="549" t="s">
        <v>1566</v>
      </c>
      <c r="K42" s="571">
        <f>M37-K41</f>
        <v>2371.5</v>
      </c>
    </row>
    <row r="43" spans="2:13" ht="29.1">
      <c r="B43" s="570"/>
      <c r="C43" s="146"/>
      <c r="I43" s="549" t="s">
        <v>1567</v>
      </c>
      <c r="K43" s="571">
        <f>K42-K37</f>
        <v>281.5</v>
      </c>
    </row>
    <row r="44" spans="2:13">
      <c r="B44" s="570"/>
      <c r="C44" s="146"/>
    </row>
    <row r="45" spans="2:13">
      <c r="B45" s="570"/>
      <c r="C45" s="146"/>
      <c r="M45" s="555">
        <f>M37-K41</f>
        <v>2371.5</v>
      </c>
    </row>
    <row r="46" spans="2:13">
      <c r="B46" s="570"/>
      <c r="C46" s="146"/>
      <c r="M46" s="555">
        <f>M45-K37</f>
        <v>281.5</v>
      </c>
    </row>
    <row r="47" spans="2:13">
      <c r="B47" s="570"/>
      <c r="C47" s="146"/>
    </row>
    <row r="48" spans="2:13">
      <c r="B48" s="570"/>
      <c r="C48" s="555"/>
      <c r="M48" s="555">
        <f>7.75*5*23</f>
        <v>891.25</v>
      </c>
    </row>
    <row r="49" spans="2:3">
      <c r="B49" s="570"/>
      <c r="C49" s="146"/>
    </row>
    <row r="50" spans="2:3">
      <c r="C50" s="555"/>
    </row>
    <row r="51" spans="2:3">
      <c r="C51" s="555"/>
    </row>
    <row r="52" spans="2:3">
      <c r="C52" s="555"/>
    </row>
    <row r="53" spans="2:3">
      <c r="C53" s="555"/>
    </row>
    <row r="54" spans="2:3">
      <c r="C54" s="555"/>
    </row>
    <row r="55" spans="2:3">
      <c r="C55" s="555"/>
    </row>
    <row r="56" spans="2:3">
      <c r="C56" s="555"/>
    </row>
    <row r="57" spans="2:3">
      <c r="C57" s="555"/>
    </row>
    <row r="58" spans="2:3">
      <c r="C58" s="555"/>
    </row>
    <row r="59" spans="2:3">
      <c r="C59" s="555"/>
    </row>
    <row r="60" spans="2:3">
      <c r="C60" s="555"/>
    </row>
    <row r="61" spans="2:3">
      <c r="C61" s="555"/>
    </row>
    <row r="62" spans="2:3">
      <c r="C62" s="555"/>
    </row>
    <row r="63" spans="2:3">
      <c r="C63" s="555"/>
    </row>
  </sheetData>
  <autoFilter ref="A1:W32" xr:uid="{7A7F9D10-339F-44C7-847B-1A170C0F4962}"/>
  <mergeCells count="2">
    <mergeCell ref="K36:L36"/>
    <mergeCell ref="K37:L37"/>
  </mergeCells>
  <conditionalFormatting sqref="B1:B1048576">
    <cfRule type="duplicateValues" dxfId="54" priority="2"/>
  </conditionalFormatting>
  <conditionalFormatting sqref="B19 B14">
    <cfRule type="duplicateValues" dxfId="53" priority="28"/>
  </conditionalFormatting>
  <conditionalFormatting sqref="B19">
    <cfRule type="duplicateValues" dxfId="52" priority="21"/>
    <cfRule type="duplicateValues" dxfId="51" priority="22"/>
    <cfRule type="duplicateValues" dxfId="50" priority="23"/>
    <cfRule type="duplicateValues" dxfId="49" priority="24"/>
    <cfRule type="duplicateValues" dxfId="48" priority="25"/>
    <cfRule type="duplicateValues" dxfId="47" priority="26"/>
    <cfRule type="duplicateValues" dxfId="46" priority="27"/>
  </conditionalFormatting>
  <conditionalFormatting sqref="B24">
    <cfRule type="duplicateValues" dxfId="45" priority="19"/>
  </conditionalFormatting>
  <conditionalFormatting sqref="B24:B26 B28:B29">
    <cfRule type="duplicateValues" dxfId="44" priority="32"/>
    <cfRule type="duplicateValues" dxfId="43" priority="33"/>
    <cfRule type="duplicateValues" dxfId="42" priority="34"/>
  </conditionalFormatting>
  <conditionalFormatting sqref="B25">
    <cfRule type="duplicateValues" dxfId="41" priority="20"/>
  </conditionalFormatting>
  <conditionalFormatting sqref="B27">
    <cfRule type="duplicateValues" dxfId="40" priority="1"/>
  </conditionalFormatting>
  <conditionalFormatting sqref="B30">
    <cfRule type="duplicateValues" dxfId="39" priority="4"/>
    <cfRule type="duplicateValues" dxfId="38" priority="5"/>
    <cfRule type="duplicateValues" dxfId="37" priority="6"/>
    <cfRule type="duplicateValues" dxfId="36" priority="7"/>
    <cfRule type="duplicateValues" dxfId="35" priority="8"/>
    <cfRule type="duplicateValues" dxfId="34" priority="9"/>
    <cfRule type="duplicateValues" dxfId="33" priority="10"/>
  </conditionalFormatting>
  <conditionalFormatting sqref="B31">
    <cfRule type="duplicateValues" dxfId="32" priority="11"/>
    <cfRule type="duplicateValues" dxfId="31" priority="12"/>
    <cfRule type="duplicateValues" dxfId="30" priority="13"/>
    <cfRule type="duplicateValues" dxfId="29" priority="14"/>
    <cfRule type="duplicateValues" dxfId="28" priority="15"/>
    <cfRule type="duplicateValues" dxfId="27" priority="16"/>
    <cfRule type="duplicateValues" dxfId="26" priority="17" stopIfTrue="1"/>
    <cfRule type="expression" dxfId="25" priority="18" stopIfTrue="1">
      <formula>AND(COUNTIF($B$1:$B$1, B31)+COUNTIF($B$2:$B$64917, B31)&gt;1,NOT(ISBLANK(B31)))</formula>
    </cfRule>
  </conditionalFormatting>
  <conditionalFormatting sqref="B32">
    <cfRule type="duplicateValues" dxfId="24" priority="3"/>
  </conditionalFormatting>
  <conditionalFormatting sqref="B64:B1048576 B1:B23">
    <cfRule type="duplicateValues" dxfId="23" priority="30"/>
  </conditionalFormatting>
  <conditionalFormatting sqref="B64:B1048576 B1:B31">
    <cfRule type="duplicateValues" dxfId="22" priority="35"/>
    <cfRule type="duplicateValues" dxfId="21" priority="36"/>
  </conditionalFormatting>
  <conditionalFormatting sqref="B64:B1048576 B13 B1:B8 B10">
    <cfRule type="duplicateValues" dxfId="20" priority="31"/>
  </conditionalFormatting>
  <conditionalFormatting sqref="W9 B9:F9 H9:K9">
    <cfRule type="duplicateValues" dxfId="19" priority="29"/>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CA2CE-8766-4D44-AD80-88EA51955DB3}">
  <sheetPr codeName="Sheet5"/>
  <dimension ref="A1:D5"/>
  <sheetViews>
    <sheetView workbookViewId="0">
      <selection activeCell="E10" sqref="E10"/>
    </sheetView>
  </sheetViews>
  <sheetFormatPr defaultRowHeight="14.45"/>
  <cols>
    <col min="4" max="4" width="59.140625" customWidth="1"/>
  </cols>
  <sheetData>
    <row r="1" spans="1:4">
      <c r="B1" t="s">
        <v>1568</v>
      </c>
      <c r="C1" t="s">
        <v>1569</v>
      </c>
    </row>
    <row r="2" spans="1:4" ht="29.1">
      <c r="A2" t="s">
        <v>786</v>
      </c>
      <c r="C2">
        <v>2</v>
      </c>
      <c r="D2" s="2" t="s">
        <v>1570</v>
      </c>
    </row>
    <row r="3" spans="1:4">
      <c r="A3" t="s">
        <v>1571</v>
      </c>
      <c r="C3">
        <v>1</v>
      </c>
      <c r="D3" t="s">
        <v>1572</v>
      </c>
    </row>
    <row r="4" spans="1:4">
      <c r="A4" t="s">
        <v>1573</v>
      </c>
      <c r="C4" s="672">
        <v>2</v>
      </c>
      <c r="D4" t="s">
        <v>1574</v>
      </c>
    </row>
    <row r="5" spans="1:4">
      <c r="C5" s="672"/>
      <c r="D5" s="49" t="s">
        <v>1575</v>
      </c>
    </row>
  </sheetData>
  <mergeCells count="1">
    <mergeCell ref="C4:C5"/>
  </mergeCells>
  <conditionalFormatting sqref="D5">
    <cfRule type="duplicateValues" dxfId="18" priority="1"/>
  </conditionalFormatting>
  <conditionalFormatting sqref="D5">
    <cfRule type="duplicateValues" dxfId="17" priority="2"/>
    <cfRule type="duplicateValues" dxfId="16" priority="3"/>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D9CD4-797E-48C6-AA9C-0B375FD2CB78}">
  <sheetPr codeName="Sheet12"/>
  <dimension ref="A1:K259"/>
  <sheetViews>
    <sheetView workbookViewId="0"/>
  </sheetViews>
  <sheetFormatPr defaultRowHeight="14.45"/>
  <cols>
    <col min="1" max="1" width="11.140625" bestFit="1" customWidth="1"/>
    <col min="2" max="2" width="9.28515625" bestFit="1" customWidth="1"/>
    <col min="3" max="3" width="22.28515625" bestFit="1" customWidth="1"/>
    <col min="4" max="4" width="16.28515625" bestFit="1" customWidth="1"/>
    <col min="10" max="10" width="31.140625" bestFit="1" customWidth="1"/>
    <col min="11" max="11" width="19.140625" bestFit="1" customWidth="1"/>
  </cols>
  <sheetData>
    <row r="1" spans="1:11">
      <c r="A1" t="s">
        <v>7</v>
      </c>
      <c r="B1" t="s">
        <v>10</v>
      </c>
      <c r="C1" t="s">
        <v>1576</v>
      </c>
      <c r="D1" t="s">
        <v>1577</v>
      </c>
      <c r="E1" t="s">
        <v>1578</v>
      </c>
      <c r="J1" s="51" t="s">
        <v>10</v>
      </c>
      <c r="K1" t="s">
        <v>1579</v>
      </c>
    </row>
    <row r="2" spans="1:11">
      <c r="A2" cm="1">
        <f t="array" ref="A2:A259">Tracker[DCR ID - PTC]</f>
        <v>19758513</v>
      </c>
      <c r="B2" t="str" cm="1">
        <f t="array" ref="B2:B259">Tracker[PRCRState]</f>
        <v>Implement</v>
      </c>
      <c r="C2" cm="1">
        <f t="array" ref="C2:C259">Tracker[Planned Completion Date
&lt;dd-mm-yyyy&gt;]</f>
        <v>0</v>
      </c>
      <c r="D2" cm="1">
        <f t="array" ref="D2:D259">Tracker[Actual Cmpln Date
&lt;dd-mm-yyyy&gt;]</f>
        <v>0</v>
      </c>
    </row>
    <row r="3" spans="1:11">
      <c r="A3">
        <v>17808035</v>
      </c>
      <c r="B3" t="str">
        <v>Task</v>
      </c>
      <c r="C3">
        <v>0</v>
      </c>
      <c r="D3">
        <v>0</v>
      </c>
      <c r="J3" s="51" t="s">
        <v>1580</v>
      </c>
      <c r="K3" t="s">
        <v>1581</v>
      </c>
    </row>
    <row r="4" spans="1:11">
      <c r="A4">
        <v>19572045</v>
      </c>
      <c r="B4" t="str">
        <v>Evaluate</v>
      </c>
      <c r="C4">
        <v>46163</v>
      </c>
      <c r="D4">
        <v>46175</v>
      </c>
      <c r="J4" s="19" t="s">
        <v>1582</v>
      </c>
      <c r="K4">
        <v>1</v>
      </c>
    </row>
    <row r="5" spans="1:11">
      <c r="A5">
        <v>14468900</v>
      </c>
      <c r="B5">
        <v>0</v>
      </c>
      <c r="C5">
        <v>0</v>
      </c>
      <c r="D5">
        <v>0</v>
      </c>
      <c r="J5" s="19" t="s">
        <v>1583</v>
      </c>
      <c r="K5">
        <v>1</v>
      </c>
    </row>
    <row r="6" spans="1:11">
      <c r="A6">
        <v>17462586</v>
      </c>
      <c r="B6" t="str">
        <v>Task</v>
      </c>
      <c r="C6">
        <v>0</v>
      </c>
      <c r="D6">
        <v>0</v>
      </c>
      <c r="J6" s="19" t="s">
        <v>1584</v>
      </c>
      <c r="K6">
        <v>2</v>
      </c>
    </row>
    <row r="7" spans="1:11">
      <c r="A7">
        <v>17445400</v>
      </c>
      <c r="B7">
        <v>0</v>
      </c>
      <c r="C7">
        <v>0</v>
      </c>
      <c r="D7">
        <v>0</v>
      </c>
      <c r="J7" s="19" t="s">
        <v>1585</v>
      </c>
      <c r="K7">
        <v>1</v>
      </c>
    </row>
    <row r="8" spans="1:11">
      <c r="A8">
        <v>17728181</v>
      </c>
      <c r="B8" t="str">
        <v>Task</v>
      </c>
      <c r="C8">
        <v>0</v>
      </c>
      <c r="D8">
        <v>0</v>
      </c>
      <c r="J8" s="19" t="s">
        <v>1586</v>
      </c>
      <c r="K8">
        <v>2</v>
      </c>
    </row>
    <row r="9" spans="1:11">
      <c r="A9">
        <v>17305532</v>
      </c>
      <c r="B9">
        <v>0</v>
      </c>
      <c r="C9">
        <v>0</v>
      </c>
      <c r="D9">
        <v>0</v>
      </c>
      <c r="J9" s="19" t="s">
        <v>1587</v>
      </c>
      <c r="K9">
        <v>2</v>
      </c>
    </row>
    <row r="10" spans="1:11">
      <c r="A10">
        <v>16826540</v>
      </c>
      <c r="B10" t="str">
        <v>Task</v>
      </c>
      <c r="C10">
        <v>0</v>
      </c>
      <c r="D10">
        <v>0</v>
      </c>
      <c r="J10" s="19" t="s">
        <v>1588</v>
      </c>
      <c r="K10">
        <v>2</v>
      </c>
    </row>
    <row r="11" spans="1:11">
      <c r="A11">
        <v>19131416</v>
      </c>
      <c r="B11" t="str">
        <v>Implement</v>
      </c>
      <c r="C11">
        <v>0</v>
      </c>
      <c r="D11">
        <v>0</v>
      </c>
      <c r="J11" s="19" t="s">
        <v>1589</v>
      </c>
      <c r="K11">
        <v>1</v>
      </c>
    </row>
    <row r="12" spans="1:11">
      <c r="A12">
        <v>19579019</v>
      </c>
      <c r="B12" t="str">
        <v>Evaluate</v>
      </c>
      <c r="C12">
        <v>46149</v>
      </c>
      <c r="D12">
        <v>46149</v>
      </c>
      <c r="J12" s="19" t="s">
        <v>1590</v>
      </c>
      <c r="K12">
        <v>1</v>
      </c>
    </row>
    <row r="13" spans="1:11">
      <c r="A13">
        <v>18920541</v>
      </c>
      <c r="B13" t="str">
        <v>Task</v>
      </c>
      <c r="C13">
        <v>0</v>
      </c>
      <c r="D13">
        <v>0</v>
      </c>
      <c r="J13" s="19" t="s">
        <v>1591</v>
      </c>
      <c r="K13">
        <v>1</v>
      </c>
    </row>
    <row r="14" spans="1:11">
      <c r="A14">
        <v>18137175</v>
      </c>
      <c r="B14" t="str">
        <v>Task</v>
      </c>
      <c r="C14">
        <v>0</v>
      </c>
      <c r="D14">
        <v>0</v>
      </c>
      <c r="J14" s="19" t="s">
        <v>1592</v>
      </c>
      <c r="K14">
        <v>2</v>
      </c>
    </row>
    <row r="15" spans="1:11">
      <c r="A15">
        <v>17649144</v>
      </c>
      <c r="B15" t="str">
        <v>Task</v>
      </c>
      <c r="C15">
        <v>0</v>
      </c>
      <c r="D15">
        <v>0</v>
      </c>
      <c r="J15" s="19" t="s">
        <v>1593</v>
      </c>
      <c r="K15">
        <v>2</v>
      </c>
    </row>
    <row r="16" spans="1:11">
      <c r="A16">
        <v>18664459</v>
      </c>
      <c r="B16" t="str">
        <v>Task</v>
      </c>
      <c r="C16">
        <v>0</v>
      </c>
      <c r="D16">
        <v>0</v>
      </c>
      <c r="J16" s="19" t="s">
        <v>1594</v>
      </c>
      <c r="K16">
        <v>1</v>
      </c>
    </row>
    <row r="17" spans="1:11">
      <c r="A17">
        <v>19579019</v>
      </c>
      <c r="B17" t="str">
        <v>Implement</v>
      </c>
      <c r="C17">
        <v>46157</v>
      </c>
      <c r="D17">
        <v>46157</v>
      </c>
      <c r="J17" s="19" t="s">
        <v>1595</v>
      </c>
      <c r="K17">
        <v>3</v>
      </c>
    </row>
    <row r="18" spans="1:11">
      <c r="A18">
        <v>19026292</v>
      </c>
      <c r="B18" t="str">
        <v>Implement</v>
      </c>
      <c r="C18">
        <v>46157</v>
      </c>
      <c r="D18">
        <v>46157</v>
      </c>
      <c r="J18" s="19" t="s">
        <v>1596</v>
      </c>
      <c r="K18">
        <v>2</v>
      </c>
    </row>
    <row r="19" spans="1:11">
      <c r="A19">
        <v>19574220</v>
      </c>
      <c r="B19" t="str">
        <v>Task</v>
      </c>
      <c r="C19">
        <v>0</v>
      </c>
      <c r="D19">
        <v>0</v>
      </c>
      <c r="J19" s="19" t="s">
        <v>1597</v>
      </c>
      <c r="K19">
        <v>1</v>
      </c>
    </row>
    <row r="20" spans="1:11">
      <c r="A20">
        <v>18947608</v>
      </c>
      <c r="B20" t="str">
        <v>Task</v>
      </c>
      <c r="C20">
        <v>0</v>
      </c>
      <c r="D20">
        <v>0</v>
      </c>
      <c r="J20" s="19" t="s">
        <v>1598</v>
      </c>
      <c r="K20">
        <v>2</v>
      </c>
    </row>
    <row r="21" spans="1:11">
      <c r="A21">
        <v>19462855</v>
      </c>
      <c r="B21" t="str">
        <v>Task</v>
      </c>
      <c r="C21">
        <v>46157</v>
      </c>
      <c r="D21">
        <v>46157</v>
      </c>
      <c r="J21" s="19" t="s">
        <v>125</v>
      </c>
      <c r="K21">
        <v>24</v>
      </c>
    </row>
    <row r="22" spans="1:11">
      <c r="A22">
        <v>18644099</v>
      </c>
      <c r="B22" t="str">
        <v>Implement_NA</v>
      </c>
      <c r="C22">
        <v>0</v>
      </c>
      <c r="D22">
        <v>0</v>
      </c>
      <c r="J22" s="93">
        <v>0</v>
      </c>
      <c r="K22">
        <v>71</v>
      </c>
    </row>
    <row r="23" spans="1:11">
      <c r="A23">
        <v>7609827</v>
      </c>
      <c r="B23">
        <v>0</v>
      </c>
      <c r="C23">
        <v>0</v>
      </c>
      <c r="D23">
        <v>0</v>
      </c>
      <c r="J23" s="94">
        <v>45505</v>
      </c>
      <c r="K23">
        <v>1</v>
      </c>
    </row>
    <row r="24" spans="1:11">
      <c r="A24">
        <v>11969665</v>
      </c>
      <c r="B24">
        <v>0</v>
      </c>
      <c r="C24">
        <v>0</v>
      </c>
      <c r="D24">
        <v>0</v>
      </c>
      <c r="J24" s="94">
        <v>45507</v>
      </c>
      <c r="K24">
        <v>1</v>
      </c>
    </row>
    <row r="25" spans="1:11">
      <c r="A25">
        <v>12217539</v>
      </c>
      <c r="B25">
        <v>0</v>
      </c>
      <c r="C25">
        <v>0</v>
      </c>
      <c r="D25">
        <v>0</v>
      </c>
      <c r="J25" s="94">
        <v>45509</v>
      </c>
      <c r="K25">
        <v>1</v>
      </c>
    </row>
    <row r="26" spans="1:11">
      <c r="A26">
        <v>12341669</v>
      </c>
      <c r="B26">
        <v>0</v>
      </c>
      <c r="C26">
        <v>0</v>
      </c>
      <c r="D26">
        <v>0</v>
      </c>
      <c r="J26" s="94">
        <v>45512</v>
      </c>
      <c r="K26">
        <v>1</v>
      </c>
    </row>
    <row r="27" spans="1:11">
      <c r="A27">
        <v>12341679</v>
      </c>
      <c r="B27">
        <v>0</v>
      </c>
      <c r="C27">
        <v>0</v>
      </c>
      <c r="D27">
        <v>0</v>
      </c>
      <c r="J27" s="94">
        <v>45516</v>
      </c>
      <c r="K27">
        <v>1</v>
      </c>
    </row>
    <row r="28" spans="1:11">
      <c r="A28">
        <v>12487553</v>
      </c>
      <c r="B28">
        <v>0</v>
      </c>
      <c r="C28">
        <v>0</v>
      </c>
      <c r="D28">
        <v>0</v>
      </c>
      <c r="J28" s="94">
        <v>45526</v>
      </c>
      <c r="K28">
        <v>1</v>
      </c>
    </row>
    <row r="29" spans="1:11">
      <c r="A29">
        <v>12995062</v>
      </c>
      <c r="B29">
        <v>0</v>
      </c>
      <c r="C29">
        <v>0</v>
      </c>
      <c r="D29">
        <v>0</v>
      </c>
      <c r="J29" s="94">
        <v>45527</v>
      </c>
      <c r="K29">
        <v>1</v>
      </c>
    </row>
    <row r="30" spans="1:11">
      <c r="A30">
        <v>13046388</v>
      </c>
      <c r="B30">
        <v>0</v>
      </c>
      <c r="C30">
        <v>0</v>
      </c>
      <c r="D30">
        <v>0</v>
      </c>
      <c r="J30" s="94">
        <v>45530</v>
      </c>
      <c r="K30">
        <v>1</v>
      </c>
    </row>
    <row r="31" spans="1:11">
      <c r="A31">
        <v>13079054</v>
      </c>
      <c r="B31">
        <v>0</v>
      </c>
      <c r="C31">
        <v>0</v>
      </c>
      <c r="D31">
        <v>0</v>
      </c>
      <c r="J31" s="94">
        <v>45533</v>
      </c>
      <c r="K31">
        <v>6</v>
      </c>
    </row>
    <row r="32" spans="1:11">
      <c r="A32">
        <v>13173306</v>
      </c>
      <c r="B32">
        <v>0</v>
      </c>
      <c r="C32">
        <v>0</v>
      </c>
      <c r="D32">
        <v>0</v>
      </c>
      <c r="J32" s="94">
        <v>45534</v>
      </c>
      <c r="K32">
        <v>7</v>
      </c>
    </row>
    <row r="33" spans="1:11">
      <c r="A33">
        <v>12942193</v>
      </c>
      <c r="B33">
        <v>0</v>
      </c>
      <c r="C33">
        <v>0</v>
      </c>
      <c r="D33">
        <v>0</v>
      </c>
      <c r="J33" s="94">
        <v>45535</v>
      </c>
      <c r="K33">
        <v>2</v>
      </c>
    </row>
    <row r="34" spans="1:11">
      <c r="A34">
        <v>11571818</v>
      </c>
      <c r="B34">
        <v>0</v>
      </c>
      <c r="C34">
        <v>0</v>
      </c>
      <c r="D34">
        <v>0</v>
      </c>
      <c r="J34" s="94">
        <v>45537</v>
      </c>
      <c r="K34">
        <v>1</v>
      </c>
    </row>
    <row r="35" spans="1:11">
      <c r="A35">
        <v>13318844</v>
      </c>
      <c r="B35">
        <v>0</v>
      </c>
      <c r="C35">
        <v>0</v>
      </c>
      <c r="D35">
        <v>0</v>
      </c>
      <c r="J35" s="94">
        <v>45542</v>
      </c>
      <c r="K35">
        <v>2</v>
      </c>
    </row>
    <row r="36" spans="1:11">
      <c r="A36">
        <v>13071268</v>
      </c>
      <c r="B36">
        <v>0</v>
      </c>
      <c r="C36">
        <v>0</v>
      </c>
      <c r="D36">
        <v>0</v>
      </c>
      <c r="J36" s="94">
        <v>45544</v>
      </c>
      <c r="K36">
        <v>11</v>
      </c>
    </row>
    <row r="37" spans="1:11">
      <c r="A37">
        <v>13151019</v>
      </c>
      <c r="B37">
        <v>0</v>
      </c>
      <c r="C37">
        <v>0</v>
      </c>
      <c r="D37">
        <v>0</v>
      </c>
      <c r="J37" s="94">
        <v>45545</v>
      </c>
      <c r="K37">
        <v>7</v>
      </c>
    </row>
    <row r="38" spans="1:11">
      <c r="A38">
        <v>18490976</v>
      </c>
      <c r="B38" t="str">
        <v>Implement_NA</v>
      </c>
      <c r="C38">
        <v>0</v>
      </c>
      <c r="D38">
        <v>0</v>
      </c>
      <c r="J38" s="94">
        <v>45546</v>
      </c>
      <c r="K38">
        <v>6</v>
      </c>
    </row>
    <row r="39" spans="1:11">
      <c r="A39">
        <v>19226704</v>
      </c>
      <c r="B39" t="str">
        <v>Evaluate</v>
      </c>
      <c r="C39">
        <v>0</v>
      </c>
      <c r="D39">
        <v>0</v>
      </c>
      <c r="J39" s="94">
        <v>45547</v>
      </c>
      <c r="K39">
        <v>4</v>
      </c>
    </row>
    <row r="40" spans="1:11">
      <c r="A40">
        <v>19515645</v>
      </c>
      <c r="B40" t="str">
        <v>Implement</v>
      </c>
      <c r="C40">
        <v>46150</v>
      </c>
      <c r="D40">
        <v>46154</v>
      </c>
      <c r="J40" s="94">
        <v>45548</v>
      </c>
      <c r="K40">
        <v>3</v>
      </c>
    </row>
    <row r="41" spans="1:11">
      <c r="A41">
        <v>19442852</v>
      </c>
      <c r="B41" t="str">
        <v>Implement</v>
      </c>
      <c r="C41">
        <v>0</v>
      </c>
      <c r="D41">
        <v>0</v>
      </c>
      <c r="J41" s="94">
        <v>45551</v>
      </c>
      <c r="K41">
        <v>3</v>
      </c>
    </row>
    <row r="42" spans="1:11">
      <c r="A42">
        <v>18849299</v>
      </c>
      <c r="B42" t="str">
        <v>Task</v>
      </c>
      <c r="C42">
        <v>0</v>
      </c>
      <c r="D42">
        <v>0</v>
      </c>
      <c r="J42" s="94">
        <v>45552</v>
      </c>
      <c r="K42">
        <v>1</v>
      </c>
    </row>
    <row r="43" spans="1:11">
      <c r="A43">
        <v>19269141</v>
      </c>
      <c r="B43" t="str">
        <v>Task</v>
      </c>
      <c r="C43">
        <v>0</v>
      </c>
      <c r="D43">
        <v>0</v>
      </c>
      <c r="J43" s="94">
        <v>45553</v>
      </c>
      <c r="K43">
        <v>2</v>
      </c>
    </row>
    <row r="44" spans="1:11">
      <c r="A44">
        <v>17784610</v>
      </c>
      <c r="B44" t="str">
        <v>Task</v>
      </c>
      <c r="C44">
        <v>0</v>
      </c>
      <c r="D44">
        <v>0</v>
      </c>
      <c r="J44" s="94">
        <v>45554</v>
      </c>
      <c r="K44">
        <v>4</v>
      </c>
    </row>
    <row r="45" spans="1:11">
      <c r="A45">
        <v>18387962</v>
      </c>
      <c r="B45" t="str">
        <v>Implement_NA</v>
      </c>
      <c r="C45">
        <v>0</v>
      </c>
      <c r="D45">
        <v>0</v>
      </c>
      <c r="J45" s="94">
        <v>45555</v>
      </c>
      <c r="K45">
        <v>2</v>
      </c>
    </row>
    <row r="46" spans="1:11">
      <c r="A46">
        <v>19229743</v>
      </c>
      <c r="B46" t="str">
        <v>Evaluate_NA</v>
      </c>
      <c r="C46">
        <v>0</v>
      </c>
      <c r="D46">
        <v>0</v>
      </c>
      <c r="J46" s="94">
        <v>45559</v>
      </c>
      <c r="K46">
        <v>1</v>
      </c>
    </row>
    <row r="47" spans="1:11">
      <c r="A47">
        <v>15955970</v>
      </c>
      <c r="B47" t="str">
        <v>Task</v>
      </c>
      <c r="C47">
        <v>0</v>
      </c>
      <c r="D47">
        <v>0</v>
      </c>
      <c r="J47" s="94">
        <v>45560</v>
      </c>
      <c r="K47">
        <v>16</v>
      </c>
    </row>
    <row r="48" spans="1:11">
      <c r="A48">
        <v>15929265</v>
      </c>
      <c r="B48" t="str">
        <v>Task</v>
      </c>
      <c r="C48">
        <v>0</v>
      </c>
      <c r="D48">
        <v>0</v>
      </c>
      <c r="J48" s="94">
        <v>45561</v>
      </c>
      <c r="K48">
        <v>1</v>
      </c>
    </row>
    <row r="49" spans="1:11">
      <c r="A49">
        <v>14671966</v>
      </c>
      <c r="B49" t="str">
        <v>Task</v>
      </c>
      <c r="C49">
        <v>46177</v>
      </c>
      <c r="D49">
        <v>46177</v>
      </c>
      <c r="J49" s="94">
        <v>45562</v>
      </c>
      <c r="K49">
        <v>11</v>
      </c>
    </row>
    <row r="50" spans="1:11">
      <c r="A50">
        <v>19229743</v>
      </c>
      <c r="B50" t="str">
        <v>Implement_NA</v>
      </c>
      <c r="C50">
        <v>0</v>
      </c>
      <c r="D50">
        <v>0</v>
      </c>
      <c r="J50" s="94">
        <v>45565</v>
      </c>
      <c r="K50">
        <v>12</v>
      </c>
    </row>
    <row r="51" spans="1:11">
      <c r="A51">
        <v>18490944</v>
      </c>
      <c r="B51" t="str">
        <v>Implement_NA</v>
      </c>
      <c r="C51">
        <v>0</v>
      </c>
      <c r="D51">
        <v>0</v>
      </c>
      <c r="J51" s="94">
        <v>45566</v>
      </c>
      <c r="K51">
        <v>2</v>
      </c>
    </row>
    <row r="52" spans="1:11">
      <c r="A52">
        <v>18387946</v>
      </c>
      <c r="B52" t="str">
        <v>Implement_NA</v>
      </c>
      <c r="C52">
        <v>0</v>
      </c>
      <c r="D52">
        <v>0</v>
      </c>
      <c r="J52" s="94">
        <v>45568</v>
      </c>
      <c r="K52">
        <v>3</v>
      </c>
    </row>
    <row r="53" spans="1:11">
      <c r="A53">
        <v>18387954</v>
      </c>
      <c r="B53" t="str">
        <v>Implement_NA</v>
      </c>
      <c r="C53">
        <v>0</v>
      </c>
      <c r="D53">
        <v>0</v>
      </c>
      <c r="J53" s="94">
        <v>45569</v>
      </c>
      <c r="K53">
        <v>6</v>
      </c>
    </row>
    <row r="54" spans="1:11">
      <c r="A54">
        <v>19555923</v>
      </c>
      <c r="B54" t="str">
        <v>Implement</v>
      </c>
      <c r="C54">
        <v>46175</v>
      </c>
      <c r="D54">
        <v>46176</v>
      </c>
      <c r="J54" s="94">
        <v>45572</v>
      </c>
      <c r="K54">
        <v>2</v>
      </c>
    </row>
    <row r="55" spans="1:11">
      <c r="A55">
        <v>17386788</v>
      </c>
      <c r="B55" t="str">
        <v>Task_NA</v>
      </c>
      <c r="C55">
        <v>0</v>
      </c>
      <c r="D55">
        <v>0</v>
      </c>
      <c r="J55" s="94">
        <v>45574</v>
      </c>
      <c r="K55">
        <v>3</v>
      </c>
    </row>
    <row r="56" spans="1:11">
      <c r="A56">
        <v>19532824</v>
      </c>
      <c r="B56" t="str">
        <v>Implement</v>
      </c>
      <c r="C56">
        <v>46164</v>
      </c>
      <c r="D56">
        <v>46164</v>
      </c>
      <c r="J56" s="94">
        <v>45575</v>
      </c>
      <c r="K56">
        <v>6</v>
      </c>
    </row>
    <row r="57" spans="1:11">
      <c r="A57">
        <v>18035598</v>
      </c>
      <c r="B57" t="str">
        <v>Task</v>
      </c>
      <c r="C57">
        <v>0</v>
      </c>
      <c r="D57">
        <v>0</v>
      </c>
      <c r="J57" s="94">
        <v>45576</v>
      </c>
      <c r="K57">
        <v>3</v>
      </c>
    </row>
    <row r="58" spans="1:11">
      <c r="A58">
        <v>18944494</v>
      </c>
      <c r="B58" t="str">
        <v>Task</v>
      </c>
      <c r="C58">
        <v>0</v>
      </c>
      <c r="D58">
        <v>0</v>
      </c>
      <c r="J58" s="94">
        <v>45577</v>
      </c>
      <c r="K58">
        <v>3</v>
      </c>
    </row>
    <row r="59" spans="1:11">
      <c r="A59">
        <v>17773433</v>
      </c>
      <c r="B59" t="str">
        <v>Task</v>
      </c>
      <c r="C59">
        <v>0</v>
      </c>
      <c r="D59">
        <v>0</v>
      </c>
      <c r="J59" s="94">
        <v>45580</v>
      </c>
      <c r="K59">
        <v>4</v>
      </c>
    </row>
    <row r="60" spans="1:11">
      <c r="A60">
        <v>15022706</v>
      </c>
      <c r="B60" t="str">
        <v>Task_NA</v>
      </c>
      <c r="C60">
        <v>0</v>
      </c>
      <c r="D60">
        <v>0</v>
      </c>
      <c r="J60" s="94">
        <v>45583</v>
      </c>
      <c r="K60">
        <v>8</v>
      </c>
    </row>
    <row r="61" spans="1:11">
      <c r="A61">
        <v>15194389</v>
      </c>
      <c r="B61">
        <v>0</v>
      </c>
      <c r="C61">
        <v>0</v>
      </c>
      <c r="D61">
        <v>0</v>
      </c>
      <c r="J61" s="94">
        <v>45588</v>
      </c>
      <c r="K61">
        <v>5</v>
      </c>
    </row>
    <row r="62" spans="1:11">
      <c r="A62">
        <v>15194491</v>
      </c>
      <c r="B62">
        <v>0</v>
      </c>
      <c r="C62">
        <v>0</v>
      </c>
      <c r="D62">
        <v>0</v>
      </c>
      <c r="J62" s="94">
        <v>45589</v>
      </c>
      <c r="K62">
        <v>1</v>
      </c>
    </row>
    <row r="63" spans="1:11">
      <c r="A63">
        <v>15194636</v>
      </c>
      <c r="B63">
        <v>0</v>
      </c>
      <c r="C63">
        <v>0</v>
      </c>
      <c r="D63">
        <v>0</v>
      </c>
      <c r="J63" s="94">
        <v>45590</v>
      </c>
      <c r="K63">
        <v>20</v>
      </c>
    </row>
    <row r="64" spans="1:11">
      <c r="A64">
        <v>15194642</v>
      </c>
      <c r="B64">
        <v>0</v>
      </c>
      <c r="C64">
        <v>0</v>
      </c>
      <c r="D64">
        <v>0</v>
      </c>
      <c r="J64" s="94">
        <v>45591</v>
      </c>
      <c r="K64">
        <v>2</v>
      </c>
    </row>
    <row r="65" spans="1:11">
      <c r="A65">
        <v>19450352</v>
      </c>
      <c r="B65" t="str">
        <v>Evaluate_NA</v>
      </c>
      <c r="C65">
        <v>0</v>
      </c>
      <c r="D65">
        <v>0</v>
      </c>
      <c r="J65" s="94">
        <v>45593</v>
      </c>
      <c r="K65">
        <v>5</v>
      </c>
    </row>
    <row r="66" spans="1:11">
      <c r="A66">
        <v>17817270</v>
      </c>
      <c r="B66" t="str">
        <v>Implement_NA</v>
      </c>
      <c r="C66">
        <v>0</v>
      </c>
      <c r="D66">
        <v>0</v>
      </c>
      <c r="J66" s="94">
        <v>45595</v>
      </c>
      <c r="K66">
        <v>1</v>
      </c>
    </row>
    <row r="67" spans="1:11">
      <c r="A67">
        <v>17151985</v>
      </c>
      <c r="B67" t="str">
        <v>Task</v>
      </c>
      <c r="C67">
        <v>0</v>
      </c>
      <c r="D67">
        <v>0</v>
      </c>
      <c r="J67" s="94">
        <v>45596</v>
      </c>
      <c r="K67">
        <v>9</v>
      </c>
    </row>
    <row r="68" spans="1:11">
      <c r="A68">
        <v>18880503</v>
      </c>
      <c r="B68" t="str">
        <v>Implement</v>
      </c>
      <c r="C68">
        <v>46164</v>
      </c>
      <c r="D68">
        <v>46167</v>
      </c>
      <c r="J68" s="94">
        <v>45600</v>
      </c>
      <c r="K68">
        <v>4</v>
      </c>
    </row>
    <row r="69" spans="1:11">
      <c r="A69">
        <v>18216449</v>
      </c>
      <c r="B69" t="str">
        <v>Task</v>
      </c>
      <c r="C69">
        <v>0</v>
      </c>
      <c r="D69">
        <v>0</v>
      </c>
      <c r="J69" s="94">
        <v>45602</v>
      </c>
      <c r="K69">
        <v>2</v>
      </c>
    </row>
    <row r="70" spans="1:11">
      <c r="A70">
        <v>8085369</v>
      </c>
      <c r="B70">
        <v>0</v>
      </c>
      <c r="C70">
        <v>0</v>
      </c>
      <c r="D70">
        <v>0</v>
      </c>
      <c r="J70" s="94">
        <v>45609</v>
      </c>
      <c r="K70">
        <v>1</v>
      </c>
    </row>
    <row r="71" spans="1:11">
      <c r="A71">
        <v>11978560</v>
      </c>
      <c r="B71">
        <v>0</v>
      </c>
      <c r="C71">
        <v>0</v>
      </c>
      <c r="D71">
        <v>0</v>
      </c>
      <c r="J71" s="94">
        <v>45611</v>
      </c>
      <c r="K71">
        <v>3</v>
      </c>
    </row>
    <row r="72" spans="1:11">
      <c r="A72">
        <v>11978892</v>
      </c>
      <c r="B72">
        <v>0</v>
      </c>
      <c r="C72">
        <v>0</v>
      </c>
      <c r="D72">
        <v>0</v>
      </c>
      <c r="J72" s="94">
        <v>45615</v>
      </c>
      <c r="K72">
        <v>1</v>
      </c>
    </row>
    <row r="73" spans="1:11">
      <c r="A73">
        <v>12383995</v>
      </c>
      <c r="B73">
        <v>0</v>
      </c>
      <c r="C73">
        <v>0</v>
      </c>
      <c r="D73">
        <v>0</v>
      </c>
      <c r="J73" s="94">
        <v>45616</v>
      </c>
      <c r="K73">
        <v>3</v>
      </c>
    </row>
    <row r="74" spans="1:11">
      <c r="A74">
        <v>13325900</v>
      </c>
      <c r="B74">
        <v>0</v>
      </c>
      <c r="C74">
        <v>0</v>
      </c>
      <c r="D74">
        <v>0</v>
      </c>
      <c r="J74" s="94">
        <v>45641</v>
      </c>
      <c r="K74">
        <v>1</v>
      </c>
    </row>
    <row r="75" spans="1:11">
      <c r="A75">
        <v>13753031</v>
      </c>
      <c r="B75">
        <v>0</v>
      </c>
      <c r="C75">
        <v>0</v>
      </c>
      <c r="D75">
        <v>0</v>
      </c>
      <c r="J75" s="19" t="s">
        <v>1599</v>
      </c>
      <c r="K75">
        <v>330</v>
      </c>
    </row>
    <row r="76" spans="1:11">
      <c r="A76">
        <v>13779219</v>
      </c>
      <c r="B76">
        <v>0</v>
      </c>
      <c r="C76">
        <v>0</v>
      </c>
      <c r="D76">
        <v>0</v>
      </c>
    </row>
    <row r="77" spans="1:11">
      <c r="A77">
        <v>14114589</v>
      </c>
      <c r="B77">
        <v>0</v>
      </c>
      <c r="C77">
        <v>0</v>
      </c>
      <c r="D77">
        <v>0</v>
      </c>
    </row>
    <row r="78" spans="1:11">
      <c r="A78">
        <v>14114621</v>
      </c>
      <c r="B78">
        <v>0</v>
      </c>
      <c r="C78">
        <v>0</v>
      </c>
      <c r="D78">
        <v>0</v>
      </c>
    </row>
    <row r="79" spans="1:11">
      <c r="A79">
        <v>14744133</v>
      </c>
      <c r="B79">
        <v>0</v>
      </c>
      <c r="C79">
        <v>0</v>
      </c>
      <c r="D79">
        <v>0</v>
      </c>
    </row>
    <row r="80" spans="1:11">
      <c r="A80">
        <v>14847366</v>
      </c>
      <c r="B80">
        <v>0</v>
      </c>
      <c r="C80">
        <v>0</v>
      </c>
      <c r="D80">
        <v>0</v>
      </c>
    </row>
    <row r="81" spans="1:4">
      <c r="A81">
        <v>14931436</v>
      </c>
      <c r="B81">
        <v>0</v>
      </c>
      <c r="C81">
        <v>0</v>
      </c>
      <c r="D81">
        <v>0</v>
      </c>
    </row>
    <row r="82" spans="1:4">
      <c r="A82">
        <v>15123510</v>
      </c>
      <c r="B82">
        <v>0</v>
      </c>
      <c r="C82">
        <v>0</v>
      </c>
      <c r="D82">
        <v>0</v>
      </c>
    </row>
    <row r="83" spans="1:4">
      <c r="A83">
        <v>15123512</v>
      </c>
      <c r="B83">
        <v>0</v>
      </c>
      <c r="C83">
        <v>0</v>
      </c>
      <c r="D83">
        <v>0</v>
      </c>
    </row>
    <row r="84" spans="1:4">
      <c r="A84">
        <v>15123513</v>
      </c>
      <c r="B84">
        <v>0</v>
      </c>
      <c r="C84">
        <v>0</v>
      </c>
      <c r="D84">
        <v>0</v>
      </c>
    </row>
    <row r="85" spans="1:4">
      <c r="A85">
        <v>15123514</v>
      </c>
      <c r="B85">
        <v>0</v>
      </c>
      <c r="C85">
        <v>0</v>
      </c>
      <c r="D85">
        <v>0</v>
      </c>
    </row>
    <row r="86" spans="1:4">
      <c r="A86">
        <v>15599977</v>
      </c>
      <c r="B86">
        <v>0</v>
      </c>
      <c r="C86">
        <v>0</v>
      </c>
      <c r="D86">
        <v>0</v>
      </c>
    </row>
    <row r="87" spans="1:4">
      <c r="A87">
        <v>16484890</v>
      </c>
      <c r="B87">
        <v>0</v>
      </c>
      <c r="C87">
        <v>0</v>
      </c>
      <c r="D87">
        <v>0</v>
      </c>
    </row>
    <row r="88" spans="1:4">
      <c r="A88">
        <v>18651276</v>
      </c>
      <c r="B88">
        <v>0</v>
      </c>
      <c r="C88">
        <v>0</v>
      </c>
      <c r="D88">
        <v>0</v>
      </c>
    </row>
    <row r="89" spans="1:4">
      <c r="A89">
        <v>5525332</v>
      </c>
      <c r="B89">
        <v>0</v>
      </c>
      <c r="C89">
        <v>0</v>
      </c>
      <c r="D89">
        <v>0</v>
      </c>
    </row>
    <row r="90" spans="1:4">
      <c r="A90">
        <v>15554144</v>
      </c>
      <c r="B90">
        <v>0</v>
      </c>
      <c r="C90">
        <v>0</v>
      </c>
      <c r="D90">
        <v>0</v>
      </c>
    </row>
    <row r="91" spans="1:4">
      <c r="A91">
        <v>13153843</v>
      </c>
      <c r="B91">
        <v>0</v>
      </c>
      <c r="C91">
        <v>0</v>
      </c>
      <c r="D91">
        <v>0</v>
      </c>
    </row>
    <row r="92" spans="1:4">
      <c r="A92">
        <v>15756823</v>
      </c>
      <c r="B92">
        <v>0</v>
      </c>
      <c r="C92">
        <v>0</v>
      </c>
      <c r="D92">
        <v>0</v>
      </c>
    </row>
    <row r="93" spans="1:4">
      <c r="A93">
        <v>12933353</v>
      </c>
      <c r="B93">
        <v>0</v>
      </c>
      <c r="C93">
        <v>0</v>
      </c>
      <c r="D93">
        <v>0</v>
      </c>
    </row>
    <row r="94" spans="1:4">
      <c r="A94">
        <v>13130251</v>
      </c>
      <c r="B94">
        <v>0</v>
      </c>
      <c r="C94">
        <v>0</v>
      </c>
      <c r="D94">
        <v>0</v>
      </c>
    </row>
    <row r="95" spans="1:4">
      <c r="A95">
        <v>13129138</v>
      </c>
      <c r="B95">
        <v>0</v>
      </c>
      <c r="C95">
        <v>0</v>
      </c>
      <c r="D95">
        <v>0</v>
      </c>
    </row>
    <row r="96" spans="1:4">
      <c r="A96">
        <v>13129388</v>
      </c>
      <c r="B96">
        <v>0</v>
      </c>
      <c r="C96">
        <v>0</v>
      </c>
      <c r="D96">
        <v>0</v>
      </c>
    </row>
    <row r="97" spans="1:4">
      <c r="A97">
        <v>12721478</v>
      </c>
      <c r="B97">
        <v>0</v>
      </c>
      <c r="C97">
        <v>0</v>
      </c>
      <c r="D97">
        <v>0</v>
      </c>
    </row>
    <row r="98" spans="1:4">
      <c r="A98">
        <v>17311990</v>
      </c>
      <c r="B98">
        <v>0</v>
      </c>
      <c r="C98">
        <v>0</v>
      </c>
      <c r="D98">
        <v>0</v>
      </c>
    </row>
    <row r="99" spans="1:4">
      <c r="A99">
        <v>16070941</v>
      </c>
      <c r="B99">
        <v>0</v>
      </c>
      <c r="C99">
        <v>0</v>
      </c>
      <c r="D99">
        <v>0</v>
      </c>
    </row>
    <row r="100" spans="1:4">
      <c r="A100">
        <v>17270728</v>
      </c>
      <c r="B100" t="str">
        <v>Task</v>
      </c>
      <c r="C100">
        <v>0</v>
      </c>
      <c r="D100">
        <v>0</v>
      </c>
    </row>
    <row r="101" spans="1:4">
      <c r="A101">
        <v>16824279</v>
      </c>
      <c r="B101">
        <v>0</v>
      </c>
      <c r="C101">
        <v>0</v>
      </c>
      <c r="D101">
        <v>0</v>
      </c>
    </row>
    <row r="102" spans="1:4">
      <c r="A102">
        <v>17551019</v>
      </c>
      <c r="B102" t="str">
        <v>Task</v>
      </c>
      <c r="C102">
        <v>0</v>
      </c>
      <c r="D102">
        <v>0</v>
      </c>
    </row>
    <row r="103" spans="1:4">
      <c r="A103">
        <v>18919143</v>
      </c>
      <c r="B103" t="str">
        <v>Task</v>
      </c>
      <c r="C103">
        <v>0</v>
      </c>
      <c r="D103">
        <v>0</v>
      </c>
    </row>
    <row r="104" spans="1:4">
      <c r="A104">
        <v>18656113</v>
      </c>
      <c r="B104" t="str">
        <v>Task</v>
      </c>
      <c r="C104">
        <v>0</v>
      </c>
      <c r="D104">
        <v>0</v>
      </c>
    </row>
    <row r="105" spans="1:4">
      <c r="A105">
        <v>19340545</v>
      </c>
      <c r="B105" t="str">
        <v>Implement</v>
      </c>
      <c r="C105">
        <v>0</v>
      </c>
      <c r="D105">
        <v>0</v>
      </c>
    </row>
    <row r="106" spans="1:4">
      <c r="A106">
        <v>19340756</v>
      </c>
      <c r="B106" t="str">
        <v>Implement</v>
      </c>
      <c r="C106">
        <v>0</v>
      </c>
      <c r="D106">
        <v>0</v>
      </c>
    </row>
    <row r="107" spans="1:4">
      <c r="A107">
        <v>19340781</v>
      </c>
      <c r="B107" t="str">
        <v>Implement</v>
      </c>
      <c r="C107">
        <v>0</v>
      </c>
      <c r="D107">
        <v>0</v>
      </c>
    </row>
    <row r="108" spans="1:4">
      <c r="A108">
        <v>19340887</v>
      </c>
      <c r="B108" t="str">
        <v>Implement_NA</v>
      </c>
      <c r="C108">
        <v>0</v>
      </c>
      <c r="D108">
        <v>0</v>
      </c>
    </row>
    <row r="109" spans="1:4">
      <c r="A109">
        <v>19340986</v>
      </c>
      <c r="B109" t="str">
        <v>Implement</v>
      </c>
      <c r="C109">
        <v>0</v>
      </c>
      <c r="D109">
        <v>0</v>
      </c>
    </row>
    <row r="110" spans="1:4">
      <c r="A110">
        <v>19459316</v>
      </c>
      <c r="B110" t="str">
        <v>Evaluate</v>
      </c>
      <c r="C110">
        <v>46154</v>
      </c>
      <c r="D110">
        <v>46155</v>
      </c>
    </row>
    <row r="111" spans="1:4">
      <c r="A111">
        <v>19552762</v>
      </c>
      <c r="B111" t="str">
        <v>Evaluate</v>
      </c>
      <c r="C111">
        <v>46154</v>
      </c>
      <c r="D111">
        <v>46155</v>
      </c>
    </row>
    <row r="112" spans="1:4">
      <c r="A112">
        <v>19532799</v>
      </c>
      <c r="B112" t="str">
        <v>Task</v>
      </c>
      <c r="C112">
        <v>0</v>
      </c>
      <c r="D112">
        <v>0</v>
      </c>
    </row>
    <row r="113" spans="1:4">
      <c r="A113">
        <v>19459316</v>
      </c>
      <c r="B113" t="str">
        <v>Implement</v>
      </c>
      <c r="C113">
        <v>46164</v>
      </c>
      <c r="D113">
        <v>46168</v>
      </c>
    </row>
    <row r="114" spans="1:4">
      <c r="A114">
        <v>19552762</v>
      </c>
      <c r="B114" t="str">
        <v>Implement</v>
      </c>
      <c r="C114">
        <v>46164</v>
      </c>
      <c r="D114">
        <v>46168</v>
      </c>
    </row>
    <row r="115" spans="1:4">
      <c r="A115">
        <v>17625100</v>
      </c>
      <c r="B115" t="str">
        <v>Implement</v>
      </c>
      <c r="C115">
        <v>0</v>
      </c>
      <c r="D115">
        <v>0</v>
      </c>
    </row>
    <row r="116" spans="1:4">
      <c r="A116">
        <v>17625104</v>
      </c>
      <c r="B116" t="str">
        <v>Implement</v>
      </c>
      <c r="C116">
        <v>0</v>
      </c>
      <c r="D116">
        <v>0</v>
      </c>
    </row>
    <row r="117" spans="1:4">
      <c r="A117">
        <v>17119319</v>
      </c>
      <c r="B117">
        <v>0</v>
      </c>
      <c r="C117">
        <v>0</v>
      </c>
      <c r="D117">
        <v>0</v>
      </c>
    </row>
    <row r="118" spans="1:4">
      <c r="A118">
        <v>18480332</v>
      </c>
      <c r="B118">
        <v>0</v>
      </c>
      <c r="C118">
        <v>0</v>
      </c>
      <c r="D118">
        <v>0</v>
      </c>
    </row>
    <row r="119" spans="1:4">
      <c r="A119">
        <v>18901997</v>
      </c>
      <c r="B119" t="str">
        <v>Task</v>
      </c>
      <c r="C119">
        <v>0</v>
      </c>
      <c r="D119">
        <v>0</v>
      </c>
    </row>
    <row r="120" spans="1:4">
      <c r="A120">
        <v>18929504</v>
      </c>
      <c r="B120">
        <v>0</v>
      </c>
      <c r="C120">
        <v>0</v>
      </c>
      <c r="D120">
        <v>0</v>
      </c>
    </row>
    <row r="121" spans="1:4">
      <c r="A121">
        <v>19391708</v>
      </c>
      <c r="B121">
        <v>0</v>
      </c>
      <c r="C121">
        <v>0</v>
      </c>
      <c r="D121">
        <v>0</v>
      </c>
    </row>
    <row r="122" spans="1:4">
      <c r="A122">
        <v>17965355</v>
      </c>
      <c r="B122" t="str">
        <v>Task</v>
      </c>
      <c r="C122">
        <v>0</v>
      </c>
      <c r="D122">
        <v>0</v>
      </c>
    </row>
    <row r="123" spans="1:4">
      <c r="A123">
        <v>19564373</v>
      </c>
      <c r="B123" t="str">
        <v>Evaluate</v>
      </c>
      <c r="C123">
        <v>46157</v>
      </c>
      <c r="D123">
        <v>46160</v>
      </c>
    </row>
    <row r="124" spans="1:4">
      <c r="A124">
        <v>19564373</v>
      </c>
      <c r="B124" t="str">
        <v>Implement</v>
      </c>
      <c r="C124">
        <v>46164</v>
      </c>
      <c r="D124">
        <v>46164</v>
      </c>
    </row>
    <row r="125" spans="1:4">
      <c r="A125">
        <v>15834223</v>
      </c>
      <c r="B125" t="str">
        <v>Task</v>
      </c>
      <c r="C125">
        <v>0</v>
      </c>
      <c r="D125">
        <v>0</v>
      </c>
    </row>
    <row r="126" spans="1:4">
      <c r="A126">
        <v>19553713</v>
      </c>
      <c r="B126" t="str">
        <v>Evaluate</v>
      </c>
      <c r="C126">
        <v>0</v>
      </c>
      <c r="D126">
        <v>0</v>
      </c>
    </row>
    <row r="127" spans="1:4">
      <c r="A127">
        <v>19553713</v>
      </c>
      <c r="B127" t="str">
        <v>Implement</v>
      </c>
      <c r="C127">
        <v>0</v>
      </c>
      <c r="D127">
        <v>0</v>
      </c>
    </row>
    <row r="128" spans="1:4">
      <c r="A128">
        <v>19381827</v>
      </c>
      <c r="B128" t="str">
        <v>Evaluate</v>
      </c>
      <c r="C128">
        <v>0</v>
      </c>
      <c r="D128">
        <v>0</v>
      </c>
    </row>
    <row r="129" spans="1:4">
      <c r="A129">
        <v>19516003</v>
      </c>
      <c r="B129" t="str">
        <v>Evaluate</v>
      </c>
      <c r="C129">
        <v>0</v>
      </c>
      <c r="D129">
        <v>0</v>
      </c>
    </row>
    <row r="130" spans="1:4">
      <c r="A130">
        <v>18860603</v>
      </c>
      <c r="B130" t="str">
        <v>Implement</v>
      </c>
      <c r="C130">
        <v>46153</v>
      </c>
      <c r="D130">
        <v>46153</v>
      </c>
    </row>
    <row r="131" spans="1:4">
      <c r="A131">
        <v>19515995</v>
      </c>
      <c r="B131" t="str">
        <v>Evaluate</v>
      </c>
      <c r="C131">
        <v>0</v>
      </c>
      <c r="D131">
        <v>0</v>
      </c>
    </row>
    <row r="132" spans="1:4">
      <c r="A132">
        <v>19224910</v>
      </c>
      <c r="B132" t="str">
        <v>Task_NA</v>
      </c>
      <c r="C132">
        <v>0</v>
      </c>
      <c r="D132">
        <v>0</v>
      </c>
    </row>
    <row r="133" spans="1:4">
      <c r="A133">
        <v>17303646</v>
      </c>
      <c r="B133" t="str">
        <v>Task</v>
      </c>
      <c r="C133">
        <v>0</v>
      </c>
      <c r="D133">
        <v>0</v>
      </c>
    </row>
    <row r="134" spans="1:4">
      <c r="A134">
        <v>18496892</v>
      </c>
      <c r="B134" t="str">
        <v>Task</v>
      </c>
      <c r="C134">
        <v>46167</v>
      </c>
      <c r="D134">
        <v>46167</v>
      </c>
    </row>
    <row r="135" spans="1:4">
      <c r="A135">
        <v>19381827</v>
      </c>
      <c r="B135" t="str">
        <v>Implement</v>
      </c>
      <c r="C135">
        <v>0</v>
      </c>
      <c r="D135">
        <v>0</v>
      </c>
    </row>
    <row r="136" spans="1:4">
      <c r="A136">
        <v>19448493</v>
      </c>
      <c r="B136" t="str">
        <v>Implement</v>
      </c>
      <c r="C136">
        <v>46157</v>
      </c>
      <c r="D136">
        <v>46158</v>
      </c>
    </row>
    <row r="137" spans="1:4">
      <c r="A137">
        <v>19516003</v>
      </c>
      <c r="B137" t="str">
        <v>Implement</v>
      </c>
      <c r="C137">
        <v>0</v>
      </c>
      <c r="D137">
        <v>0</v>
      </c>
    </row>
    <row r="138" spans="1:4">
      <c r="A138">
        <v>19515995</v>
      </c>
      <c r="B138" t="str">
        <v>Implement</v>
      </c>
      <c r="C138">
        <v>0</v>
      </c>
      <c r="D138">
        <v>0</v>
      </c>
    </row>
    <row r="139" spans="1:4">
      <c r="A139">
        <v>17581155</v>
      </c>
      <c r="B139" t="str">
        <v>Task</v>
      </c>
      <c r="C139">
        <v>0</v>
      </c>
      <c r="D139">
        <v>0</v>
      </c>
    </row>
    <row r="140" spans="1:4">
      <c r="A140">
        <v>17728109</v>
      </c>
      <c r="B140" t="str">
        <v>Task</v>
      </c>
      <c r="C140">
        <v>0</v>
      </c>
      <c r="D140">
        <v>0</v>
      </c>
    </row>
    <row r="141" spans="1:4">
      <c r="A141">
        <v>18453031</v>
      </c>
      <c r="B141" t="str">
        <v>Task</v>
      </c>
      <c r="C141">
        <v>0</v>
      </c>
      <c r="D141">
        <v>0</v>
      </c>
    </row>
    <row r="142" spans="1:4">
      <c r="A142">
        <v>0</v>
      </c>
      <c r="B142" t="str">
        <v>Task</v>
      </c>
      <c r="C142">
        <v>0</v>
      </c>
      <c r="D142">
        <v>0</v>
      </c>
    </row>
    <row r="143" spans="1:4">
      <c r="A143">
        <v>19599644</v>
      </c>
      <c r="B143" t="str">
        <v>Task_NA</v>
      </c>
      <c r="C143">
        <v>0</v>
      </c>
      <c r="D143">
        <v>0</v>
      </c>
    </row>
    <row r="144" spans="1:4">
      <c r="A144">
        <v>18802857</v>
      </c>
      <c r="B144" t="str">
        <v>Evaluate</v>
      </c>
      <c r="C144">
        <v>0</v>
      </c>
      <c r="D144">
        <v>0</v>
      </c>
    </row>
    <row r="145" spans="1:4">
      <c r="A145">
        <v>18815112</v>
      </c>
      <c r="B145" t="str">
        <v>Evaluate</v>
      </c>
      <c r="C145">
        <v>0</v>
      </c>
      <c r="D145">
        <v>0</v>
      </c>
    </row>
    <row r="146" spans="1:4">
      <c r="A146">
        <v>18815112</v>
      </c>
      <c r="B146" t="str">
        <v>Implement</v>
      </c>
      <c r="C146">
        <v>0</v>
      </c>
      <c r="D146">
        <v>0</v>
      </c>
    </row>
    <row r="147" spans="1:4">
      <c r="A147">
        <v>17803153</v>
      </c>
      <c r="B147" t="str">
        <v>Evaluate</v>
      </c>
      <c r="C147">
        <v>0</v>
      </c>
      <c r="D147">
        <v>0</v>
      </c>
    </row>
    <row r="148" spans="1:4">
      <c r="A148">
        <v>17803153</v>
      </c>
      <c r="B148" t="str">
        <v>Implement</v>
      </c>
      <c r="C148">
        <v>0</v>
      </c>
      <c r="D148">
        <v>0</v>
      </c>
    </row>
    <row r="149" spans="1:4">
      <c r="A149">
        <v>16816828</v>
      </c>
      <c r="B149" t="str">
        <v>Implement</v>
      </c>
      <c r="C149">
        <v>46171</v>
      </c>
      <c r="D149">
        <v>46171</v>
      </c>
    </row>
    <row r="150" spans="1:4">
      <c r="A150">
        <v>17112723</v>
      </c>
      <c r="B150" t="str">
        <v>Implement</v>
      </c>
      <c r="C150">
        <v>46171</v>
      </c>
      <c r="D150">
        <v>46171</v>
      </c>
    </row>
    <row r="151" spans="1:4">
      <c r="A151">
        <v>18622558</v>
      </c>
      <c r="B151" t="str">
        <v>Implement</v>
      </c>
      <c r="C151">
        <v>46171</v>
      </c>
      <c r="D151">
        <v>46171</v>
      </c>
    </row>
    <row r="152" spans="1:4">
      <c r="A152">
        <v>18850820</v>
      </c>
      <c r="B152" t="str">
        <v>Implement</v>
      </c>
      <c r="C152">
        <v>46171</v>
      </c>
      <c r="D152">
        <v>46171</v>
      </c>
    </row>
    <row r="153" spans="1:4">
      <c r="A153">
        <v>18986418</v>
      </c>
      <c r="B153" t="str">
        <v>Implement</v>
      </c>
      <c r="C153">
        <v>46171</v>
      </c>
      <c r="D153">
        <v>46171</v>
      </c>
    </row>
    <row r="154" spans="1:4">
      <c r="A154">
        <v>19445226</v>
      </c>
      <c r="B154" t="str">
        <v>Implement</v>
      </c>
      <c r="C154">
        <v>46171</v>
      </c>
      <c r="D154">
        <v>46171</v>
      </c>
    </row>
    <row r="155" spans="1:4">
      <c r="A155">
        <v>18330291</v>
      </c>
      <c r="B155" t="str">
        <v>Implement</v>
      </c>
      <c r="C155">
        <v>46171</v>
      </c>
      <c r="D155">
        <v>46171</v>
      </c>
    </row>
    <row r="156" spans="1:4">
      <c r="A156">
        <v>18652585</v>
      </c>
      <c r="B156" t="str">
        <v>Implement</v>
      </c>
      <c r="C156">
        <v>46171</v>
      </c>
      <c r="D156">
        <v>46171</v>
      </c>
    </row>
    <row r="157" spans="1:4">
      <c r="A157">
        <v>16826530</v>
      </c>
      <c r="B157">
        <v>0</v>
      </c>
      <c r="C157">
        <v>0</v>
      </c>
      <c r="D157">
        <v>0</v>
      </c>
    </row>
    <row r="158" spans="1:4">
      <c r="A158">
        <v>16826535</v>
      </c>
      <c r="B158">
        <v>0</v>
      </c>
      <c r="C158">
        <v>0</v>
      </c>
      <c r="D158">
        <v>0</v>
      </c>
    </row>
    <row r="159" spans="1:4">
      <c r="A159">
        <v>19569485</v>
      </c>
      <c r="B159" t="str">
        <v>Evaluate</v>
      </c>
      <c r="C159">
        <v>46157</v>
      </c>
      <c r="D159">
        <v>46157</v>
      </c>
    </row>
    <row r="160" spans="1:4">
      <c r="A160">
        <v>19509024</v>
      </c>
      <c r="B160" t="str">
        <v>Evaluate</v>
      </c>
      <c r="C160">
        <v>46157</v>
      </c>
      <c r="D160">
        <v>46157</v>
      </c>
    </row>
    <row r="161" spans="1:4">
      <c r="A161">
        <v>19433442</v>
      </c>
      <c r="B161" t="str">
        <v>Task</v>
      </c>
      <c r="C161">
        <v>0</v>
      </c>
      <c r="D161">
        <v>0</v>
      </c>
    </row>
    <row r="162" spans="1:4">
      <c r="A162">
        <v>18306361</v>
      </c>
      <c r="B162" t="str">
        <v>Task</v>
      </c>
      <c r="C162">
        <v>0</v>
      </c>
      <c r="D162">
        <v>0</v>
      </c>
    </row>
    <row r="163" spans="1:4">
      <c r="A163">
        <v>16346866</v>
      </c>
      <c r="B163" t="str">
        <v>Task</v>
      </c>
      <c r="C163">
        <v>0</v>
      </c>
      <c r="D163">
        <v>0</v>
      </c>
    </row>
    <row r="164" spans="1:4">
      <c r="A164">
        <v>19569485</v>
      </c>
      <c r="B164" t="str">
        <v>Implement</v>
      </c>
      <c r="C164">
        <v>46164</v>
      </c>
      <c r="D164">
        <v>46168</v>
      </c>
    </row>
    <row r="165" spans="1:4">
      <c r="A165">
        <v>19509024</v>
      </c>
      <c r="B165" t="str">
        <v>Implement</v>
      </c>
      <c r="C165">
        <v>46164</v>
      </c>
      <c r="D165">
        <v>46168</v>
      </c>
    </row>
    <row r="166" spans="1:4">
      <c r="A166">
        <v>19312547</v>
      </c>
      <c r="B166" t="str">
        <v>Evaluate</v>
      </c>
      <c r="C166">
        <v>46157</v>
      </c>
      <c r="D166">
        <v>46157</v>
      </c>
    </row>
    <row r="167" spans="1:4">
      <c r="A167">
        <v>19312547</v>
      </c>
      <c r="B167" t="str">
        <v>Implement</v>
      </c>
      <c r="C167">
        <v>0</v>
      </c>
      <c r="D167">
        <v>0</v>
      </c>
    </row>
    <row r="168" spans="1:4">
      <c r="A168">
        <v>19163955</v>
      </c>
      <c r="B168" t="str">
        <v>Implement_NA</v>
      </c>
      <c r="C168">
        <v>0</v>
      </c>
      <c r="D168">
        <v>0</v>
      </c>
    </row>
    <row r="169" spans="1:4">
      <c r="A169">
        <v>19634192</v>
      </c>
      <c r="B169" t="str">
        <v>Implement</v>
      </c>
      <c r="C169">
        <v>46170</v>
      </c>
      <c r="D169">
        <v>46171</v>
      </c>
    </row>
    <row r="170" spans="1:4">
      <c r="A170">
        <v>14966080</v>
      </c>
      <c r="B170" t="str">
        <v>Implement_NA</v>
      </c>
      <c r="C170">
        <v>0</v>
      </c>
      <c r="D170">
        <v>0</v>
      </c>
    </row>
    <row r="171" spans="1:4">
      <c r="A171">
        <v>12942271</v>
      </c>
      <c r="B171" t="str">
        <v>Implement_NA</v>
      </c>
      <c r="C171">
        <v>0</v>
      </c>
      <c r="D171">
        <v>0</v>
      </c>
    </row>
    <row r="172" spans="1:4">
      <c r="A172">
        <v>19734138</v>
      </c>
      <c r="B172" t="str">
        <v>Task</v>
      </c>
      <c r="C172">
        <v>0</v>
      </c>
      <c r="D172">
        <v>0</v>
      </c>
    </row>
    <row r="173" spans="1:4">
      <c r="A173">
        <v>19392732</v>
      </c>
      <c r="B173" t="str">
        <v>Evaluate</v>
      </c>
      <c r="C173">
        <v>0</v>
      </c>
      <c r="D173">
        <v>0</v>
      </c>
    </row>
    <row r="174" spans="1:4">
      <c r="A174">
        <v>19392732</v>
      </c>
      <c r="B174" t="str">
        <v>Implement</v>
      </c>
      <c r="C174">
        <v>0</v>
      </c>
      <c r="D174">
        <v>0</v>
      </c>
    </row>
    <row r="175" spans="1:4">
      <c r="A175">
        <v>19657044</v>
      </c>
      <c r="B175" t="str">
        <v>Evaluate</v>
      </c>
      <c r="C175">
        <v>0</v>
      </c>
      <c r="D175">
        <v>0</v>
      </c>
    </row>
    <row r="176" spans="1:4">
      <c r="A176">
        <v>19657044</v>
      </c>
      <c r="B176" t="str">
        <v>Implement</v>
      </c>
      <c r="C176">
        <v>0</v>
      </c>
      <c r="D176">
        <v>0</v>
      </c>
    </row>
    <row r="177" spans="1:4">
      <c r="A177">
        <v>19572045</v>
      </c>
      <c r="B177" t="str">
        <v>Implement</v>
      </c>
      <c r="C177">
        <v>0</v>
      </c>
      <c r="D177">
        <v>0</v>
      </c>
    </row>
    <row r="178" spans="1:4">
      <c r="A178">
        <v>19661917</v>
      </c>
      <c r="B178" t="str">
        <v>Implement</v>
      </c>
      <c r="C178">
        <v>46164</v>
      </c>
      <c r="D178">
        <v>46168</v>
      </c>
    </row>
    <row r="179" spans="1:4">
      <c r="A179">
        <v>18795425</v>
      </c>
      <c r="B179" t="str">
        <v>Evaluate</v>
      </c>
      <c r="C179">
        <v>0</v>
      </c>
      <c r="D179">
        <v>0</v>
      </c>
    </row>
    <row r="180" spans="1:4">
      <c r="A180">
        <v>18795425</v>
      </c>
      <c r="B180" t="str">
        <v>Implement</v>
      </c>
      <c r="C180">
        <v>0</v>
      </c>
      <c r="D180">
        <v>0</v>
      </c>
    </row>
    <row r="181" spans="1:4">
      <c r="A181">
        <v>18505556</v>
      </c>
      <c r="B181" t="str">
        <v>Evaluate</v>
      </c>
      <c r="C181">
        <v>0</v>
      </c>
      <c r="D181">
        <v>0</v>
      </c>
    </row>
    <row r="182" spans="1:4">
      <c r="A182">
        <v>18505556</v>
      </c>
      <c r="B182" t="str">
        <v>Implement</v>
      </c>
      <c r="C182">
        <v>0</v>
      </c>
      <c r="D182">
        <v>0</v>
      </c>
    </row>
    <row r="183" spans="1:4">
      <c r="A183">
        <v>19538930</v>
      </c>
      <c r="B183" t="str">
        <v>Evaluate</v>
      </c>
      <c r="C183">
        <v>0</v>
      </c>
      <c r="D183">
        <v>0</v>
      </c>
    </row>
    <row r="184" spans="1:4">
      <c r="A184">
        <v>19538930</v>
      </c>
      <c r="B184" t="str">
        <v>Implement</v>
      </c>
      <c r="C184">
        <v>0</v>
      </c>
      <c r="D184">
        <v>0</v>
      </c>
    </row>
    <row r="185" spans="1:4">
      <c r="A185">
        <v>19688476</v>
      </c>
      <c r="B185" t="str">
        <v>Implement</v>
      </c>
      <c r="C185">
        <v>46178</v>
      </c>
      <c r="D185">
        <v>46171</v>
      </c>
    </row>
    <row r="186" spans="1:4">
      <c r="A186">
        <v>14528192</v>
      </c>
      <c r="B186" t="str">
        <v>Implement</v>
      </c>
      <c r="C186">
        <v>46171</v>
      </c>
      <c r="D186">
        <v>46169</v>
      </c>
    </row>
    <row r="187" spans="1:4">
      <c r="A187">
        <v>19023103</v>
      </c>
      <c r="B187" t="str">
        <v>Evaluate</v>
      </c>
      <c r="C187">
        <v>0</v>
      </c>
      <c r="D187">
        <v>0</v>
      </c>
    </row>
    <row r="188" spans="1:4">
      <c r="A188">
        <v>19634431</v>
      </c>
      <c r="B188" t="str">
        <v>Implement</v>
      </c>
      <c r="C188">
        <v>0</v>
      </c>
      <c r="D188">
        <v>0</v>
      </c>
    </row>
    <row r="189" spans="1:4">
      <c r="A189">
        <v>0</v>
      </c>
      <c r="B189" t="str">
        <v>Task_NA</v>
      </c>
      <c r="C189">
        <v>0</v>
      </c>
      <c r="D189">
        <v>0</v>
      </c>
    </row>
    <row r="190" spans="1:4">
      <c r="A190">
        <v>19415928</v>
      </c>
      <c r="B190" t="str">
        <v>Evaluate</v>
      </c>
      <c r="C190">
        <v>0</v>
      </c>
      <c r="D190">
        <v>0</v>
      </c>
    </row>
    <row r="191" spans="1:4">
      <c r="A191">
        <v>19415928</v>
      </c>
      <c r="B191" t="str">
        <v>Implement</v>
      </c>
      <c r="C191">
        <v>0</v>
      </c>
      <c r="D191">
        <v>0</v>
      </c>
    </row>
    <row r="192" spans="1:4">
      <c r="A192">
        <v>19578849</v>
      </c>
      <c r="B192" t="str">
        <v>Implement</v>
      </c>
      <c r="C192">
        <v>0</v>
      </c>
      <c r="D192">
        <v>0</v>
      </c>
    </row>
    <row r="193" spans="1:4">
      <c r="A193">
        <v>19499649</v>
      </c>
      <c r="B193" t="str">
        <v>Evaluate</v>
      </c>
      <c r="C193">
        <v>0</v>
      </c>
      <c r="D193">
        <v>0</v>
      </c>
    </row>
    <row r="194" spans="1:4">
      <c r="A194">
        <v>19499649</v>
      </c>
      <c r="B194" t="str">
        <v>Implement</v>
      </c>
      <c r="C194">
        <v>0</v>
      </c>
      <c r="D194">
        <v>0</v>
      </c>
    </row>
    <row r="195" spans="1:4">
      <c r="A195">
        <v>19129965</v>
      </c>
      <c r="B195" t="str">
        <v>Evaluate</v>
      </c>
      <c r="C195">
        <v>46171</v>
      </c>
      <c r="D195">
        <v>46175</v>
      </c>
    </row>
    <row r="196" spans="1:4">
      <c r="A196">
        <v>19129965</v>
      </c>
      <c r="B196" t="str">
        <v>Implement</v>
      </c>
      <c r="C196">
        <v>0</v>
      </c>
      <c r="D196">
        <v>0</v>
      </c>
    </row>
    <row r="197" spans="1:4">
      <c r="A197">
        <v>19604793</v>
      </c>
      <c r="B197" t="str">
        <v>Evaluate</v>
      </c>
      <c r="C197">
        <v>0</v>
      </c>
      <c r="D197">
        <v>0</v>
      </c>
    </row>
    <row r="198" spans="1:4">
      <c r="A198">
        <v>19604793</v>
      </c>
      <c r="B198" t="str">
        <v>Implement</v>
      </c>
      <c r="C198">
        <v>0</v>
      </c>
      <c r="D198">
        <v>0</v>
      </c>
    </row>
    <row r="199" spans="1:4">
      <c r="A199">
        <v>12810844</v>
      </c>
      <c r="B199" t="str">
        <v>Evaluate</v>
      </c>
      <c r="C199">
        <v>0</v>
      </c>
      <c r="D199">
        <v>0</v>
      </c>
    </row>
    <row r="200" spans="1:4">
      <c r="A200">
        <v>18733228</v>
      </c>
      <c r="B200" t="str">
        <v>Evaluate</v>
      </c>
      <c r="C200">
        <v>46178</v>
      </c>
      <c r="D200">
        <v>46178</v>
      </c>
    </row>
    <row r="201" spans="1:4">
      <c r="A201">
        <v>19659117</v>
      </c>
      <c r="B201" t="str">
        <v>Implement</v>
      </c>
      <c r="C201">
        <v>0</v>
      </c>
      <c r="D201">
        <v>0</v>
      </c>
    </row>
    <row r="202" spans="1:4">
      <c r="A202">
        <v>19658859</v>
      </c>
      <c r="B202" t="str">
        <v>Implement</v>
      </c>
      <c r="C202">
        <v>0</v>
      </c>
      <c r="D202">
        <v>0</v>
      </c>
    </row>
    <row r="203" spans="1:4">
      <c r="A203">
        <v>12810844</v>
      </c>
      <c r="B203" t="str">
        <v>Implement</v>
      </c>
      <c r="C203">
        <v>0</v>
      </c>
      <c r="D203">
        <v>0</v>
      </c>
    </row>
    <row r="204" spans="1:4">
      <c r="A204">
        <v>14391784</v>
      </c>
      <c r="B204" t="str">
        <v>Evaluate</v>
      </c>
      <c r="C204">
        <v>0</v>
      </c>
      <c r="D204">
        <v>0</v>
      </c>
    </row>
    <row r="205" spans="1:4">
      <c r="A205">
        <v>18802806</v>
      </c>
      <c r="B205" t="str">
        <v>Evaluate</v>
      </c>
      <c r="C205">
        <v>0</v>
      </c>
      <c r="D205">
        <v>0</v>
      </c>
    </row>
    <row r="206" spans="1:4">
      <c r="A206">
        <v>18802865</v>
      </c>
      <c r="B206" t="str">
        <v>Evaluate</v>
      </c>
      <c r="C206">
        <v>0</v>
      </c>
      <c r="D206">
        <v>0</v>
      </c>
    </row>
    <row r="207" spans="1:4">
      <c r="A207">
        <v>19689311</v>
      </c>
      <c r="B207" t="str">
        <v>Evaluate</v>
      </c>
      <c r="C207">
        <v>0</v>
      </c>
      <c r="D207">
        <v>0</v>
      </c>
    </row>
    <row r="208" spans="1:4">
      <c r="A208">
        <v>19732234</v>
      </c>
      <c r="B208" t="str">
        <v>Evaluate</v>
      </c>
      <c r="C208">
        <v>0</v>
      </c>
      <c r="D208">
        <v>0</v>
      </c>
    </row>
    <row r="209" spans="1:4">
      <c r="A209">
        <v>19515992</v>
      </c>
      <c r="B209" t="str">
        <v>Evaluate</v>
      </c>
      <c r="C209">
        <v>0</v>
      </c>
      <c r="D209">
        <v>0</v>
      </c>
    </row>
    <row r="210" spans="1:4">
      <c r="A210">
        <v>19515992</v>
      </c>
      <c r="B210" t="str">
        <v>Implement</v>
      </c>
      <c r="C210">
        <v>0</v>
      </c>
      <c r="D210">
        <v>0</v>
      </c>
    </row>
    <row r="211" spans="1:4">
      <c r="A211">
        <v>19748464</v>
      </c>
      <c r="B211" t="str">
        <v>Implement</v>
      </c>
      <c r="C211">
        <v>0</v>
      </c>
      <c r="D211">
        <v>0</v>
      </c>
    </row>
    <row r="212" spans="1:4">
      <c r="A212">
        <v>18795484</v>
      </c>
      <c r="B212" t="str">
        <v>Evaluate</v>
      </c>
      <c r="C212">
        <v>0</v>
      </c>
      <c r="D212">
        <v>0</v>
      </c>
    </row>
    <row r="213" spans="1:4">
      <c r="A213">
        <v>19781083</v>
      </c>
      <c r="B213" t="str">
        <v>Implement_NA</v>
      </c>
      <c r="C213">
        <v>0</v>
      </c>
      <c r="D213">
        <v>0</v>
      </c>
    </row>
    <row r="214" spans="1:4">
      <c r="A214">
        <v>19772632</v>
      </c>
      <c r="B214" t="str">
        <v>Implement_NA</v>
      </c>
      <c r="C214">
        <v>0</v>
      </c>
      <c r="D214">
        <v>0</v>
      </c>
    </row>
    <row r="215" spans="1:4">
      <c r="A215">
        <v>19781099</v>
      </c>
      <c r="B215" t="str">
        <v>Implement_NA</v>
      </c>
      <c r="C215">
        <v>0</v>
      </c>
      <c r="D215">
        <v>0</v>
      </c>
    </row>
    <row r="216" spans="1:4">
      <c r="A216">
        <v>19772688</v>
      </c>
      <c r="B216" t="str">
        <v>Implement_NA</v>
      </c>
      <c r="C216">
        <v>0</v>
      </c>
      <c r="D216">
        <v>0</v>
      </c>
    </row>
    <row r="217" spans="1:4">
      <c r="A217">
        <v>19658083</v>
      </c>
      <c r="B217" t="str">
        <v>Implement</v>
      </c>
      <c r="C217">
        <v>0</v>
      </c>
      <c r="D217">
        <v>0</v>
      </c>
    </row>
    <row r="218" spans="1:4">
      <c r="A218">
        <v>16070942</v>
      </c>
      <c r="B218">
        <v>0</v>
      </c>
      <c r="C218">
        <v>0</v>
      </c>
      <c r="D218">
        <v>0</v>
      </c>
    </row>
    <row r="219" spans="1:4">
      <c r="A219">
        <v>19671563</v>
      </c>
      <c r="B219" t="str">
        <v>Implement</v>
      </c>
      <c r="C219">
        <v>0</v>
      </c>
      <c r="D219">
        <v>0</v>
      </c>
    </row>
    <row r="220" spans="1:4">
      <c r="A220">
        <v>18990465</v>
      </c>
      <c r="B220" t="str">
        <v>Implement</v>
      </c>
      <c r="C220">
        <v>46171</v>
      </c>
      <c r="D220">
        <v>46171</v>
      </c>
    </row>
    <row r="221" spans="1:4">
      <c r="A221">
        <v>19138223</v>
      </c>
      <c r="B221" t="str">
        <v>Implement</v>
      </c>
      <c r="C221">
        <v>0</v>
      </c>
      <c r="D221">
        <v>0</v>
      </c>
    </row>
    <row r="222" spans="1:4">
      <c r="A222">
        <v>18922156</v>
      </c>
      <c r="B222" t="str">
        <v>Implement</v>
      </c>
      <c r="C222">
        <v>0</v>
      </c>
      <c r="D222">
        <v>0</v>
      </c>
    </row>
    <row r="223" spans="1:4">
      <c r="A223">
        <v>19828476</v>
      </c>
      <c r="B223" t="str">
        <v>Evaluate</v>
      </c>
      <c r="C223">
        <v>0</v>
      </c>
      <c r="D223">
        <v>0</v>
      </c>
    </row>
    <row r="224" spans="1:4">
      <c r="A224">
        <v>19661917</v>
      </c>
      <c r="B224" t="str">
        <v>Evaluate</v>
      </c>
      <c r="C224">
        <v>46157</v>
      </c>
      <c r="D224">
        <v>46161</v>
      </c>
    </row>
    <row r="225" spans="1:4">
      <c r="A225">
        <v>19526069</v>
      </c>
      <c r="B225" t="str">
        <v>Evaluate</v>
      </c>
      <c r="C225">
        <v>0</v>
      </c>
      <c r="D225">
        <v>0</v>
      </c>
    </row>
    <row r="226" spans="1:4">
      <c r="A226">
        <v>19526069</v>
      </c>
      <c r="B226" t="str">
        <v>Implement</v>
      </c>
      <c r="C226">
        <v>0</v>
      </c>
      <c r="D226">
        <v>0</v>
      </c>
    </row>
    <row r="227" spans="1:4">
      <c r="A227">
        <v>19023103</v>
      </c>
      <c r="B227" t="str">
        <v>Implement</v>
      </c>
      <c r="C227">
        <v>0</v>
      </c>
      <c r="D227">
        <v>0</v>
      </c>
    </row>
    <row r="228" spans="1:4">
      <c r="A228">
        <v>19656622</v>
      </c>
      <c r="B228" t="str">
        <v>Evaluate</v>
      </c>
      <c r="C228">
        <v>0</v>
      </c>
      <c r="D228">
        <v>0</v>
      </c>
    </row>
    <row r="229" spans="1:4">
      <c r="A229">
        <v>19656622</v>
      </c>
      <c r="B229" t="str">
        <v>Implement</v>
      </c>
      <c r="C229">
        <v>0</v>
      </c>
      <c r="D229">
        <v>0</v>
      </c>
    </row>
    <row r="230" spans="1:4">
      <c r="A230">
        <v>19577109</v>
      </c>
      <c r="B230" t="str">
        <v>Evaluate</v>
      </c>
      <c r="C230">
        <v>0</v>
      </c>
      <c r="D230">
        <v>0</v>
      </c>
    </row>
    <row r="231" spans="1:4">
      <c r="A231">
        <v>19577109</v>
      </c>
      <c r="B231" t="str">
        <v>Implement</v>
      </c>
      <c r="C231">
        <v>0</v>
      </c>
      <c r="D231">
        <v>0</v>
      </c>
    </row>
    <row r="232" spans="1:4">
      <c r="A232">
        <v>18733228</v>
      </c>
      <c r="B232" t="str">
        <v>Implement</v>
      </c>
      <c r="C232">
        <v>46198</v>
      </c>
      <c r="D232">
        <v>0</v>
      </c>
    </row>
    <row r="233" spans="1:4">
      <c r="A233">
        <v>18802806</v>
      </c>
      <c r="B233" t="str">
        <v>Implement</v>
      </c>
      <c r="C233">
        <v>0</v>
      </c>
      <c r="D233">
        <v>0</v>
      </c>
    </row>
    <row r="234" spans="1:4">
      <c r="A234">
        <v>18802865</v>
      </c>
      <c r="B234" t="str">
        <v>Implement</v>
      </c>
      <c r="C234">
        <v>0</v>
      </c>
      <c r="D234">
        <v>0</v>
      </c>
    </row>
    <row r="235" spans="1:4">
      <c r="A235">
        <v>13753424</v>
      </c>
      <c r="B235" t="str">
        <v>Evaluate</v>
      </c>
      <c r="C235">
        <v>0</v>
      </c>
      <c r="D235">
        <v>0</v>
      </c>
    </row>
    <row r="236" spans="1:4">
      <c r="A236">
        <v>13753424</v>
      </c>
      <c r="B236" t="str">
        <v>Implement</v>
      </c>
      <c r="C236">
        <v>0</v>
      </c>
      <c r="D236">
        <v>0</v>
      </c>
    </row>
    <row r="237" spans="1:4">
      <c r="A237">
        <v>14391784</v>
      </c>
      <c r="B237" t="str">
        <v>Implement</v>
      </c>
      <c r="C237">
        <v>0</v>
      </c>
      <c r="D237">
        <v>0</v>
      </c>
    </row>
    <row r="238" spans="1:4">
      <c r="A238">
        <v>19673670</v>
      </c>
      <c r="B238" t="str">
        <v>Evaluate</v>
      </c>
      <c r="C238">
        <v>0</v>
      </c>
      <c r="D238">
        <v>0</v>
      </c>
    </row>
    <row r="239" spans="1:4">
      <c r="A239">
        <v>19673670</v>
      </c>
      <c r="B239" t="str">
        <v>Implement</v>
      </c>
      <c r="C239">
        <v>0</v>
      </c>
      <c r="D239">
        <v>0</v>
      </c>
    </row>
    <row r="240" spans="1:4">
      <c r="A240">
        <v>19864244</v>
      </c>
      <c r="B240" t="str">
        <v>Implement_NA</v>
      </c>
      <c r="C240">
        <v>0</v>
      </c>
      <c r="D240">
        <v>0</v>
      </c>
    </row>
    <row r="241" spans="1:4">
      <c r="A241">
        <v>19515992</v>
      </c>
      <c r="B241" t="str">
        <v>Implement_NA</v>
      </c>
      <c r="C241">
        <v>0</v>
      </c>
      <c r="D241">
        <v>0</v>
      </c>
    </row>
    <row r="242" spans="1:4">
      <c r="A242" t="str">
        <v>20071796
20071718</v>
      </c>
      <c r="B242" t="str">
        <v>Implement_NA</v>
      </c>
      <c r="C242">
        <v>0</v>
      </c>
      <c r="D242">
        <v>0</v>
      </c>
    </row>
    <row r="243" spans="1:4">
      <c r="A243">
        <v>19682810</v>
      </c>
      <c r="B243" t="str">
        <v>Evaluate</v>
      </c>
      <c r="C243">
        <v>0</v>
      </c>
      <c r="D243">
        <v>0</v>
      </c>
    </row>
    <row r="244" spans="1:4">
      <c r="A244">
        <v>19682810</v>
      </c>
      <c r="B244" t="str">
        <v>Implement</v>
      </c>
      <c r="C244">
        <v>0</v>
      </c>
      <c r="D244">
        <v>0</v>
      </c>
    </row>
    <row r="245" spans="1:4">
      <c r="A245">
        <v>19682373</v>
      </c>
      <c r="B245" t="str">
        <v>Evaluate</v>
      </c>
      <c r="C245">
        <v>0</v>
      </c>
      <c r="D245">
        <v>0</v>
      </c>
    </row>
    <row r="246" spans="1:4">
      <c r="A246">
        <v>19682373</v>
      </c>
      <c r="B246" t="str">
        <v>Implement</v>
      </c>
      <c r="C246">
        <v>0</v>
      </c>
      <c r="D246">
        <v>0</v>
      </c>
    </row>
    <row r="247" spans="1:4">
      <c r="A247">
        <v>19515992</v>
      </c>
      <c r="B247" t="str">
        <v>Implement_NA</v>
      </c>
      <c r="C247">
        <v>0</v>
      </c>
      <c r="D247">
        <v>0</v>
      </c>
    </row>
    <row r="248" spans="1:4">
      <c r="A248">
        <v>19817158</v>
      </c>
      <c r="B248" t="str">
        <v>Evaluate</v>
      </c>
      <c r="C248">
        <v>0</v>
      </c>
      <c r="D248">
        <v>0</v>
      </c>
    </row>
    <row r="249" spans="1:4">
      <c r="A249">
        <v>19817158</v>
      </c>
      <c r="B249" t="str">
        <v>Implement</v>
      </c>
      <c r="C249">
        <v>0</v>
      </c>
      <c r="D249">
        <v>0</v>
      </c>
    </row>
    <row r="250" spans="1:4">
      <c r="A250">
        <v>19868102</v>
      </c>
      <c r="B250" t="str">
        <v>Evaluate</v>
      </c>
      <c r="C250">
        <v>0</v>
      </c>
      <c r="D250">
        <v>0</v>
      </c>
    </row>
    <row r="251" spans="1:4">
      <c r="A251">
        <v>19868102</v>
      </c>
      <c r="B251" t="str">
        <v>Implement</v>
      </c>
      <c r="C251">
        <v>0</v>
      </c>
      <c r="D251">
        <v>0</v>
      </c>
    </row>
    <row r="252" spans="1:4">
      <c r="A252">
        <v>19935596</v>
      </c>
      <c r="B252" t="str">
        <v>Evaluate</v>
      </c>
      <c r="C252">
        <v>0</v>
      </c>
      <c r="D252">
        <v>0</v>
      </c>
    </row>
    <row r="253" spans="1:4">
      <c r="A253">
        <v>19824310</v>
      </c>
      <c r="B253" t="str">
        <v>Evaluate</v>
      </c>
      <c r="C253">
        <v>0</v>
      </c>
      <c r="D253">
        <v>0</v>
      </c>
    </row>
    <row r="254" spans="1:4">
      <c r="A254">
        <v>19824310</v>
      </c>
      <c r="B254" t="str">
        <v>Implement</v>
      </c>
      <c r="C254">
        <v>0</v>
      </c>
      <c r="D254">
        <v>0</v>
      </c>
    </row>
    <row r="255" spans="1:4">
      <c r="A255">
        <v>19579019</v>
      </c>
      <c r="B255" t="str">
        <v>Task</v>
      </c>
      <c r="C255" t="str">
        <v>18-06:Done interface sheet changes and created branch-0.5hrs</v>
      </c>
      <c r="D255">
        <v>0</v>
      </c>
    </row>
    <row r="256" spans="1:4">
      <c r="A256">
        <v>19772668</v>
      </c>
      <c r="B256" t="str">
        <v>Evaluate</v>
      </c>
      <c r="C256" t="str">
        <v>25-06:Confirmed Yue regarding all the changes, I will share the MOM for the same.&amp; She only wants simulation result for eval so we can complete eval in 27hr &amp; and for implementation 30hr &amp; Yesterday checked for proposed Model if we are having any issue in MA, Polyspace, Codegen with latest toolbox(installed it on Lavanya's WS as in my system Polyspase toolbox is not available) we are not having any checks.(4.5hr) &amp; Discussion and support(3hr)
24-06:working on defect DCR, after doing complete analysis only we can proceed further as we did completed testing for this logic and now for DAF they are facing issue so need to check that and also need to do simulation testing.(4hr)
22-06:New Eval DCR, started with model analysis(4hrs)</v>
      </c>
      <c r="D256">
        <v>0</v>
      </c>
    </row>
    <row r="257" spans="1:4">
      <c r="A257">
        <v>19772668</v>
      </c>
      <c r="B257" t="str">
        <v>Implement</v>
      </c>
      <c r="C257">
        <v>0</v>
      </c>
      <c r="D257">
        <v>0</v>
      </c>
    </row>
    <row r="258" spans="1:4">
      <c r="A258">
        <v>20132126</v>
      </c>
      <c r="B258" t="str">
        <v>Evaluate</v>
      </c>
      <c r="C258">
        <v>0</v>
      </c>
      <c r="D258">
        <v>0</v>
      </c>
    </row>
    <row r="259" spans="1:4">
      <c r="A259">
        <v>20132126</v>
      </c>
      <c r="B259" t="str">
        <v>Implement</v>
      </c>
      <c r="C259">
        <v>0</v>
      </c>
      <c r="D259">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64409-CDC8-46A9-94A5-4395F3F5147D}">
  <sheetPr codeName="Sheet18"/>
  <dimension ref="A1:O273"/>
  <sheetViews>
    <sheetView workbookViewId="0"/>
  </sheetViews>
  <sheetFormatPr defaultRowHeight="14.45"/>
  <cols>
    <col min="5" max="5" width="11.140625" bestFit="1" customWidth="1"/>
    <col min="13" max="13" width="13.85546875" customWidth="1"/>
    <col min="14" max="14" width="19" bestFit="1" customWidth="1"/>
    <col min="15" max="15" width="23.28515625" bestFit="1" customWidth="1"/>
    <col min="16" max="17" width="5.140625" bestFit="1" customWidth="1"/>
    <col min="18" max="21" width="6.140625" bestFit="1" customWidth="1"/>
    <col min="22" max="23" width="5.42578125" bestFit="1" customWidth="1"/>
    <col min="24" max="24" width="6.42578125" bestFit="1" customWidth="1"/>
    <col min="25" max="25" width="7.140625" bestFit="1" customWidth="1"/>
    <col min="26" max="26" width="7.85546875" bestFit="1" customWidth="1"/>
    <col min="27" max="40" width="10.140625" bestFit="1" customWidth="1"/>
    <col min="41" max="41" width="15.140625" bestFit="1" customWidth="1"/>
    <col min="42" max="44" width="10.140625" bestFit="1" customWidth="1"/>
    <col min="45" max="45" width="15.140625" bestFit="1" customWidth="1"/>
    <col min="46" max="48" width="10.140625" bestFit="1" customWidth="1"/>
    <col min="49" max="49" width="15.140625" bestFit="1" customWidth="1"/>
    <col min="50" max="54" width="10.140625" bestFit="1" customWidth="1"/>
    <col min="55" max="55" width="15.140625" bestFit="1" customWidth="1"/>
    <col min="56" max="59" width="10.140625" bestFit="1" customWidth="1"/>
    <col min="60" max="60" width="15.140625" bestFit="1" customWidth="1"/>
    <col min="61" max="63" width="10.140625" bestFit="1" customWidth="1"/>
    <col min="64" max="64" width="15.140625" bestFit="1" customWidth="1"/>
    <col min="65" max="66" width="10.140625" bestFit="1" customWidth="1"/>
    <col min="67" max="67" width="15.140625" bestFit="1" customWidth="1"/>
    <col min="68" max="72" width="10.140625" bestFit="1" customWidth="1"/>
    <col min="73" max="73" width="15.140625" bestFit="1" customWidth="1"/>
    <col min="74" max="74" width="6.7109375" bestFit="1" customWidth="1"/>
    <col min="75" max="75" width="10.7109375" bestFit="1" customWidth="1"/>
    <col min="76" max="76" width="14.85546875" bestFit="1" customWidth="1"/>
    <col min="77" max="77" width="11.85546875" bestFit="1" customWidth="1"/>
    <col min="78" max="78" width="14.85546875" bestFit="1" customWidth="1"/>
    <col min="79" max="79" width="11.85546875" bestFit="1" customWidth="1"/>
    <col min="80" max="81" width="10.140625" bestFit="1" customWidth="1"/>
    <col min="82" max="82" width="15.140625" bestFit="1" customWidth="1"/>
    <col min="83" max="83" width="10.140625" bestFit="1" customWidth="1"/>
    <col min="84" max="84" width="6.7109375" bestFit="1" customWidth="1"/>
    <col min="85" max="85" width="14.85546875" bestFit="1" customWidth="1"/>
    <col min="86" max="86" width="11.85546875" bestFit="1" customWidth="1"/>
    <col min="87" max="87" width="6.7109375" bestFit="1" customWidth="1"/>
    <col min="88" max="88" width="14.85546875" bestFit="1" customWidth="1"/>
    <col min="89" max="89" width="11.85546875" bestFit="1" customWidth="1"/>
    <col min="90" max="90" width="14.85546875" bestFit="1" customWidth="1"/>
    <col min="91" max="91" width="11.85546875" bestFit="1" customWidth="1"/>
    <col min="92" max="95" width="10.140625" bestFit="1" customWidth="1"/>
    <col min="96" max="96" width="15.140625" bestFit="1" customWidth="1"/>
    <col min="97" max="97" width="14.85546875" bestFit="1" customWidth="1"/>
    <col min="98" max="98" width="11.85546875" bestFit="1" customWidth="1"/>
    <col min="99" max="99" width="10.140625" bestFit="1" customWidth="1"/>
    <col min="100" max="100" width="14.85546875" bestFit="1" customWidth="1"/>
    <col min="101" max="101" width="11.85546875" bestFit="1" customWidth="1"/>
    <col min="102" max="103" width="10.140625" bestFit="1" customWidth="1"/>
    <col min="104" max="104" width="15.140625" bestFit="1" customWidth="1"/>
    <col min="105" max="105" width="14.85546875" bestFit="1" customWidth="1"/>
    <col min="106" max="106" width="11.85546875" bestFit="1" customWidth="1"/>
    <col min="107" max="107" width="14.85546875" bestFit="1" customWidth="1"/>
    <col min="108" max="108" width="11.85546875" bestFit="1" customWidth="1"/>
    <col min="109" max="109" width="14.85546875" bestFit="1" customWidth="1"/>
    <col min="110" max="110" width="11.85546875" bestFit="1" customWidth="1"/>
    <col min="111" max="111" width="10.140625" bestFit="1" customWidth="1"/>
    <col min="112" max="112" width="15.140625" bestFit="1" customWidth="1"/>
    <col min="113" max="114" width="10.140625" bestFit="1" customWidth="1"/>
    <col min="115" max="115" width="14.85546875" bestFit="1" customWidth="1"/>
    <col min="116" max="116" width="11.85546875" bestFit="1" customWidth="1"/>
    <col min="117" max="117" width="10.140625" bestFit="1" customWidth="1"/>
    <col min="118" max="118" width="14.85546875" bestFit="1" customWidth="1"/>
    <col min="119" max="119" width="11.85546875" bestFit="1" customWidth="1"/>
    <col min="120" max="120" width="14.85546875" bestFit="1" customWidth="1"/>
    <col min="121" max="121" width="11.85546875" bestFit="1" customWidth="1"/>
    <col min="122" max="126" width="10.140625" bestFit="1" customWidth="1"/>
    <col min="127" max="127" width="14.85546875" bestFit="1" customWidth="1"/>
    <col min="128" max="128" width="11.85546875" bestFit="1" customWidth="1"/>
    <col min="129" max="130" width="10.140625" bestFit="1" customWidth="1"/>
    <col min="131" max="131" width="14.85546875" bestFit="1" customWidth="1"/>
    <col min="132" max="132" width="11.85546875" bestFit="1" customWidth="1"/>
    <col min="133" max="133" width="14.85546875" bestFit="1" customWidth="1"/>
    <col min="134" max="134" width="11.85546875" bestFit="1" customWidth="1"/>
    <col min="135" max="136" width="10.140625" bestFit="1" customWidth="1"/>
    <col min="137" max="137" width="14.85546875" bestFit="1" customWidth="1"/>
    <col min="138" max="138" width="11.85546875" bestFit="1" customWidth="1"/>
    <col min="139" max="139" width="10.140625" bestFit="1" customWidth="1"/>
    <col min="140" max="140" width="14.85546875" bestFit="1" customWidth="1"/>
    <col min="141" max="141" width="11.85546875" bestFit="1" customWidth="1"/>
    <col min="142" max="142" width="10.140625" bestFit="1" customWidth="1"/>
    <col min="143" max="143" width="14.85546875" bestFit="1" customWidth="1"/>
    <col min="144" max="144" width="11.85546875" bestFit="1" customWidth="1"/>
    <col min="145" max="146" width="10.140625" bestFit="1" customWidth="1"/>
    <col min="147" max="147" width="14.85546875" bestFit="1" customWidth="1"/>
    <col min="148" max="148" width="11.85546875" bestFit="1" customWidth="1"/>
    <col min="149" max="149" width="15.140625" bestFit="1" customWidth="1"/>
    <col min="150" max="150" width="14.85546875" bestFit="1" customWidth="1"/>
    <col min="151" max="151" width="11.85546875" bestFit="1" customWidth="1"/>
    <col min="152" max="154" width="10.140625" bestFit="1" customWidth="1"/>
    <col min="155" max="155" width="14.85546875" bestFit="1" customWidth="1"/>
    <col min="156" max="156" width="11.85546875" bestFit="1" customWidth="1"/>
    <col min="157" max="158" width="10.140625" bestFit="1" customWidth="1"/>
    <col min="159" max="159" width="6.7109375" bestFit="1" customWidth="1"/>
    <col min="160" max="160" width="14.85546875" bestFit="1" customWidth="1"/>
    <col min="161" max="161" width="11.85546875" bestFit="1" customWidth="1"/>
    <col min="162" max="162" width="14.85546875" bestFit="1" customWidth="1"/>
    <col min="163" max="163" width="11.85546875" bestFit="1" customWidth="1"/>
    <col min="164" max="164" width="14.85546875" bestFit="1" customWidth="1"/>
    <col min="165" max="165" width="11.85546875" bestFit="1" customWidth="1"/>
    <col min="166" max="166" width="14.85546875" bestFit="1" customWidth="1"/>
    <col min="167" max="167" width="11.85546875" bestFit="1" customWidth="1"/>
    <col min="168" max="169" width="10.140625" bestFit="1" customWidth="1"/>
    <col min="170" max="170" width="14.85546875" bestFit="1" customWidth="1"/>
    <col min="171" max="171" width="11.85546875" bestFit="1" customWidth="1"/>
    <col min="172" max="172" width="15.140625" bestFit="1" customWidth="1"/>
    <col min="173" max="173" width="14.85546875" bestFit="1" customWidth="1"/>
    <col min="174" max="174" width="11.85546875" bestFit="1" customWidth="1"/>
    <col min="175" max="175" width="14.85546875" bestFit="1" customWidth="1"/>
    <col min="176" max="176" width="11.85546875" bestFit="1" customWidth="1"/>
    <col min="177" max="177" width="14.85546875" bestFit="1" customWidth="1"/>
    <col min="178" max="178" width="11.85546875" bestFit="1" customWidth="1"/>
    <col min="179" max="179" width="14.85546875" bestFit="1" customWidth="1"/>
    <col min="180" max="180" width="11.85546875" bestFit="1" customWidth="1"/>
    <col min="181" max="181" width="14.85546875" bestFit="1" customWidth="1"/>
    <col min="182" max="182" width="11.85546875" bestFit="1" customWidth="1"/>
    <col min="183" max="186" width="10.140625" bestFit="1" customWidth="1"/>
    <col min="187" max="187" width="6.7109375" bestFit="1" customWidth="1"/>
    <col min="188" max="188" width="14.85546875" bestFit="1" customWidth="1"/>
    <col min="189" max="189" width="11.85546875" bestFit="1" customWidth="1"/>
    <col min="190" max="190" width="10.140625" bestFit="1" customWidth="1"/>
    <col min="191" max="191" width="15.140625" bestFit="1" customWidth="1"/>
    <col min="192" max="192" width="6.7109375" bestFit="1" customWidth="1"/>
    <col min="193" max="193" width="14.85546875" bestFit="1" customWidth="1"/>
    <col min="194" max="194" width="11.85546875" bestFit="1" customWidth="1"/>
    <col min="195" max="195" width="14.85546875" bestFit="1" customWidth="1"/>
    <col min="196" max="196" width="11.85546875" bestFit="1" customWidth="1"/>
    <col min="197" max="197" width="14.85546875" bestFit="1" customWidth="1"/>
    <col min="198" max="198" width="15.140625" bestFit="1" customWidth="1"/>
    <col min="199" max="199" width="14.85546875" bestFit="1" customWidth="1"/>
    <col min="200" max="200" width="11.85546875" bestFit="1" customWidth="1"/>
    <col min="201" max="201" width="10.140625" bestFit="1" customWidth="1"/>
    <col min="202" max="202" width="14.85546875" bestFit="1" customWidth="1"/>
    <col min="203" max="203" width="11.85546875" bestFit="1" customWidth="1"/>
    <col min="204" max="204" width="14.85546875" bestFit="1" customWidth="1"/>
    <col min="205" max="205" width="11.85546875" bestFit="1" customWidth="1"/>
    <col min="206" max="206" width="14.85546875" bestFit="1" customWidth="1"/>
    <col min="207" max="207" width="11.85546875" bestFit="1" customWidth="1"/>
    <col min="208" max="208" width="14.85546875" bestFit="1" customWidth="1"/>
    <col min="209" max="209" width="11.85546875" bestFit="1" customWidth="1"/>
    <col min="210" max="210" width="14.85546875" bestFit="1" customWidth="1"/>
    <col min="211" max="211" width="11.85546875" bestFit="1" customWidth="1"/>
    <col min="212" max="212" width="14.85546875" bestFit="1" customWidth="1"/>
    <col min="213" max="213" width="11.85546875" bestFit="1" customWidth="1"/>
    <col min="214" max="214" width="14.85546875" bestFit="1" customWidth="1"/>
    <col min="215" max="215" width="11.85546875" bestFit="1" customWidth="1"/>
    <col min="216" max="216" width="14.85546875" bestFit="1" customWidth="1"/>
    <col min="217" max="217" width="11.85546875" bestFit="1" customWidth="1"/>
    <col min="218" max="218" width="14.85546875" bestFit="1" customWidth="1"/>
    <col min="219" max="219" width="11.85546875" bestFit="1" customWidth="1"/>
    <col min="220" max="220" width="14.85546875" bestFit="1" customWidth="1"/>
    <col min="221" max="221" width="8.5703125" bestFit="1" customWidth="1"/>
    <col min="222" max="222" width="7.85546875" bestFit="1" customWidth="1"/>
    <col min="223" max="224" width="10.140625" bestFit="1" customWidth="1"/>
    <col min="225" max="225" width="6.7109375" bestFit="1" customWidth="1"/>
    <col min="226" max="226" width="11.42578125" bestFit="1" customWidth="1"/>
    <col min="227" max="227" width="10.7109375" bestFit="1" customWidth="1"/>
  </cols>
  <sheetData>
    <row r="1" spans="1:15">
      <c r="A1" t="s">
        <v>0</v>
      </c>
      <c r="B1" t="s">
        <v>1</v>
      </c>
      <c r="C1" t="s">
        <v>2</v>
      </c>
      <c r="D1" t="s">
        <v>3</v>
      </c>
      <c r="E1" t="s">
        <v>7</v>
      </c>
      <c r="F1" t="s">
        <v>1600</v>
      </c>
      <c r="G1" t="s">
        <v>1601</v>
      </c>
      <c r="H1" t="s">
        <v>40</v>
      </c>
      <c r="I1" t="s">
        <v>44</v>
      </c>
    </row>
    <row r="2" spans="1:15">
      <c r="A2" t="s">
        <v>1602</v>
      </c>
      <c r="B2">
        <v>113</v>
      </c>
      <c r="C2">
        <v>113</v>
      </c>
      <c r="D2">
        <v>0</v>
      </c>
      <c r="E2">
        <v>10415897</v>
      </c>
      <c r="F2" t="s">
        <v>118</v>
      </c>
      <c r="G2" t="s">
        <v>106</v>
      </c>
      <c r="H2">
        <v>45534</v>
      </c>
      <c r="I2">
        <v>45532</v>
      </c>
      <c r="M2" s="51" t="s">
        <v>1580</v>
      </c>
      <c r="N2" t="s">
        <v>1603</v>
      </c>
      <c r="O2" t="s">
        <v>1604</v>
      </c>
    </row>
    <row r="3" spans="1:15">
      <c r="A3" t="s">
        <v>1380</v>
      </c>
      <c r="B3">
        <v>0</v>
      </c>
      <c r="C3">
        <v>0</v>
      </c>
      <c r="D3">
        <v>0</v>
      </c>
      <c r="E3">
        <v>13471500</v>
      </c>
      <c r="F3" t="s">
        <v>118</v>
      </c>
      <c r="G3" t="s">
        <v>106</v>
      </c>
      <c r="H3">
        <v>45534</v>
      </c>
      <c r="I3">
        <v>45532</v>
      </c>
      <c r="M3" s="61">
        <v>10415897</v>
      </c>
      <c r="N3" s="60">
        <v>113</v>
      </c>
      <c r="O3" s="60">
        <v>113</v>
      </c>
    </row>
    <row r="4" spans="1:15">
      <c r="A4" t="s">
        <v>551</v>
      </c>
      <c r="B4">
        <v>131</v>
      </c>
      <c r="C4">
        <v>170</v>
      </c>
      <c r="D4">
        <v>39</v>
      </c>
      <c r="E4">
        <v>11000230</v>
      </c>
      <c r="F4" t="s">
        <v>104</v>
      </c>
      <c r="G4" t="s">
        <v>14</v>
      </c>
      <c r="H4">
        <v>45552</v>
      </c>
      <c r="M4" s="61">
        <v>11000230</v>
      </c>
      <c r="N4" s="60">
        <v>170</v>
      </c>
      <c r="O4" s="60">
        <v>131</v>
      </c>
    </row>
    <row r="5" spans="1:15">
      <c r="A5" t="s">
        <v>551</v>
      </c>
      <c r="B5">
        <v>0</v>
      </c>
      <c r="D5">
        <v>0</v>
      </c>
      <c r="E5">
        <v>11000230</v>
      </c>
      <c r="F5" t="s">
        <v>118</v>
      </c>
      <c r="G5" t="s">
        <v>122</v>
      </c>
      <c r="H5">
        <v>45641</v>
      </c>
      <c r="M5" s="61">
        <v>11094346</v>
      </c>
      <c r="N5" s="60">
        <v>40</v>
      </c>
      <c r="O5" s="60">
        <v>0</v>
      </c>
    </row>
    <row r="6" spans="1:15">
      <c r="A6" t="s">
        <v>1605</v>
      </c>
      <c r="B6">
        <v>0</v>
      </c>
      <c r="C6">
        <v>40</v>
      </c>
      <c r="D6">
        <v>40</v>
      </c>
      <c r="E6">
        <v>11094346</v>
      </c>
      <c r="F6" t="s">
        <v>104</v>
      </c>
      <c r="G6" t="s">
        <v>122</v>
      </c>
      <c r="H6">
        <v>45593</v>
      </c>
      <c r="M6" s="61">
        <v>12295210</v>
      </c>
      <c r="N6" s="60">
        <v>190</v>
      </c>
      <c r="O6" s="60">
        <v>37</v>
      </c>
    </row>
    <row r="7" spans="1:15">
      <c r="A7" t="s">
        <v>171</v>
      </c>
      <c r="B7">
        <v>37</v>
      </c>
      <c r="C7">
        <v>76</v>
      </c>
      <c r="D7">
        <v>39</v>
      </c>
      <c r="E7">
        <v>12295210</v>
      </c>
      <c r="F7" t="s">
        <v>104</v>
      </c>
      <c r="G7" t="s">
        <v>115</v>
      </c>
      <c r="H7">
        <v>45568</v>
      </c>
      <c r="M7" s="61">
        <v>12363191</v>
      </c>
      <c r="N7" s="60">
        <v>88</v>
      </c>
      <c r="O7" s="60">
        <v>94</v>
      </c>
    </row>
    <row r="8" spans="1:15">
      <c r="A8" t="s">
        <v>1606</v>
      </c>
      <c r="B8">
        <v>3</v>
      </c>
      <c r="C8">
        <v>10</v>
      </c>
      <c r="D8">
        <v>7</v>
      </c>
      <c r="E8">
        <v>12450880</v>
      </c>
      <c r="F8" t="s">
        <v>104</v>
      </c>
      <c r="G8" t="s">
        <v>115</v>
      </c>
      <c r="H8">
        <v>45562</v>
      </c>
      <c r="M8" s="61">
        <v>12450880</v>
      </c>
      <c r="N8" s="60">
        <v>10</v>
      </c>
      <c r="O8" s="60">
        <v>3</v>
      </c>
    </row>
    <row r="9" spans="1:15">
      <c r="A9" t="s">
        <v>1607</v>
      </c>
      <c r="B9">
        <v>20</v>
      </c>
      <c r="C9">
        <v>58</v>
      </c>
      <c r="D9">
        <v>38</v>
      </c>
      <c r="E9">
        <v>12541182</v>
      </c>
      <c r="F9" t="s">
        <v>104</v>
      </c>
      <c r="G9" t="s">
        <v>106</v>
      </c>
      <c r="H9">
        <v>45547</v>
      </c>
      <c r="I9">
        <v>45553</v>
      </c>
      <c r="M9" s="61">
        <v>12541182</v>
      </c>
      <c r="N9" s="60">
        <v>168</v>
      </c>
      <c r="O9" s="60">
        <v>28</v>
      </c>
    </row>
    <row r="10" spans="1:15">
      <c r="A10" t="s">
        <v>1380</v>
      </c>
      <c r="B10">
        <v>3</v>
      </c>
      <c r="C10">
        <v>24</v>
      </c>
      <c r="D10">
        <v>21</v>
      </c>
      <c r="E10">
        <v>12582027</v>
      </c>
      <c r="F10" t="s">
        <v>104</v>
      </c>
      <c r="G10" t="s">
        <v>201</v>
      </c>
      <c r="H10">
        <v>45561</v>
      </c>
      <c r="M10" s="61">
        <v>12582027</v>
      </c>
      <c r="N10" s="60">
        <v>88</v>
      </c>
      <c r="O10" s="60">
        <v>3</v>
      </c>
    </row>
    <row r="11" spans="1:15">
      <c r="A11" t="s">
        <v>1380</v>
      </c>
      <c r="B11">
        <v>4</v>
      </c>
      <c r="C11">
        <v>44</v>
      </c>
      <c r="D11">
        <v>40</v>
      </c>
      <c r="E11">
        <v>12734184</v>
      </c>
      <c r="F11" t="s">
        <v>104</v>
      </c>
      <c r="G11" t="s">
        <v>201</v>
      </c>
      <c r="H11">
        <v>45560</v>
      </c>
      <c r="M11" s="61">
        <v>12734184</v>
      </c>
      <c r="N11" s="60">
        <v>138</v>
      </c>
      <c r="O11" s="60">
        <v>4</v>
      </c>
    </row>
    <row r="12" spans="1:15">
      <c r="A12" t="s">
        <v>1606</v>
      </c>
      <c r="B12">
        <v>8</v>
      </c>
      <c r="C12">
        <v>10</v>
      </c>
      <c r="D12">
        <v>2</v>
      </c>
      <c r="E12">
        <v>12748925</v>
      </c>
      <c r="F12" t="s">
        <v>104</v>
      </c>
      <c r="G12" t="s">
        <v>115</v>
      </c>
      <c r="H12">
        <v>45565</v>
      </c>
      <c r="M12" s="61">
        <v>12748925</v>
      </c>
      <c r="N12" s="60">
        <v>30</v>
      </c>
      <c r="O12" s="60">
        <v>8</v>
      </c>
    </row>
    <row r="13" spans="1:15">
      <c r="A13" t="s">
        <v>183</v>
      </c>
      <c r="B13">
        <v>0</v>
      </c>
      <c r="D13">
        <v>0</v>
      </c>
      <c r="E13">
        <v>12778031</v>
      </c>
      <c r="F13" t="s">
        <v>104</v>
      </c>
      <c r="G13" t="s">
        <v>207</v>
      </c>
      <c r="M13" s="61">
        <v>12778031</v>
      </c>
      <c r="N13" s="60"/>
      <c r="O13" s="60">
        <v>0</v>
      </c>
    </row>
    <row r="14" spans="1:15">
      <c r="A14" t="s">
        <v>1606</v>
      </c>
      <c r="B14">
        <v>0</v>
      </c>
      <c r="C14">
        <v>0</v>
      </c>
      <c r="D14">
        <v>0</v>
      </c>
      <c r="E14">
        <v>12878180</v>
      </c>
      <c r="F14" t="s">
        <v>104</v>
      </c>
      <c r="G14" t="s">
        <v>201</v>
      </c>
      <c r="H14">
        <v>45562</v>
      </c>
      <c r="M14" s="61">
        <v>12874577</v>
      </c>
      <c r="N14" s="60">
        <v>320</v>
      </c>
      <c r="O14" s="60">
        <v>41.5</v>
      </c>
    </row>
    <row r="15" spans="1:15">
      <c r="A15" t="s">
        <v>183</v>
      </c>
      <c r="B15">
        <v>0</v>
      </c>
      <c r="D15">
        <v>0</v>
      </c>
      <c r="E15">
        <v>12942266</v>
      </c>
      <c r="F15" t="s">
        <v>104</v>
      </c>
      <c r="G15" t="s">
        <v>207</v>
      </c>
      <c r="I15">
        <v>45545</v>
      </c>
      <c r="M15" s="61">
        <v>12878180</v>
      </c>
      <c r="N15" s="60">
        <v>0</v>
      </c>
      <c r="O15" s="60">
        <v>0</v>
      </c>
    </row>
    <row r="16" spans="1:15">
      <c r="A16" t="s">
        <v>183</v>
      </c>
      <c r="B16">
        <v>0</v>
      </c>
      <c r="C16">
        <v>60</v>
      </c>
      <c r="D16">
        <v>60</v>
      </c>
      <c r="E16">
        <v>12942266</v>
      </c>
      <c r="F16" t="s">
        <v>118</v>
      </c>
      <c r="G16" t="s">
        <v>207</v>
      </c>
      <c r="M16" s="61">
        <v>12942266</v>
      </c>
      <c r="N16" s="60">
        <v>60</v>
      </c>
      <c r="O16" s="60">
        <v>0</v>
      </c>
    </row>
    <row r="17" spans="1:15">
      <c r="A17" t="s">
        <v>183</v>
      </c>
      <c r="B17">
        <v>0</v>
      </c>
      <c r="D17">
        <v>0</v>
      </c>
      <c r="E17">
        <v>12942271</v>
      </c>
      <c r="F17" t="s">
        <v>104</v>
      </c>
      <c r="G17" t="s">
        <v>207</v>
      </c>
      <c r="M17" s="61">
        <v>12942271</v>
      </c>
      <c r="N17" s="60"/>
      <c r="O17" s="60">
        <v>0</v>
      </c>
    </row>
    <row r="18" spans="1:15">
      <c r="A18" t="s">
        <v>183</v>
      </c>
      <c r="B18">
        <v>0</v>
      </c>
      <c r="D18">
        <v>0</v>
      </c>
      <c r="E18">
        <v>12942271</v>
      </c>
      <c r="F18" t="s">
        <v>118</v>
      </c>
      <c r="G18" t="s">
        <v>207</v>
      </c>
      <c r="M18" s="61">
        <v>13047716</v>
      </c>
      <c r="N18" s="60">
        <v>200</v>
      </c>
      <c r="O18" s="60">
        <v>53</v>
      </c>
    </row>
    <row r="19" spans="1:15">
      <c r="A19" t="s">
        <v>260</v>
      </c>
      <c r="B19">
        <v>14</v>
      </c>
      <c r="C19">
        <v>15</v>
      </c>
      <c r="D19">
        <v>1</v>
      </c>
      <c r="E19">
        <v>13066431</v>
      </c>
      <c r="F19" t="s">
        <v>104</v>
      </c>
      <c r="G19" t="s">
        <v>115</v>
      </c>
      <c r="H19" t="s">
        <v>1583</v>
      </c>
      <c r="M19" s="61">
        <v>13064164</v>
      </c>
      <c r="N19" s="60">
        <v>290</v>
      </c>
      <c r="O19" s="60">
        <v>79</v>
      </c>
    </row>
    <row r="20" spans="1:15">
      <c r="A20" t="s">
        <v>260</v>
      </c>
      <c r="B20">
        <v>0</v>
      </c>
      <c r="C20">
        <v>20</v>
      </c>
      <c r="D20">
        <v>20</v>
      </c>
      <c r="E20">
        <v>13066431</v>
      </c>
      <c r="F20" t="s">
        <v>118</v>
      </c>
      <c r="G20" t="s">
        <v>122</v>
      </c>
      <c r="H20">
        <v>45577</v>
      </c>
      <c r="M20" s="61">
        <v>13066431</v>
      </c>
      <c r="N20" s="60">
        <v>35</v>
      </c>
      <c r="O20" s="60">
        <v>14</v>
      </c>
    </row>
    <row r="21" spans="1:15">
      <c r="A21" t="s">
        <v>171</v>
      </c>
      <c r="B21">
        <v>0</v>
      </c>
      <c r="C21">
        <v>76</v>
      </c>
      <c r="D21">
        <v>76</v>
      </c>
      <c r="E21">
        <v>13088591</v>
      </c>
      <c r="F21" t="s">
        <v>104</v>
      </c>
      <c r="G21" t="s">
        <v>115</v>
      </c>
      <c r="H21">
        <v>45568</v>
      </c>
      <c r="M21" s="61">
        <v>13088591</v>
      </c>
      <c r="N21" s="60">
        <v>190</v>
      </c>
      <c r="O21" s="60">
        <v>0</v>
      </c>
    </row>
    <row r="22" spans="1:15">
      <c r="A22" t="s">
        <v>623</v>
      </c>
      <c r="B22">
        <v>0</v>
      </c>
      <c r="C22">
        <v>250</v>
      </c>
      <c r="D22">
        <v>250</v>
      </c>
      <c r="E22">
        <v>13117151</v>
      </c>
      <c r="F22" t="s">
        <v>104</v>
      </c>
      <c r="G22" t="s">
        <v>201</v>
      </c>
      <c r="H22" t="s">
        <v>270</v>
      </c>
      <c r="M22" s="61">
        <v>13117151</v>
      </c>
      <c r="N22" s="60">
        <v>470</v>
      </c>
      <c r="O22" s="60">
        <v>0</v>
      </c>
    </row>
    <row r="23" spans="1:15">
      <c r="A23" t="s">
        <v>1608</v>
      </c>
      <c r="B23">
        <v>0</v>
      </c>
      <c r="D23">
        <v>0</v>
      </c>
      <c r="E23">
        <v>13147882</v>
      </c>
      <c r="F23" t="s">
        <v>104</v>
      </c>
      <c r="G23" t="s">
        <v>207</v>
      </c>
      <c r="M23" s="61">
        <v>13147882</v>
      </c>
      <c r="N23" s="60">
        <v>100</v>
      </c>
      <c r="O23" s="60">
        <v>0</v>
      </c>
    </row>
    <row r="24" spans="1:15">
      <c r="A24" t="s">
        <v>1608</v>
      </c>
      <c r="B24">
        <v>0</v>
      </c>
      <c r="C24">
        <v>100</v>
      </c>
      <c r="D24">
        <v>100</v>
      </c>
      <c r="E24">
        <v>13147882</v>
      </c>
      <c r="F24" t="s">
        <v>118</v>
      </c>
      <c r="G24" t="s">
        <v>207</v>
      </c>
      <c r="M24" s="61">
        <v>13148021</v>
      </c>
      <c r="N24" s="60">
        <v>190</v>
      </c>
      <c r="O24" s="60">
        <v>33</v>
      </c>
    </row>
    <row r="25" spans="1:15">
      <c r="A25" t="s">
        <v>1609</v>
      </c>
      <c r="B25">
        <v>33</v>
      </c>
      <c r="C25">
        <v>69</v>
      </c>
      <c r="D25">
        <v>36</v>
      </c>
      <c r="E25">
        <v>13148021</v>
      </c>
      <c r="F25" t="s">
        <v>104</v>
      </c>
      <c r="G25" t="s">
        <v>115</v>
      </c>
      <c r="H25">
        <v>45554</v>
      </c>
      <c r="M25" s="61">
        <v>13148104</v>
      </c>
      <c r="N25" s="60">
        <v>50</v>
      </c>
      <c r="O25" s="60">
        <v>0</v>
      </c>
    </row>
    <row r="26" spans="1:15">
      <c r="A26" t="s">
        <v>1610</v>
      </c>
      <c r="B26">
        <v>0</v>
      </c>
      <c r="C26">
        <v>20</v>
      </c>
      <c r="D26">
        <v>20</v>
      </c>
      <c r="E26">
        <v>13148104</v>
      </c>
      <c r="F26" t="s">
        <v>104</v>
      </c>
      <c r="G26" t="s">
        <v>201</v>
      </c>
      <c r="M26" s="61">
        <v>13151029</v>
      </c>
      <c r="N26" s="60">
        <v>63</v>
      </c>
      <c r="O26" s="60">
        <v>14</v>
      </c>
    </row>
    <row r="27" spans="1:15">
      <c r="A27" t="s">
        <v>1611</v>
      </c>
      <c r="B27">
        <v>0</v>
      </c>
      <c r="C27">
        <v>0</v>
      </c>
      <c r="D27">
        <v>0</v>
      </c>
      <c r="E27">
        <v>13151029</v>
      </c>
      <c r="F27" t="s">
        <v>104</v>
      </c>
      <c r="G27" t="s">
        <v>106</v>
      </c>
      <c r="I27">
        <v>45533</v>
      </c>
      <c r="M27" s="61">
        <v>13151293</v>
      </c>
      <c r="N27" s="60">
        <v>100</v>
      </c>
      <c r="O27" s="60">
        <v>0</v>
      </c>
    </row>
    <row r="28" spans="1:15">
      <c r="A28" t="s">
        <v>577</v>
      </c>
      <c r="B28">
        <v>0</v>
      </c>
      <c r="C28">
        <v>60</v>
      </c>
      <c r="D28">
        <v>60</v>
      </c>
      <c r="E28">
        <v>13151293</v>
      </c>
      <c r="F28" t="s">
        <v>104</v>
      </c>
      <c r="G28" t="s">
        <v>207</v>
      </c>
      <c r="H28">
        <v>45562</v>
      </c>
      <c r="M28" s="61">
        <v>13153843</v>
      </c>
      <c r="N28" s="60">
        <v>190</v>
      </c>
      <c r="O28" s="60">
        <v>0</v>
      </c>
    </row>
    <row r="29" spans="1:15">
      <c r="A29" t="s">
        <v>577</v>
      </c>
      <c r="B29">
        <v>0</v>
      </c>
      <c r="C29">
        <v>40</v>
      </c>
      <c r="D29">
        <v>40</v>
      </c>
      <c r="E29">
        <v>13151293</v>
      </c>
      <c r="F29" t="s">
        <v>118</v>
      </c>
      <c r="G29" t="s">
        <v>207</v>
      </c>
      <c r="H29">
        <v>45588</v>
      </c>
      <c r="M29" s="61">
        <v>13153851</v>
      </c>
      <c r="N29" s="60">
        <v>190</v>
      </c>
      <c r="O29" s="60">
        <v>0</v>
      </c>
    </row>
    <row r="30" spans="1:15">
      <c r="A30" t="s">
        <v>1609</v>
      </c>
      <c r="B30">
        <v>0</v>
      </c>
      <c r="C30">
        <v>69</v>
      </c>
      <c r="D30">
        <v>69</v>
      </c>
      <c r="E30">
        <v>13153843</v>
      </c>
      <c r="F30" t="s">
        <v>104</v>
      </c>
      <c r="G30" t="s">
        <v>201</v>
      </c>
      <c r="H30">
        <v>45554</v>
      </c>
      <c r="M30" s="61">
        <v>13153857</v>
      </c>
      <c r="N30" s="60">
        <v>63</v>
      </c>
      <c r="O30" s="60">
        <v>0</v>
      </c>
    </row>
    <row r="31" spans="1:15">
      <c r="A31" t="s">
        <v>1609</v>
      </c>
      <c r="B31">
        <v>0</v>
      </c>
      <c r="C31">
        <v>69</v>
      </c>
      <c r="D31">
        <v>69</v>
      </c>
      <c r="E31">
        <v>13153851</v>
      </c>
      <c r="F31" t="s">
        <v>104</v>
      </c>
      <c r="G31" t="s">
        <v>201</v>
      </c>
      <c r="H31">
        <v>45554</v>
      </c>
      <c r="M31" s="61">
        <v>13153883</v>
      </c>
      <c r="N31" s="60">
        <v>63</v>
      </c>
      <c r="O31" s="60">
        <v>0</v>
      </c>
    </row>
    <row r="32" spans="1:15">
      <c r="A32" t="s">
        <v>1611</v>
      </c>
      <c r="B32">
        <v>0</v>
      </c>
      <c r="C32">
        <v>0</v>
      </c>
      <c r="D32">
        <v>0</v>
      </c>
      <c r="E32">
        <v>13153857</v>
      </c>
      <c r="F32" t="s">
        <v>104</v>
      </c>
      <c r="G32" t="s">
        <v>106</v>
      </c>
      <c r="H32" t="s">
        <v>125</v>
      </c>
      <c r="I32">
        <v>45533</v>
      </c>
      <c r="M32" s="61">
        <v>13153903</v>
      </c>
      <c r="N32" s="60">
        <v>110</v>
      </c>
      <c r="O32" s="60">
        <v>0</v>
      </c>
    </row>
    <row r="33" spans="1:15">
      <c r="A33" t="s">
        <v>1611</v>
      </c>
      <c r="B33">
        <v>0</v>
      </c>
      <c r="C33">
        <v>0</v>
      </c>
      <c r="D33">
        <v>0</v>
      </c>
      <c r="E33">
        <v>13153883</v>
      </c>
      <c r="F33" t="s">
        <v>104</v>
      </c>
      <c r="G33" t="s">
        <v>106</v>
      </c>
      <c r="H33" t="s">
        <v>125</v>
      </c>
      <c r="I33">
        <v>45533</v>
      </c>
      <c r="M33" s="61">
        <v>13186012</v>
      </c>
      <c r="N33" s="60"/>
      <c r="O33" s="60"/>
    </row>
    <row r="34" spans="1:15">
      <c r="A34" t="s">
        <v>1607</v>
      </c>
      <c r="B34">
        <v>0</v>
      </c>
      <c r="C34">
        <v>0</v>
      </c>
      <c r="D34">
        <v>0</v>
      </c>
      <c r="E34">
        <v>13153903</v>
      </c>
      <c r="F34" t="s">
        <v>104</v>
      </c>
      <c r="G34" t="s">
        <v>106</v>
      </c>
      <c r="H34">
        <v>45547</v>
      </c>
      <c r="I34">
        <v>45553</v>
      </c>
      <c r="M34" s="61">
        <v>13208634</v>
      </c>
      <c r="N34" s="60">
        <v>168</v>
      </c>
      <c r="O34" s="60">
        <v>24</v>
      </c>
    </row>
    <row r="35" spans="1:15">
      <c r="A35" t="s">
        <v>1607</v>
      </c>
      <c r="B35">
        <v>24</v>
      </c>
      <c r="C35">
        <v>58</v>
      </c>
      <c r="D35">
        <v>34</v>
      </c>
      <c r="E35">
        <v>13208634</v>
      </c>
      <c r="F35" t="s">
        <v>104</v>
      </c>
      <c r="G35" t="s">
        <v>106</v>
      </c>
      <c r="H35">
        <v>45547</v>
      </c>
      <c r="I35">
        <v>45553</v>
      </c>
      <c r="M35" s="61">
        <v>13274796</v>
      </c>
      <c r="N35" s="60">
        <v>16</v>
      </c>
      <c r="O35" s="60">
        <v>16</v>
      </c>
    </row>
    <row r="36" spans="1:15">
      <c r="A36" t="s">
        <v>1612</v>
      </c>
      <c r="B36">
        <v>0</v>
      </c>
      <c r="C36">
        <v>30</v>
      </c>
      <c r="D36">
        <v>30</v>
      </c>
      <c r="E36">
        <v>13334991</v>
      </c>
      <c r="F36" t="s">
        <v>104</v>
      </c>
      <c r="G36" t="s">
        <v>201</v>
      </c>
      <c r="M36" s="61">
        <v>13334991</v>
      </c>
      <c r="N36" s="60">
        <v>60</v>
      </c>
      <c r="O36" s="60">
        <v>0</v>
      </c>
    </row>
    <row r="37" spans="1:15">
      <c r="A37" t="s">
        <v>1612</v>
      </c>
      <c r="B37">
        <v>0</v>
      </c>
      <c r="C37">
        <v>30</v>
      </c>
      <c r="D37">
        <v>30</v>
      </c>
      <c r="E37">
        <v>13334991</v>
      </c>
      <c r="F37" t="s">
        <v>118</v>
      </c>
      <c r="G37" t="s">
        <v>122</v>
      </c>
      <c r="M37" s="61">
        <v>13337002</v>
      </c>
      <c r="N37" s="60">
        <v>75</v>
      </c>
      <c r="O37" s="60">
        <v>61.5</v>
      </c>
    </row>
    <row r="38" spans="1:15">
      <c r="A38" t="s">
        <v>1612</v>
      </c>
      <c r="B38">
        <v>31.5</v>
      </c>
      <c r="C38">
        <v>100</v>
      </c>
      <c r="E38">
        <v>14737918</v>
      </c>
      <c r="F38" t="s">
        <v>104</v>
      </c>
      <c r="G38" t="s">
        <v>115</v>
      </c>
      <c r="H38">
        <v>45559</v>
      </c>
      <c r="M38" s="61">
        <v>13358711</v>
      </c>
      <c r="N38" s="60"/>
      <c r="O38" s="60"/>
    </row>
    <row r="39" spans="1:15">
      <c r="A39" t="s">
        <v>1612</v>
      </c>
      <c r="C39">
        <v>110</v>
      </c>
      <c r="E39">
        <v>14737918</v>
      </c>
      <c r="F39" t="s">
        <v>118</v>
      </c>
      <c r="G39" t="s">
        <v>122</v>
      </c>
      <c r="M39" s="61">
        <v>13370665</v>
      </c>
      <c r="N39" s="60">
        <v>100</v>
      </c>
      <c r="O39" s="60">
        <v>9</v>
      </c>
    </row>
    <row r="40" spans="1:15">
      <c r="A40" t="s">
        <v>612</v>
      </c>
      <c r="B40">
        <v>9</v>
      </c>
      <c r="C40">
        <v>50</v>
      </c>
      <c r="D40">
        <v>41</v>
      </c>
      <c r="E40">
        <v>13370665</v>
      </c>
      <c r="F40" t="s">
        <v>118</v>
      </c>
      <c r="G40" t="s">
        <v>201</v>
      </c>
      <c r="H40">
        <v>45565</v>
      </c>
      <c r="M40" s="61">
        <v>13371135</v>
      </c>
      <c r="N40" s="60"/>
      <c r="O40" s="60">
        <v>0</v>
      </c>
    </row>
    <row r="41" spans="1:15">
      <c r="A41" t="s">
        <v>612</v>
      </c>
      <c r="B41">
        <v>0</v>
      </c>
      <c r="C41">
        <v>50</v>
      </c>
      <c r="D41">
        <v>50</v>
      </c>
      <c r="E41">
        <v>13370665</v>
      </c>
      <c r="F41" t="s">
        <v>118</v>
      </c>
      <c r="G41" t="s">
        <v>201</v>
      </c>
      <c r="H41">
        <v>45590</v>
      </c>
      <c r="M41" s="61">
        <v>13377807</v>
      </c>
      <c r="N41" s="60">
        <v>0</v>
      </c>
      <c r="O41" s="60">
        <v>0</v>
      </c>
    </row>
    <row r="42" spans="1:15">
      <c r="A42" t="s">
        <v>577</v>
      </c>
      <c r="B42">
        <v>0</v>
      </c>
      <c r="D42">
        <v>0</v>
      </c>
      <c r="E42">
        <v>13371135</v>
      </c>
      <c r="F42" t="s">
        <v>104</v>
      </c>
      <c r="G42" t="s">
        <v>201</v>
      </c>
      <c r="H42">
        <v>45590</v>
      </c>
      <c r="M42" s="61">
        <v>13377818</v>
      </c>
      <c r="N42" s="60">
        <v>63</v>
      </c>
      <c r="O42" s="60">
        <v>0</v>
      </c>
    </row>
    <row r="43" spans="1:15">
      <c r="A43" t="s">
        <v>577</v>
      </c>
      <c r="B43">
        <v>0</v>
      </c>
      <c r="D43">
        <v>0</v>
      </c>
      <c r="E43">
        <v>13371135</v>
      </c>
      <c r="F43" t="s">
        <v>118</v>
      </c>
      <c r="G43" t="s">
        <v>201</v>
      </c>
      <c r="H43">
        <v>45590</v>
      </c>
      <c r="M43" s="61">
        <v>13377821</v>
      </c>
      <c r="N43" s="60">
        <v>190</v>
      </c>
      <c r="O43" s="60">
        <v>0</v>
      </c>
    </row>
    <row r="44" spans="1:15">
      <c r="A44" t="s">
        <v>1610</v>
      </c>
      <c r="B44">
        <v>0</v>
      </c>
      <c r="C44">
        <v>0</v>
      </c>
      <c r="D44">
        <v>0</v>
      </c>
      <c r="E44">
        <v>13377807</v>
      </c>
      <c r="F44" t="s">
        <v>104</v>
      </c>
      <c r="G44" t="s">
        <v>231</v>
      </c>
      <c r="I44">
        <v>45539</v>
      </c>
      <c r="M44" s="61">
        <v>13389252</v>
      </c>
      <c r="N44" s="60">
        <v>350</v>
      </c>
      <c r="O44" s="60">
        <v>78</v>
      </c>
    </row>
    <row r="45" spans="1:15">
      <c r="A45" t="s">
        <v>1611</v>
      </c>
      <c r="B45">
        <v>0</v>
      </c>
      <c r="C45">
        <v>0</v>
      </c>
      <c r="E45">
        <v>13377818</v>
      </c>
      <c r="F45" t="s">
        <v>104</v>
      </c>
      <c r="G45" t="s">
        <v>106</v>
      </c>
      <c r="H45" t="s">
        <v>125</v>
      </c>
      <c r="I45">
        <v>45533</v>
      </c>
      <c r="M45" s="61">
        <v>13389810</v>
      </c>
      <c r="N45" s="60">
        <v>280</v>
      </c>
      <c r="O45" s="60">
        <v>97</v>
      </c>
    </row>
    <row r="46" spans="1:15">
      <c r="A46" t="s">
        <v>1602</v>
      </c>
      <c r="B46">
        <v>30</v>
      </c>
      <c r="C46">
        <v>30</v>
      </c>
      <c r="D46">
        <v>0</v>
      </c>
      <c r="E46">
        <v>13389252</v>
      </c>
      <c r="F46" t="s">
        <v>104</v>
      </c>
      <c r="G46" t="s">
        <v>106</v>
      </c>
      <c r="H46">
        <v>45535</v>
      </c>
      <c r="M46" s="61">
        <v>13404939</v>
      </c>
      <c r="N46" s="60"/>
      <c r="O46" s="60"/>
    </row>
    <row r="47" spans="1:15">
      <c r="A47" t="s">
        <v>1602</v>
      </c>
      <c r="B47">
        <v>48</v>
      </c>
      <c r="C47">
        <v>320</v>
      </c>
      <c r="D47">
        <v>272</v>
      </c>
      <c r="E47">
        <v>13389252</v>
      </c>
      <c r="F47" t="s">
        <v>118</v>
      </c>
      <c r="G47" t="s">
        <v>14</v>
      </c>
      <c r="H47">
        <v>45596</v>
      </c>
      <c r="M47" s="61">
        <v>13414130</v>
      </c>
      <c r="N47" s="60"/>
      <c r="O47" s="60"/>
    </row>
    <row r="48" spans="1:15">
      <c r="A48" t="s">
        <v>1602</v>
      </c>
      <c r="B48">
        <v>37</v>
      </c>
      <c r="C48">
        <v>40</v>
      </c>
      <c r="D48">
        <v>3</v>
      </c>
      <c r="E48">
        <v>14578077</v>
      </c>
      <c r="F48" t="s">
        <v>104</v>
      </c>
      <c r="G48" t="s">
        <v>106</v>
      </c>
      <c r="H48">
        <v>45533</v>
      </c>
      <c r="I48">
        <v>45525</v>
      </c>
      <c r="M48" s="61">
        <v>13424248</v>
      </c>
      <c r="N48" s="60">
        <v>230</v>
      </c>
      <c r="O48" s="60">
        <v>0</v>
      </c>
    </row>
    <row r="49" spans="1:15">
      <c r="A49" t="s">
        <v>1602</v>
      </c>
      <c r="B49">
        <v>25</v>
      </c>
      <c r="C49">
        <v>25</v>
      </c>
      <c r="D49">
        <v>0</v>
      </c>
      <c r="E49">
        <v>14578077</v>
      </c>
      <c r="F49" t="s">
        <v>118</v>
      </c>
      <c r="G49" t="s">
        <v>106</v>
      </c>
      <c r="H49">
        <v>45544</v>
      </c>
      <c r="I49">
        <v>45553</v>
      </c>
      <c r="M49" s="61">
        <v>13444612</v>
      </c>
      <c r="N49" s="60">
        <v>150</v>
      </c>
      <c r="O49" s="60">
        <v>99</v>
      </c>
    </row>
    <row r="50" spans="1:15">
      <c r="A50" t="s">
        <v>1607</v>
      </c>
      <c r="B50">
        <v>38</v>
      </c>
      <c r="C50">
        <v>140</v>
      </c>
      <c r="D50">
        <v>102</v>
      </c>
      <c r="E50">
        <v>13389810</v>
      </c>
      <c r="F50" t="s">
        <v>104</v>
      </c>
      <c r="G50" t="s">
        <v>106</v>
      </c>
      <c r="H50">
        <v>45596</v>
      </c>
      <c r="I50">
        <v>45544</v>
      </c>
      <c r="M50" s="61">
        <v>13471498</v>
      </c>
      <c r="N50" s="60">
        <v>260</v>
      </c>
      <c r="O50" s="60">
        <v>111</v>
      </c>
    </row>
    <row r="51" spans="1:15">
      <c r="A51" t="s">
        <v>1607</v>
      </c>
      <c r="B51">
        <v>59</v>
      </c>
      <c r="C51">
        <v>140</v>
      </c>
      <c r="D51">
        <v>81</v>
      </c>
      <c r="E51">
        <v>13389810</v>
      </c>
      <c r="F51" t="s">
        <v>118</v>
      </c>
      <c r="G51" t="s">
        <v>115</v>
      </c>
      <c r="H51">
        <v>45596</v>
      </c>
      <c r="M51" s="61">
        <v>13471500</v>
      </c>
      <c r="N51" s="60">
        <v>0</v>
      </c>
      <c r="O51" s="60">
        <v>0</v>
      </c>
    </row>
    <row r="52" spans="1:15">
      <c r="A52" t="s">
        <v>1612</v>
      </c>
      <c r="B52">
        <v>0</v>
      </c>
      <c r="D52">
        <v>0</v>
      </c>
      <c r="E52">
        <v>13424248</v>
      </c>
      <c r="F52" t="s">
        <v>104</v>
      </c>
      <c r="G52" t="s">
        <v>106</v>
      </c>
      <c r="I52">
        <v>45509</v>
      </c>
      <c r="M52" s="61">
        <v>13477734</v>
      </c>
      <c r="N52" s="60"/>
      <c r="O52" s="60"/>
    </row>
    <row r="53" spans="1:15">
      <c r="A53" t="s">
        <v>1612</v>
      </c>
      <c r="B53">
        <v>0</v>
      </c>
      <c r="C53">
        <v>230</v>
      </c>
      <c r="D53">
        <v>230</v>
      </c>
      <c r="E53">
        <v>13424248</v>
      </c>
      <c r="F53" t="s">
        <v>118</v>
      </c>
      <c r="G53" t="s">
        <v>106</v>
      </c>
      <c r="I53">
        <v>45534</v>
      </c>
      <c r="M53" s="61">
        <v>13480513</v>
      </c>
      <c r="N53" s="60"/>
      <c r="O53" s="60"/>
    </row>
    <row r="54" spans="1:15">
      <c r="A54" t="s">
        <v>1611</v>
      </c>
      <c r="B54">
        <v>99</v>
      </c>
      <c r="C54">
        <v>36</v>
      </c>
      <c r="D54">
        <v>-63</v>
      </c>
      <c r="E54">
        <v>13444612</v>
      </c>
      <c r="F54" t="s">
        <v>104</v>
      </c>
      <c r="G54" t="s">
        <v>14</v>
      </c>
      <c r="H54">
        <v>45562</v>
      </c>
      <c r="M54" s="61">
        <v>13514281</v>
      </c>
      <c r="N54" s="60">
        <v>32</v>
      </c>
      <c r="O54" s="60">
        <v>28</v>
      </c>
    </row>
    <row r="55" spans="1:15">
      <c r="A55" t="s">
        <v>1605</v>
      </c>
      <c r="B55">
        <v>0</v>
      </c>
      <c r="C55">
        <v>40</v>
      </c>
      <c r="D55">
        <v>40</v>
      </c>
      <c r="E55">
        <v>13530028</v>
      </c>
      <c r="F55" t="s">
        <v>104</v>
      </c>
      <c r="G55" t="s">
        <v>14</v>
      </c>
      <c r="H55">
        <v>45565</v>
      </c>
      <c r="M55" s="61">
        <v>13530028</v>
      </c>
      <c r="N55" s="60">
        <v>40</v>
      </c>
      <c r="O55" s="60">
        <v>0</v>
      </c>
    </row>
    <row r="56" spans="1:15">
      <c r="A56" t="s">
        <v>612</v>
      </c>
      <c r="B56">
        <v>0</v>
      </c>
      <c r="C56">
        <v>50</v>
      </c>
      <c r="D56">
        <v>50</v>
      </c>
      <c r="E56">
        <v>13532541</v>
      </c>
      <c r="F56" t="s">
        <v>104</v>
      </c>
      <c r="G56" t="s">
        <v>122</v>
      </c>
      <c r="H56">
        <v>45590</v>
      </c>
      <c r="M56" s="61">
        <v>13532541</v>
      </c>
      <c r="N56" s="60">
        <v>100</v>
      </c>
      <c r="O56" s="60">
        <v>0</v>
      </c>
    </row>
    <row r="57" spans="1:15">
      <c r="A57" t="s">
        <v>389</v>
      </c>
      <c r="B57">
        <v>4</v>
      </c>
      <c r="C57">
        <v>45</v>
      </c>
      <c r="D57">
        <v>41</v>
      </c>
      <c r="E57">
        <v>14118978</v>
      </c>
      <c r="F57" t="s">
        <v>904</v>
      </c>
      <c r="G57" t="s">
        <v>106</v>
      </c>
      <c r="I57">
        <v>45544</v>
      </c>
      <c r="M57" s="61">
        <v>13543919</v>
      </c>
      <c r="N57" s="60">
        <v>120</v>
      </c>
      <c r="O57" s="60">
        <v>28</v>
      </c>
    </row>
    <row r="58" spans="1:15">
      <c r="A58" t="s">
        <v>389</v>
      </c>
      <c r="B58">
        <v>28</v>
      </c>
      <c r="C58">
        <v>50</v>
      </c>
      <c r="D58">
        <v>22</v>
      </c>
      <c r="E58">
        <v>13543919</v>
      </c>
      <c r="F58" t="s">
        <v>104</v>
      </c>
      <c r="G58" t="s">
        <v>115</v>
      </c>
      <c r="H58">
        <v>45560</v>
      </c>
      <c r="M58" s="61">
        <v>13543932</v>
      </c>
      <c r="N58" s="60">
        <v>75</v>
      </c>
      <c r="O58" s="60">
        <v>25</v>
      </c>
    </row>
    <row r="59" spans="1:15">
      <c r="A59" t="s">
        <v>389</v>
      </c>
      <c r="B59">
        <v>0</v>
      </c>
      <c r="C59">
        <v>70</v>
      </c>
      <c r="D59">
        <v>70</v>
      </c>
      <c r="E59">
        <v>13543919</v>
      </c>
      <c r="F59" t="s">
        <v>118</v>
      </c>
      <c r="G59" t="s">
        <v>122</v>
      </c>
      <c r="H59">
        <v>45583</v>
      </c>
      <c r="M59" s="61">
        <v>13579065</v>
      </c>
      <c r="N59" s="60">
        <v>10</v>
      </c>
      <c r="O59" s="60">
        <v>10</v>
      </c>
    </row>
    <row r="60" spans="1:15">
      <c r="A60" t="s">
        <v>1610</v>
      </c>
      <c r="B60">
        <v>10</v>
      </c>
      <c r="C60">
        <v>10</v>
      </c>
      <c r="D60">
        <v>0</v>
      </c>
      <c r="E60">
        <v>13579065</v>
      </c>
      <c r="F60" t="s">
        <v>104</v>
      </c>
      <c r="G60" t="s">
        <v>231</v>
      </c>
      <c r="H60">
        <v>45575</v>
      </c>
      <c r="I60">
        <v>45544</v>
      </c>
      <c r="M60" s="61">
        <v>13590592</v>
      </c>
      <c r="N60" s="60"/>
      <c r="O60" s="60"/>
    </row>
    <row r="61" spans="1:15">
      <c r="A61" t="s">
        <v>1610</v>
      </c>
      <c r="B61">
        <v>0</v>
      </c>
      <c r="C61">
        <v>0</v>
      </c>
      <c r="D61">
        <v>0</v>
      </c>
      <c r="E61">
        <v>13579065</v>
      </c>
      <c r="F61" t="s">
        <v>118</v>
      </c>
      <c r="G61" t="s">
        <v>231</v>
      </c>
      <c r="H61">
        <v>45575</v>
      </c>
      <c r="I61">
        <v>45546</v>
      </c>
      <c r="M61" s="61">
        <v>13590634</v>
      </c>
      <c r="N61" s="60">
        <v>0</v>
      </c>
      <c r="O61" s="60">
        <v>0</v>
      </c>
    </row>
    <row r="62" spans="1:15">
      <c r="A62" t="s">
        <v>1609</v>
      </c>
      <c r="B62">
        <v>0</v>
      </c>
      <c r="C62">
        <v>69</v>
      </c>
      <c r="D62">
        <v>69</v>
      </c>
      <c r="E62">
        <v>13608762</v>
      </c>
      <c r="F62" t="s">
        <v>104</v>
      </c>
      <c r="G62" t="s">
        <v>201</v>
      </c>
      <c r="H62">
        <v>45554</v>
      </c>
      <c r="M62" s="61">
        <v>13608762</v>
      </c>
      <c r="N62" s="60">
        <v>190</v>
      </c>
      <c r="O62" s="60">
        <v>0</v>
      </c>
    </row>
    <row r="63" spans="1:15">
      <c r="A63" t="s">
        <v>212</v>
      </c>
      <c r="B63">
        <v>0</v>
      </c>
      <c r="C63">
        <v>16</v>
      </c>
      <c r="D63">
        <v>16</v>
      </c>
      <c r="E63">
        <v>13665891</v>
      </c>
      <c r="F63" t="s">
        <v>104</v>
      </c>
      <c r="G63" t="s">
        <v>115</v>
      </c>
      <c r="H63">
        <v>45569</v>
      </c>
      <c r="M63" s="61">
        <v>13665891</v>
      </c>
      <c r="N63" s="60">
        <v>32</v>
      </c>
      <c r="O63" s="60">
        <v>0</v>
      </c>
    </row>
    <row r="64" spans="1:15">
      <c r="A64" t="s">
        <v>1608</v>
      </c>
      <c r="B64">
        <v>0</v>
      </c>
      <c r="D64">
        <v>0</v>
      </c>
      <c r="E64">
        <v>13665944</v>
      </c>
      <c r="F64" t="s">
        <v>104</v>
      </c>
      <c r="G64" t="s">
        <v>106</v>
      </c>
      <c r="I64">
        <v>45551</v>
      </c>
      <c r="M64" s="61">
        <v>13665944</v>
      </c>
      <c r="N64" s="60"/>
      <c r="O64" s="60">
        <v>0</v>
      </c>
    </row>
    <row r="65" spans="1:15">
      <c r="A65" t="s">
        <v>1608</v>
      </c>
      <c r="E65">
        <v>13334991</v>
      </c>
      <c r="F65" t="s">
        <v>104</v>
      </c>
      <c r="G65" t="s">
        <v>115</v>
      </c>
      <c r="M65" s="61">
        <v>13665988</v>
      </c>
      <c r="N65" s="60">
        <v>200</v>
      </c>
      <c r="O65" s="60">
        <v>35</v>
      </c>
    </row>
    <row r="66" spans="1:15">
      <c r="A66" t="s">
        <v>1608</v>
      </c>
      <c r="B66">
        <v>0</v>
      </c>
      <c r="D66">
        <v>0</v>
      </c>
      <c r="E66">
        <v>13665944</v>
      </c>
      <c r="F66" t="s">
        <v>118</v>
      </c>
      <c r="G66" t="s">
        <v>122</v>
      </c>
      <c r="H66">
        <v>45595</v>
      </c>
      <c r="M66" s="61">
        <v>13718960</v>
      </c>
      <c r="N66" s="60">
        <v>50</v>
      </c>
      <c r="O66" s="60">
        <v>14</v>
      </c>
    </row>
    <row r="67" spans="1:15">
      <c r="A67" t="s">
        <v>260</v>
      </c>
      <c r="B67">
        <v>35</v>
      </c>
      <c r="C67">
        <v>100</v>
      </c>
      <c r="D67">
        <v>65</v>
      </c>
      <c r="E67">
        <v>13665988</v>
      </c>
      <c r="F67" t="s">
        <v>104</v>
      </c>
      <c r="G67" t="s">
        <v>115</v>
      </c>
      <c r="H67">
        <v>45545</v>
      </c>
      <c r="M67" s="61">
        <v>13743222</v>
      </c>
      <c r="N67" s="60">
        <v>180</v>
      </c>
      <c r="O67" s="60">
        <v>160</v>
      </c>
    </row>
    <row r="68" spans="1:15">
      <c r="A68" t="s">
        <v>260</v>
      </c>
      <c r="B68">
        <v>0</v>
      </c>
      <c r="C68">
        <v>100</v>
      </c>
      <c r="D68">
        <v>100</v>
      </c>
      <c r="E68">
        <v>13665988</v>
      </c>
      <c r="F68" t="s">
        <v>118</v>
      </c>
      <c r="G68" t="s">
        <v>122</v>
      </c>
      <c r="H68">
        <v>45577</v>
      </c>
      <c r="M68" s="61">
        <v>13751560</v>
      </c>
      <c r="N68" s="60">
        <v>76</v>
      </c>
      <c r="O68" s="60">
        <v>0</v>
      </c>
    </row>
    <row r="69" spans="1:15">
      <c r="A69" t="s">
        <v>212</v>
      </c>
      <c r="B69">
        <v>14</v>
      </c>
      <c r="C69">
        <v>16</v>
      </c>
      <c r="D69">
        <v>2</v>
      </c>
      <c r="E69">
        <v>13718960</v>
      </c>
      <c r="F69" t="s">
        <v>104</v>
      </c>
      <c r="G69" t="s">
        <v>201</v>
      </c>
      <c r="H69">
        <v>45569</v>
      </c>
      <c r="M69" s="61">
        <v>13779220</v>
      </c>
      <c r="N69" s="60">
        <v>45</v>
      </c>
      <c r="O69" s="60"/>
    </row>
    <row r="70" spans="1:15">
      <c r="A70" t="s">
        <v>577</v>
      </c>
      <c r="B70">
        <v>30</v>
      </c>
      <c r="C70">
        <v>30</v>
      </c>
      <c r="D70">
        <v>0</v>
      </c>
      <c r="E70">
        <v>13743222</v>
      </c>
      <c r="F70" t="s">
        <v>904</v>
      </c>
      <c r="G70" t="s">
        <v>106</v>
      </c>
      <c r="H70" t="s">
        <v>1598</v>
      </c>
      <c r="I70">
        <v>45544</v>
      </c>
      <c r="M70" s="61">
        <v>13850037</v>
      </c>
      <c r="N70" s="60">
        <v>0</v>
      </c>
      <c r="O70" s="60">
        <v>0</v>
      </c>
    </row>
    <row r="71" spans="1:15">
      <c r="A71" t="s">
        <v>577</v>
      </c>
      <c r="E71">
        <v>13358711</v>
      </c>
      <c r="F71" t="s">
        <v>104</v>
      </c>
      <c r="G71" t="s">
        <v>115</v>
      </c>
      <c r="M71" s="61">
        <v>13868570</v>
      </c>
      <c r="N71" s="60">
        <v>126</v>
      </c>
      <c r="O71" s="60">
        <v>4</v>
      </c>
    </row>
    <row r="72" spans="1:15">
      <c r="A72" t="s">
        <v>577</v>
      </c>
      <c r="B72">
        <v>130</v>
      </c>
      <c r="C72">
        <v>150</v>
      </c>
      <c r="D72">
        <v>20</v>
      </c>
      <c r="E72">
        <v>13743222</v>
      </c>
      <c r="F72" t="s">
        <v>118</v>
      </c>
      <c r="G72" t="s">
        <v>115</v>
      </c>
      <c r="H72" t="s">
        <v>1598</v>
      </c>
      <c r="M72" s="61">
        <v>13895158</v>
      </c>
      <c r="N72" s="60">
        <v>290</v>
      </c>
      <c r="O72" s="60">
        <v>84.5</v>
      </c>
    </row>
    <row r="73" spans="1:15">
      <c r="A73" t="s">
        <v>171</v>
      </c>
      <c r="B73">
        <v>0</v>
      </c>
      <c r="C73">
        <v>21</v>
      </c>
      <c r="D73">
        <v>21</v>
      </c>
      <c r="E73">
        <v>13751560</v>
      </c>
      <c r="F73" t="s">
        <v>104</v>
      </c>
      <c r="G73" t="s">
        <v>122</v>
      </c>
      <c r="H73">
        <v>45574</v>
      </c>
      <c r="M73" s="61">
        <v>14026238</v>
      </c>
      <c r="N73" s="60"/>
      <c r="O73" s="60"/>
    </row>
    <row r="74" spans="1:15">
      <c r="A74" t="s">
        <v>551</v>
      </c>
      <c r="C74">
        <v>24</v>
      </c>
      <c r="D74">
        <v>24</v>
      </c>
      <c r="E74">
        <v>13779220</v>
      </c>
      <c r="F74" t="s">
        <v>104</v>
      </c>
      <c r="G74" t="s">
        <v>14</v>
      </c>
      <c r="H74">
        <v>45611</v>
      </c>
      <c r="M74" s="61">
        <v>14026935</v>
      </c>
      <c r="N74" s="60">
        <v>72</v>
      </c>
      <c r="O74" s="60">
        <v>0</v>
      </c>
    </row>
    <row r="75" spans="1:15">
      <c r="A75" t="s">
        <v>389</v>
      </c>
      <c r="B75">
        <v>0</v>
      </c>
      <c r="C75">
        <v>0</v>
      </c>
      <c r="D75">
        <v>0</v>
      </c>
      <c r="E75">
        <v>13850037</v>
      </c>
      <c r="F75" t="s">
        <v>104</v>
      </c>
      <c r="G75" t="s">
        <v>115</v>
      </c>
      <c r="H75">
        <v>45560</v>
      </c>
      <c r="M75" s="61">
        <v>14042361</v>
      </c>
      <c r="N75" s="60">
        <v>0</v>
      </c>
      <c r="O75" s="60">
        <v>0</v>
      </c>
    </row>
    <row r="76" spans="1:15">
      <c r="A76" t="s">
        <v>389</v>
      </c>
      <c r="B76">
        <v>0</v>
      </c>
      <c r="D76">
        <v>0</v>
      </c>
      <c r="E76">
        <v>13850037</v>
      </c>
      <c r="F76" t="s">
        <v>118</v>
      </c>
      <c r="G76" t="s">
        <v>122</v>
      </c>
      <c r="H76">
        <v>45583</v>
      </c>
      <c r="M76" s="61">
        <v>14063837</v>
      </c>
      <c r="N76" s="60">
        <v>0</v>
      </c>
      <c r="O76" s="60">
        <v>0</v>
      </c>
    </row>
    <row r="77" spans="1:15">
      <c r="A77" t="s">
        <v>1611</v>
      </c>
      <c r="B77">
        <v>4</v>
      </c>
      <c r="C77">
        <v>63</v>
      </c>
      <c r="D77">
        <v>59</v>
      </c>
      <c r="E77">
        <v>13868570</v>
      </c>
      <c r="F77" t="s">
        <v>104</v>
      </c>
      <c r="G77" t="s">
        <v>231</v>
      </c>
      <c r="H77">
        <v>45560</v>
      </c>
      <c r="I77">
        <v>45544</v>
      </c>
      <c r="M77" s="61">
        <v>14106681</v>
      </c>
      <c r="N77" s="60">
        <v>96</v>
      </c>
      <c r="O77" s="60">
        <v>110</v>
      </c>
    </row>
    <row r="78" spans="1:15">
      <c r="A78" t="s">
        <v>171</v>
      </c>
      <c r="B78">
        <v>0</v>
      </c>
      <c r="C78">
        <v>21</v>
      </c>
      <c r="D78">
        <v>21</v>
      </c>
      <c r="E78">
        <v>14026935</v>
      </c>
      <c r="F78" t="s">
        <v>104</v>
      </c>
      <c r="G78" t="s">
        <v>122</v>
      </c>
      <c r="H78">
        <v>45574</v>
      </c>
      <c r="M78" s="61">
        <v>14114528</v>
      </c>
      <c r="N78" s="60">
        <v>10</v>
      </c>
      <c r="O78" s="60">
        <v>10</v>
      </c>
    </row>
    <row r="79" spans="1:15">
      <c r="A79" t="s">
        <v>1606</v>
      </c>
      <c r="B79">
        <v>0</v>
      </c>
      <c r="C79">
        <v>0</v>
      </c>
      <c r="D79">
        <v>0</v>
      </c>
      <c r="E79">
        <v>14063837</v>
      </c>
      <c r="F79" t="s">
        <v>104</v>
      </c>
      <c r="G79" t="s">
        <v>201</v>
      </c>
      <c r="H79">
        <v>45562</v>
      </c>
      <c r="M79" s="61">
        <v>14114589</v>
      </c>
      <c r="N79" s="60">
        <v>150</v>
      </c>
      <c r="O79" s="60">
        <v>0</v>
      </c>
    </row>
    <row r="80" spans="1:15">
      <c r="A80" t="s">
        <v>1380</v>
      </c>
      <c r="B80">
        <v>10</v>
      </c>
      <c r="C80">
        <v>10</v>
      </c>
      <c r="D80">
        <v>0</v>
      </c>
      <c r="E80">
        <v>14114528</v>
      </c>
      <c r="F80" t="s">
        <v>104</v>
      </c>
      <c r="G80" t="s">
        <v>231</v>
      </c>
      <c r="I80">
        <v>45542</v>
      </c>
      <c r="M80" s="61">
        <v>14114621</v>
      </c>
      <c r="N80" s="60">
        <v>88</v>
      </c>
      <c r="O80" s="60">
        <v>8</v>
      </c>
    </row>
    <row r="81" spans="1:15">
      <c r="A81" t="s">
        <v>577</v>
      </c>
      <c r="B81">
        <v>0</v>
      </c>
      <c r="C81">
        <v>70</v>
      </c>
      <c r="D81">
        <v>70</v>
      </c>
      <c r="E81">
        <v>14114589</v>
      </c>
      <c r="F81" t="s">
        <v>104</v>
      </c>
      <c r="G81" t="s">
        <v>201</v>
      </c>
      <c r="H81" t="s">
        <v>125</v>
      </c>
      <c r="M81" s="61">
        <v>14118970</v>
      </c>
      <c r="N81" s="60">
        <v>102</v>
      </c>
      <c r="O81" s="60">
        <v>102.5</v>
      </c>
    </row>
    <row r="82" spans="1:15">
      <c r="A82" t="s">
        <v>577</v>
      </c>
      <c r="B82">
        <v>0</v>
      </c>
      <c r="C82">
        <v>80</v>
      </c>
      <c r="D82">
        <v>80</v>
      </c>
      <c r="E82">
        <v>14114589</v>
      </c>
      <c r="F82" t="s">
        <v>118</v>
      </c>
      <c r="G82" t="s">
        <v>122</v>
      </c>
      <c r="H82" t="s">
        <v>125</v>
      </c>
      <c r="M82" s="61">
        <v>14118978</v>
      </c>
      <c r="N82" s="60">
        <v>90</v>
      </c>
      <c r="O82" s="60">
        <v>8</v>
      </c>
    </row>
    <row r="83" spans="1:15">
      <c r="A83" t="s">
        <v>1380</v>
      </c>
      <c r="B83">
        <v>4</v>
      </c>
      <c r="C83">
        <v>44</v>
      </c>
      <c r="D83">
        <v>40</v>
      </c>
      <c r="E83">
        <v>14114621</v>
      </c>
      <c r="F83" t="s">
        <v>104</v>
      </c>
      <c r="G83" t="s">
        <v>207</v>
      </c>
      <c r="H83">
        <v>45560</v>
      </c>
      <c r="M83" s="61">
        <v>14119014</v>
      </c>
      <c r="N83" s="60">
        <v>51</v>
      </c>
      <c r="O83" s="60">
        <v>50</v>
      </c>
    </row>
    <row r="84" spans="1:15">
      <c r="A84" t="s">
        <v>389</v>
      </c>
      <c r="B84">
        <v>15</v>
      </c>
      <c r="C84">
        <v>60</v>
      </c>
      <c r="D84">
        <v>0</v>
      </c>
      <c r="E84">
        <v>14127834</v>
      </c>
      <c r="F84" t="s">
        <v>104</v>
      </c>
      <c r="G84" t="s">
        <v>115</v>
      </c>
      <c r="H84">
        <v>45560</v>
      </c>
      <c r="M84" s="61">
        <v>14127834</v>
      </c>
      <c r="N84" s="60">
        <v>130</v>
      </c>
      <c r="O84" s="60">
        <v>15</v>
      </c>
    </row>
    <row r="85" spans="1:15">
      <c r="A85" t="s">
        <v>389</v>
      </c>
      <c r="B85">
        <v>0</v>
      </c>
      <c r="C85">
        <v>70</v>
      </c>
      <c r="D85">
        <v>70</v>
      </c>
      <c r="E85">
        <v>14127834</v>
      </c>
      <c r="F85" t="s">
        <v>118</v>
      </c>
      <c r="G85" t="s">
        <v>122</v>
      </c>
      <c r="H85">
        <v>45583</v>
      </c>
      <c r="M85" s="61">
        <v>14135946</v>
      </c>
      <c r="N85" s="60">
        <v>105</v>
      </c>
      <c r="O85" s="60">
        <v>15</v>
      </c>
    </row>
    <row r="86" spans="1:15">
      <c r="A86" t="s">
        <v>389</v>
      </c>
      <c r="B86">
        <v>15</v>
      </c>
      <c r="C86">
        <v>40</v>
      </c>
      <c r="D86">
        <v>0</v>
      </c>
      <c r="E86">
        <v>14135946</v>
      </c>
      <c r="F86" t="s">
        <v>104</v>
      </c>
      <c r="G86" t="s">
        <v>115</v>
      </c>
      <c r="H86">
        <v>45555</v>
      </c>
      <c r="M86" s="61">
        <v>14135947</v>
      </c>
      <c r="N86" s="60">
        <v>170</v>
      </c>
      <c r="O86" s="60">
        <v>60</v>
      </c>
    </row>
    <row r="87" spans="1:15">
      <c r="A87" t="s">
        <v>389</v>
      </c>
      <c r="B87">
        <v>0</v>
      </c>
      <c r="C87">
        <v>65</v>
      </c>
      <c r="D87">
        <v>65</v>
      </c>
      <c r="E87">
        <v>14135946</v>
      </c>
      <c r="F87" t="s">
        <v>118</v>
      </c>
      <c r="G87" t="s">
        <v>122</v>
      </c>
      <c r="H87">
        <v>45590</v>
      </c>
      <c r="M87" s="61">
        <v>14135953</v>
      </c>
      <c r="N87" s="60">
        <v>300</v>
      </c>
      <c r="O87" s="60">
        <v>0</v>
      </c>
    </row>
    <row r="88" spans="1:15">
      <c r="A88" t="s">
        <v>612</v>
      </c>
      <c r="B88">
        <v>60</v>
      </c>
      <c r="C88">
        <v>70</v>
      </c>
      <c r="D88">
        <v>10</v>
      </c>
      <c r="E88">
        <v>14135947</v>
      </c>
      <c r="F88" t="s">
        <v>104</v>
      </c>
      <c r="G88" t="s">
        <v>115</v>
      </c>
      <c r="H88">
        <v>45555</v>
      </c>
      <c r="M88" s="61">
        <v>14160848</v>
      </c>
      <c r="N88" s="60">
        <v>45</v>
      </c>
      <c r="O88" s="60">
        <v>25</v>
      </c>
    </row>
    <row r="89" spans="1:15">
      <c r="A89" t="s">
        <v>612</v>
      </c>
      <c r="B89">
        <v>0</v>
      </c>
      <c r="C89">
        <v>100</v>
      </c>
      <c r="D89">
        <v>100</v>
      </c>
      <c r="E89">
        <v>14135947</v>
      </c>
      <c r="F89" t="s">
        <v>118</v>
      </c>
      <c r="G89" t="s">
        <v>122</v>
      </c>
      <c r="H89">
        <v>45590</v>
      </c>
      <c r="M89" s="61">
        <v>14186651</v>
      </c>
      <c r="N89" s="60">
        <v>50</v>
      </c>
      <c r="O89" s="60">
        <v>50</v>
      </c>
    </row>
    <row r="90" spans="1:15">
      <c r="A90" t="s">
        <v>260</v>
      </c>
      <c r="B90">
        <v>0</v>
      </c>
      <c r="C90">
        <v>40</v>
      </c>
      <c r="D90">
        <v>0</v>
      </c>
      <c r="E90">
        <v>14218829</v>
      </c>
      <c r="F90" t="s">
        <v>104</v>
      </c>
      <c r="G90" t="s">
        <v>122</v>
      </c>
      <c r="M90" s="61">
        <v>14186735</v>
      </c>
      <c r="N90" s="60"/>
      <c r="O90" s="60">
        <v>2</v>
      </c>
    </row>
    <row r="91" spans="1:15">
      <c r="A91" t="s">
        <v>212</v>
      </c>
      <c r="B91">
        <v>0</v>
      </c>
      <c r="C91">
        <v>16</v>
      </c>
      <c r="D91">
        <v>16</v>
      </c>
      <c r="E91">
        <v>14329073</v>
      </c>
      <c r="F91" t="s">
        <v>104</v>
      </c>
      <c r="G91" t="s">
        <v>207</v>
      </c>
      <c r="H91">
        <v>45569</v>
      </c>
      <c r="M91" s="61">
        <v>14218829</v>
      </c>
      <c r="N91" s="60">
        <v>80</v>
      </c>
      <c r="O91" s="60">
        <v>0</v>
      </c>
    </row>
    <row r="92" spans="1:15">
      <c r="A92" t="s">
        <v>1610</v>
      </c>
      <c r="B92">
        <v>16</v>
      </c>
      <c r="C92">
        <v>11</v>
      </c>
      <c r="D92">
        <v>-5</v>
      </c>
      <c r="E92">
        <v>14329077</v>
      </c>
      <c r="F92" t="s">
        <v>104</v>
      </c>
      <c r="G92" t="s">
        <v>207</v>
      </c>
      <c r="H92">
        <v>45580</v>
      </c>
      <c r="M92" s="61">
        <v>14328635</v>
      </c>
      <c r="N92" s="60"/>
      <c r="O92" s="60"/>
    </row>
    <row r="93" spans="1:15">
      <c r="A93" t="s">
        <v>316</v>
      </c>
      <c r="B93">
        <v>0</v>
      </c>
      <c r="D93">
        <v>0</v>
      </c>
      <c r="E93">
        <v>14345946</v>
      </c>
      <c r="F93" t="s">
        <v>104</v>
      </c>
      <c r="G93" t="s">
        <v>207</v>
      </c>
      <c r="M93" s="61">
        <v>14328642</v>
      </c>
      <c r="N93" s="60">
        <v>135</v>
      </c>
      <c r="O93" s="60">
        <v>0</v>
      </c>
    </row>
    <row r="94" spans="1:15">
      <c r="A94" t="s">
        <v>1608</v>
      </c>
      <c r="B94">
        <v>0</v>
      </c>
      <c r="D94">
        <v>0</v>
      </c>
      <c r="E94">
        <v>14345946</v>
      </c>
      <c r="F94" t="s">
        <v>118</v>
      </c>
      <c r="G94" t="s">
        <v>207</v>
      </c>
      <c r="H94">
        <v>45565</v>
      </c>
      <c r="M94" s="61">
        <v>14329073</v>
      </c>
      <c r="N94" s="60">
        <v>50</v>
      </c>
      <c r="O94" s="60">
        <v>0</v>
      </c>
    </row>
    <row r="95" spans="1:15">
      <c r="A95" t="s">
        <v>1612</v>
      </c>
      <c r="B95">
        <v>0</v>
      </c>
      <c r="C95">
        <v>30</v>
      </c>
      <c r="D95">
        <v>30</v>
      </c>
      <c r="E95">
        <v>14363879</v>
      </c>
      <c r="F95" t="s">
        <v>104</v>
      </c>
      <c r="G95" t="s">
        <v>207</v>
      </c>
      <c r="H95">
        <v>45565</v>
      </c>
      <c r="M95" s="61">
        <v>14329077</v>
      </c>
      <c r="N95" s="60">
        <v>54</v>
      </c>
      <c r="O95" s="60">
        <v>16</v>
      </c>
    </row>
    <row r="96" spans="1:15">
      <c r="A96" t="s">
        <v>1612</v>
      </c>
      <c r="B96">
        <v>0</v>
      </c>
      <c r="C96">
        <v>30</v>
      </c>
      <c r="D96">
        <v>30</v>
      </c>
      <c r="E96">
        <v>14363879</v>
      </c>
      <c r="F96" t="s">
        <v>118</v>
      </c>
      <c r="G96" t="s">
        <v>207</v>
      </c>
      <c r="H96">
        <v>45565</v>
      </c>
      <c r="M96" s="61">
        <v>14345946</v>
      </c>
      <c r="N96" s="60"/>
      <c r="O96" s="60">
        <v>0</v>
      </c>
    </row>
    <row r="97" spans="1:15">
      <c r="A97" t="s">
        <v>577</v>
      </c>
      <c r="B97">
        <v>0</v>
      </c>
      <c r="C97">
        <v>25</v>
      </c>
      <c r="D97">
        <v>25</v>
      </c>
      <c r="E97">
        <v>14364440</v>
      </c>
      <c r="F97" t="s">
        <v>104</v>
      </c>
      <c r="G97" t="s">
        <v>207</v>
      </c>
      <c r="H97">
        <v>45562</v>
      </c>
      <c r="M97" s="61">
        <v>14363879</v>
      </c>
      <c r="N97" s="60">
        <v>60</v>
      </c>
      <c r="O97" s="60">
        <v>0</v>
      </c>
    </row>
    <row r="98" spans="1:15">
      <c r="A98" t="s">
        <v>577</v>
      </c>
      <c r="B98">
        <v>0</v>
      </c>
      <c r="D98">
        <v>0</v>
      </c>
      <c r="E98">
        <v>14364440</v>
      </c>
      <c r="F98" t="s">
        <v>118</v>
      </c>
      <c r="G98" t="s">
        <v>207</v>
      </c>
      <c r="H98">
        <v>45588</v>
      </c>
      <c r="M98" s="61">
        <v>14364440</v>
      </c>
      <c r="N98" s="60">
        <v>25</v>
      </c>
      <c r="O98" s="60">
        <v>0</v>
      </c>
    </row>
    <row r="99" spans="1:15">
      <c r="A99" t="s">
        <v>551</v>
      </c>
      <c r="B99">
        <v>0</v>
      </c>
      <c r="D99">
        <v>0</v>
      </c>
      <c r="E99">
        <v>14364545</v>
      </c>
      <c r="F99" t="s">
        <v>104</v>
      </c>
      <c r="G99" t="s">
        <v>201</v>
      </c>
      <c r="H99" t="s">
        <v>270</v>
      </c>
      <c r="M99" s="61">
        <v>14364545</v>
      </c>
      <c r="N99" s="60"/>
      <c r="O99" s="60">
        <v>0</v>
      </c>
    </row>
    <row r="100" spans="1:15">
      <c r="A100" t="s">
        <v>551</v>
      </c>
      <c r="B100">
        <v>0</v>
      </c>
      <c r="D100">
        <v>0</v>
      </c>
      <c r="E100">
        <v>14364545</v>
      </c>
      <c r="F100" t="s">
        <v>118</v>
      </c>
      <c r="G100" t="s">
        <v>201</v>
      </c>
      <c r="H100" t="s">
        <v>270</v>
      </c>
      <c r="M100" s="61">
        <v>14364578</v>
      </c>
      <c r="N100" s="60"/>
      <c r="O100" s="60">
        <v>0</v>
      </c>
    </row>
    <row r="101" spans="1:15">
      <c r="A101" t="s">
        <v>551</v>
      </c>
      <c r="B101">
        <v>0</v>
      </c>
      <c r="D101">
        <v>0</v>
      </c>
      <c r="E101">
        <v>14364578</v>
      </c>
      <c r="F101" t="s">
        <v>104</v>
      </c>
      <c r="G101" t="s">
        <v>201</v>
      </c>
      <c r="H101" t="s">
        <v>270</v>
      </c>
      <c r="M101" s="61">
        <v>14369529</v>
      </c>
      <c r="N101" s="60">
        <v>65</v>
      </c>
      <c r="O101" s="60">
        <v>65</v>
      </c>
    </row>
    <row r="102" spans="1:15">
      <c r="A102" t="s">
        <v>551</v>
      </c>
      <c r="B102">
        <v>0</v>
      </c>
      <c r="D102">
        <v>0</v>
      </c>
      <c r="E102">
        <v>14364578</v>
      </c>
      <c r="F102" t="s">
        <v>118</v>
      </c>
      <c r="G102" t="s">
        <v>201</v>
      </c>
      <c r="H102" t="s">
        <v>270</v>
      </c>
      <c r="M102" s="61">
        <v>14370434</v>
      </c>
      <c r="N102" s="60">
        <v>125</v>
      </c>
      <c r="O102" s="60">
        <v>125</v>
      </c>
    </row>
    <row r="103" spans="1:15">
      <c r="A103" t="s">
        <v>401</v>
      </c>
      <c r="B103">
        <v>15</v>
      </c>
      <c r="C103">
        <v>25</v>
      </c>
      <c r="D103">
        <v>10</v>
      </c>
      <c r="E103">
        <v>14395198</v>
      </c>
      <c r="F103" t="s">
        <v>104</v>
      </c>
      <c r="G103" t="s">
        <v>115</v>
      </c>
      <c r="H103">
        <v>45552</v>
      </c>
      <c r="M103" s="61">
        <v>14395198</v>
      </c>
      <c r="N103" s="60">
        <v>110</v>
      </c>
      <c r="O103" s="60">
        <v>15</v>
      </c>
    </row>
    <row r="104" spans="1:15">
      <c r="A104" t="s">
        <v>401</v>
      </c>
      <c r="B104">
        <v>9</v>
      </c>
      <c r="C104">
        <v>25</v>
      </c>
      <c r="D104">
        <v>16</v>
      </c>
      <c r="E104">
        <v>14428693</v>
      </c>
      <c r="F104" t="s">
        <v>104</v>
      </c>
      <c r="G104" t="s">
        <v>115</v>
      </c>
      <c r="H104">
        <v>45552</v>
      </c>
      <c r="M104" s="61">
        <v>14415486</v>
      </c>
      <c r="N104" s="60"/>
      <c r="O104" s="60"/>
    </row>
    <row r="105" spans="1:15">
      <c r="A105" t="s">
        <v>260</v>
      </c>
      <c r="C105">
        <v>20</v>
      </c>
      <c r="D105">
        <v>20</v>
      </c>
      <c r="E105">
        <v>14447513</v>
      </c>
      <c r="F105" t="s">
        <v>104</v>
      </c>
      <c r="G105" t="s">
        <v>207</v>
      </c>
      <c r="H105">
        <v>45562</v>
      </c>
      <c r="M105" s="61">
        <v>14428693</v>
      </c>
      <c r="N105" s="60">
        <v>65</v>
      </c>
      <c r="O105" s="60">
        <v>9</v>
      </c>
    </row>
    <row r="106" spans="1:15">
      <c r="A106" t="s">
        <v>260</v>
      </c>
      <c r="B106">
        <v>0</v>
      </c>
      <c r="C106">
        <v>20</v>
      </c>
      <c r="D106">
        <v>20</v>
      </c>
      <c r="E106">
        <v>14447513</v>
      </c>
      <c r="F106" t="s">
        <v>118</v>
      </c>
      <c r="G106" t="s">
        <v>207</v>
      </c>
      <c r="H106">
        <v>45590</v>
      </c>
      <c r="M106" s="61">
        <v>14433401</v>
      </c>
      <c r="N106" s="60">
        <v>0</v>
      </c>
      <c r="O106" s="60">
        <v>0</v>
      </c>
    </row>
    <row r="107" spans="1:15">
      <c r="A107" t="s">
        <v>260</v>
      </c>
      <c r="B107">
        <v>19</v>
      </c>
      <c r="C107">
        <v>20</v>
      </c>
      <c r="D107">
        <v>0</v>
      </c>
      <c r="E107">
        <v>14447515</v>
      </c>
      <c r="F107" t="s">
        <v>104</v>
      </c>
      <c r="G107" t="s">
        <v>115</v>
      </c>
      <c r="H107">
        <v>45545</v>
      </c>
      <c r="M107" s="61">
        <v>14433414</v>
      </c>
      <c r="N107" s="60">
        <v>221</v>
      </c>
      <c r="O107" s="60">
        <v>16</v>
      </c>
    </row>
    <row r="108" spans="1:15">
      <c r="A108" t="s">
        <v>260</v>
      </c>
      <c r="B108">
        <v>0</v>
      </c>
      <c r="C108">
        <v>20</v>
      </c>
      <c r="D108">
        <v>20</v>
      </c>
      <c r="E108">
        <v>14447515</v>
      </c>
      <c r="F108" t="s">
        <v>118</v>
      </c>
      <c r="G108" t="s">
        <v>122</v>
      </c>
      <c r="H108">
        <v>45577</v>
      </c>
      <c r="M108" s="61">
        <v>14447513</v>
      </c>
      <c r="N108" s="60">
        <v>40</v>
      </c>
      <c r="O108" s="60">
        <v>0</v>
      </c>
    </row>
    <row r="109" spans="1:15">
      <c r="A109" t="s">
        <v>1608</v>
      </c>
      <c r="B109">
        <v>0</v>
      </c>
      <c r="C109">
        <v>20</v>
      </c>
      <c r="D109">
        <v>20</v>
      </c>
      <c r="E109">
        <v>14447516</v>
      </c>
      <c r="F109" t="s">
        <v>104</v>
      </c>
      <c r="G109" t="s">
        <v>207</v>
      </c>
      <c r="M109" s="61">
        <v>14447515</v>
      </c>
      <c r="N109" s="60">
        <v>40</v>
      </c>
      <c r="O109" s="60">
        <v>19</v>
      </c>
    </row>
    <row r="110" spans="1:15">
      <c r="A110" t="s">
        <v>1608</v>
      </c>
      <c r="B110">
        <v>0</v>
      </c>
      <c r="C110">
        <v>20</v>
      </c>
      <c r="D110">
        <v>20</v>
      </c>
      <c r="E110">
        <v>14447516</v>
      </c>
      <c r="F110" t="s">
        <v>118</v>
      </c>
      <c r="G110" t="s">
        <v>207</v>
      </c>
      <c r="M110" s="61">
        <v>14447516</v>
      </c>
      <c r="N110" s="60">
        <v>40</v>
      </c>
      <c r="O110" s="60">
        <v>0</v>
      </c>
    </row>
    <row r="111" spans="1:15">
      <c r="A111" t="s">
        <v>1608</v>
      </c>
      <c r="B111">
        <v>30</v>
      </c>
      <c r="C111">
        <v>15</v>
      </c>
      <c r="D111">
        <v>-15</v>
      </c>
      <c r="E111">
        <v>14447518</v>
      </c>
      <c r="F111" t="s">
        <v>104</v>
      </c>
      <c r="G111" t="s">
        <v>115</v>
      </c>
      <c r="H111">
        <v>45565</v>
      </c>
      <c r="M111" s="61">
        <v>14447518</v>
      </c>
      <c r="N111" s="60">
        <v>30</v>
      </c>
      <c r="O111" s="60">
        <v>30</v>
      </c>
    </row>
    <row r="112" spans="1:15">
      <c r="A112" t="s">
        <v>1608</v>
      </c>
      <c r="B112">
        <v>0</v>
      </c>
      <c r="C112">
        <v>15</v>
      </c>
      <c r="D112">
        <v>15</v>
      </c>
      <c r="E112">
        <v>14447518</v>
      </c>
      <c r="F112" t="s">
        <v>118</v>
      </c>
      <c r="G112" t="s">
        <v>122</v>
      </c>
      <c r="H112">
        <v>45580</v>
      </c>
      <c r="M112" s="61">
        <v>14447525</v>
      </c>
      <c r="N112" s="60">
        <v>60</v>
      </c>
      <c r="O112" s="60">
        <v>0</v>
      </c>
    </row>
    <row r="113" spans="1:15">
      <c r="A113" t="s">
        <v>212</v>
      </c>
      <c r="B113">
        <v>0</v>
      </c>
      <c r="C113">
        <v>25</v>
      </c>
      <c r="D113">
        <v>25</v>
      </c>
      <c r="E113">
        <v>14447525</v>
      </c>
      <c r="F113" t="s">
        <v>104</v>
      </c>
      <c r="G113" t="s">
        <v>207</v>
      </c>
      <c r="H113">
        <v>45562</v>
      </c>
      <c r="M113" s="61">
        <v>14447583</v>
      </c>
      <c r="N113" s="60">
        <v>60</v>
      </c>
      <c r="O113" s="60">
        <v>25.5</v>
      </c>
    </row>
    <row r="114" spans="1:15">
      <c r="A114" t="s">
        <v>612</v>
      </c>
      <c r="B114">
        <v>0</v>
      </c>
      <c r="C114">
        <v>30</v>
      </c>
      <c r="D114">
        <v>30</v>
      </c>
      <c r="E114">
        <v>14447585</v>
      </c>
      <c r="F114" t="s">
        <v>104</v>
      </c>
      <c r="G114" t="s">
        <v>207</v>
      </c>
      <c r="H114">
        <v>45565</v>
      </c>
      <c r="M114" s="61">
        <v>14447585</v>
      </c>
      <c r="N114" s="60">
        <v>60</v>
      </c>
      <c r="O114" s="60">
        <v>0</v>
      </c>
    </row>
    <row r="115" spans="1:15">
      <c r="A115" t="s">
        <v>612</v>
      </c>
      <c r="B115">
        <v>0</v>
      </c>
      <c r="C115">
        <v>30</v>
      </c>
      <c r="D115">
        <v>30</v>
      </c>
      <c r="E115">
        <v>14447585</v>
      </c>
      <c r="F115" t="s">
        <v>118</v>
      </c>
      <c r="G115" t="s">
        <v>207</v>
      </c>
      <c r="H115">
        <v>45590</v>
      </c>
      <c r="M115" s="61">
        <v>14447586</v>
      </c>
      <c r="N115" s="60">
        <v>88</v>
      </c>
      <c r="O115" s="60">
        <v>28</v>
      </c>
    </row>
    <row r="116" spans="1:15">
      <c r="A116" t="s">
        <v>1380</v>
      </c>
      <c r="B116">
        <v>22</v>
      </c>
      <c r="C116">
        <v>44</v>
      </c>
      <c r="D116">
        <v>22</v>
      </c>
      <c r="E116">
        <v>14447586</v>
      </c>
      <c r="F116" t="s">
        <v>104</v>
      </c>
      <c r="G116" t="s">
        <v>115</v>
      </c>
      <c r="H116">
        <v>45560</v>
      </c>
      <c r="M116" s="61">
        <v>14447587</v>
      </c>
      <c r="N116" s="60">
        <v>66</v>
      </c>
      <c r="O116" s="60">
        <v>0</v>
      </c>
    </row>
    <row r="117" spans="1:15">
      <c r="A117" t="s">
        <v>171</v>
      </c>
      <c r="B117">
        <v>0</v>
      </c>
      <c r="C117">
        <v>21</v>
      </c>
      <c r="D117">
        <v>21</v>
      </c>
      <c r="E117">
        <v>14447587</v>
      </c>
      <c r="F117" t="s">
        <v>104</v>
      </c>
      <c r="G117" t="s">
        <v>207</v>
      </c>
      <c r="H117">
        <v>45574</v>
      </c>
      <c r="M117" s="61">
        <v>14447590</v>
      </c>
      <c r="N117" s="60">
        <v>55</v>
      </c>
      <c r="O117" s="60">
        <v>6</v>
      </c>
    </row>
    <row r="118" spans="1:15">
      <c r="A118" t="s">
        <v>1610</v>
      </c>
      <c r="B118">
        <v>6</v>
      </c>
      <c r="C118">
        <v>12</v>
      </c>
      <c r="D118">
        <v>6</v>
      </c>
      <c r="E118">
        <v>14447590</v>
      </c>
      <c r="F118" t="s">
        <v>104</v>
      </c>
      <c r="G118" t="s">
        <v>201</v>
      </c>
      <c r="H118">
        <v>45566</v>
      </c>
      <c r="M118" s="61">
        <v>14447593</v>
      </c>
      <c r="N118" s="60">
        <v>59</v>
      </c>
      <c r="O118" s="60">
        <v>17</v>
      </c>
    </row>
    <row r="119" spans="1:15">
      <c r="A119" t="s">
        <v>1613</v>
      </c>
      <c r="B119">
        <v>17</v>
      </c>
      <c r="C119">
        <v>18</v>
      </c>
      <c r="D119">
        <v>1</v>
      </c>
      <c r="E119">
        <v>14447593</v>
      </c>
      <c r="F119" t="s">
        <v>104</v>
      </c>
      <c r="G119" t="s">
        <v>14</v>
      </c>
      <c r="H119">
        <v>45545</v>
      </c>
      <c r="M119" s="61">
        <v>14447594</v>
      </c>
      <c r="N119" s="60">
        <v>51</v>
      </c>
      <c r="O119" s="60">
        <v>29</v>
      </c>
    </row>
    <row r="120" spans="1:15">
      <c r="A120" t="s">
        <v>1613</v>
      </c>
      <c r="B120">
        <v>29</v>
      </c>
      <c r="C120">
        <v>12</v>
      </c>
      <c r="D120">
        <v>-17</v>
      </c>
      <c r="E120">
        <v>14447594</v>
      </c>
      <c r="F120" t="s">
        <v>104</v>
      </c>
      <c r="G120" t="s">
        <v>14</v>
      </c>
      <c r="H120">
        <v>45540</v>
      </c>
      <c r="M120" s="61">
        <v>14471704</v>
      </c>
      <c r="N120" s="60"/>
      <c r="O120" s="60"/>
    </row>
    <row r="121" spans="1:15">
      <c r="A121" t="s">
        <v>1606</v>
      </c>
      <c r="B121">
        <v>2</v>
      </c>
      <c r="C121">
        <v>30</v>
      </c>
      <c r="D121">
        <v>28</v>
      </c>
      <c r="E121">
        <v>14528143</v>
      </c>
      <c r="F121" t="s">
        <v>104</v>
      </c>
      <c r="G121" t="s">
        <v>201</v>
      </c>
      <c r="H121">
        <v>45565</v>
      </c>
      <c r="M121" s="61">
        <v>14521000</v>
      </c>
      <c r="N121" s="60"/>
      <c r="O121" s="60"/>
    </row>
    <row r="122" spans="1:15">
      <c r="A122" t="s">
        <v>1610</v>
      </c>
      <c r="B122">
        <v>13</v>
      </c>
      <c r="C122">
        <v>10</v>
      </c>
      <c r="D122">
        <v>-3</v>
      </c>
      <c r="E122">
        <v>14581908</v>
      </c>
      <c r="F122" t="s">
        <v>104</v>
      </c>
      <c r="G122" t="s">
        <v>106</v>
      </c>
      <c r="H122">
        <v>45547</v>
      </c>
      <c r="I122">
        <v>45553</v>
      </c>
      <c r="M122" s="61">
        <v>14528143</v>
      </c>
      <c r="N122" s="60">
        <v>90</v>
      </c>
      <c r="O122" s="60">
        <v>2</v>
      </c>
    </row>
    <row r="123" spans="1:15">
      <c r="A123" t="s">
        <v>212</v>
      </c>
      <c r="B123">
        <v>5</v>
      </c>
      <c r="C123">
        <v>36</v>
      </c>
      <c r="D123">
        <v>31</v>
      </c>
      <c r="E123">
        <v>14581909</v>
      </c>
      <c r="F123" t="s">
        <v>104</v>
      </c>
      <c r="G123" t="s">
        <v>106</v>
      </c>
      <c r="H123">
        <v>45560</v>
      </c>
      <c r="I123">
        <v>45534</v>
      </c>
      <c r="M123" s="61">
        <v>14578077</v>
      </c>
      <c r="N123" s="60">
        <v>65</v>
      </c>
      <c r="O123" s="60">
        <v>62</v>
      </c>
    </row>
    <row r="124" spans="1:15">
      <c r="A124" t="s">
        <v>212</v>
      </c>
      <c r="B124">
        <v>30</v>
      </c>
      <c r="C124">
        <v>36</v>
      </c>
      <c r="D124">
        <v>6</v>
      </c>
      <c r="E124">
        <v>14581909</v>
      </c>
      <c r="F124" t="s">
        <v>118</v>
      </c>
      <c r="G124" t="s">
        <v>115</v>
      </c>
      <c r="H124">
        <v>45560</v>
      </c>
      <c r="M124" s="61">
        <v>14578099</v>
      </c>
      <c r="N124" s="60">
        <v>40</v>
      </c>
      <c r="O124" s="60">
        <v>0</v>
      </c>
    </row>
    <row r="125" spans="1:15">
      <c r="A125" t="s">
        <v>212</v>
      </c>
      <c r="B125">
        <v>0</v>
      </c>
      <c r="C125">
        <v>36</v>
      </c>
      <c r="D125">
        <v>36</v>
      </c>
      <c r="E125">
        <v>14581916</v>
      </c>
      <c r="F125" t="s">
        <v>104</v>
      </c>
      <c r="G125" t="s">
        <v>106</v>
      </c>
      <c r="H125">
        <v>45572</v>
      </c>
      <c r="I125">
        <v>45534</v>
      </c>
      <c r="M125" s="61">
        <v>14578102</v>
      </c>
      <c r="N125" s="60">
        <v>40</v>
      </c>
      <c r="O125" s="60">
        <v>63</v>
      </c>
    </row>
    <row r="126" spans="1:15">
      <c r="A126" t="s">
        <v>212</v>
      </c>
      <c r="B126">
        <v>21.5</v>
      </c>
      <c r="C126">
        <v>36</v>
      </c>
      <c r="D126">
        <v>14.5</v>
      </c>
      <c r="E126">
        <v>14581916</v>
      </c>
      <c r="F126" t="s">
        <v>118</v>
      </c>
      <c r="G126" t="s">
        <v>115</v>
      </c>
      <c r="H126">
        <v>45572</v>
      </c>
      <c r="M126" s="61">
        <v>14578104</v>
      </c>
      <c r="N126" s="60">
        <v>44</v>
      </c>
      <c r="O126" s="60">
        <v>24</v>
      </c>
    </row>
    <row r="127" spans="1:15">
      <c r="A127" t="s">
        <v>1606</v>
      </c>
      <c r="B127">
        <v>20</v>
      </c>
      <c r="C127">
        <v>17</v>
      </c>
      <c r="D127">
        <v>-3</v>
      </c>
      <c r="E127">
        <v>14578879</v>
      </c>
      <c r="F127" t="s">
        <v>104</v>
      </c>
      <c r="G127" t="s">
        <v>106</v>
      </c>
      <c r="H127">
        <v>45530</v>
      </c>
      <c r="I127">
        <v>45530</v>
      </c>
      <c r="M127" s="61">
        <v>14578879</v>
      </c>
      <c r="N127" s="60">
        <v>44</v>
      </c>
      <c r="O127" s="60">
        <v>48</v>
      </c>
    </row>
    <row r="128" spans="1:15">
      <c r="A128" t="s">
        <v>1606</v>
      </c>
      <c r="B128">
        <v>28</v>
      </c>
      <c r="C128">
        <v>27</v>
      </c>
      <c r="D128">
        <v>-1</v>
      </c>
      <c r="E128">
        <v>14578879</v>
      </c>
      <c r="F128" t="s">
        <v>118</v>
      </c>
      <c r="G128" t="s">
        <v>115</v>
      </c>
      <c r="H128">
        <v>45551</v>
      </c>
      <c r="M128" s="61">
        <v>14579642</v>
      </c>
      <c r="N128" s="60">
        <v>76</v>
      </c>
      <c r="O128" s="60">
        <v>71</v>
      </c>
    </row>
    <row r="129" spans="1:15">
      <c r="A129" t="s">
        <v>1611</v>
      </c>
      <c r="B129">
        <v>14</v>
      </c>
      <c r="C129">
        <v>63</v>
      </c>
      <c r="D129">
        <v>49</v>
      </c>
      <c r="E129">
        <v>13151029</v>
      </c>
      <c r="F129" t="s">
        <v>118</v>
      </c>
      <c r="G129" t="s">
        <v>14</v>
      </c>
      <c r="H129">
        <v>45560</v>
      </c>
      <c r="M129" s="61">
        <v>14581908</v>
      </c>
      <c r="N129" s="60">
        <v>50</v>
      </c>
      <c r="O129" s="60">
        <v>13</v>
      </c>
    </row>
    <row r="130" spans="1:15">
      <c r="A130" t="s">
        <v>1611</v>
      </c>
      <c r="B130">
        <v>0</v>
      </c>
      <c r="C130">
        <v>63</v>
      </c>
      <c r="D130">
        <v>63</v>
      </c>
      <c r="E130">
        <v>13153857</v>
      </c>
      <c r="F130" t="s">
        <v>118</v>
      </c>
      <c r="G130" t="s">
        <v>115</v>
      </c>
      <c r="H130">
        <v>45560</v>
      </c>
      <c r="M130" s="61">
        <v>14581909</v>
      </c>
      <c r="N130" s="60">
        <v>72</v>
      </c>
      <c r="O130" s="60">
        <v>35</v>
      </c>
    </row>
    <row r="131" spans="1:15">
      <c r="A131" t="s">
        <v>212</v>
      </c>
      <c r="B131">
        <v>0</v>
      </c>
      <c r="C131">
        <v>34</v>
      </c>
      <c r="D131">
        <v>34</v>
      </c>
      <c r="E131">
        <v>14329073</v>
      </c>
      <c r="F131" t="s">
        <v>118</v>
      </c>
      <c r="G131" t="s">
        <v>207</v>
      </c>
      <c r="H131">
        <v>45591</v>
      </c>
      <c r="M131" s="61">
        <v>14581916</v>
      </c>
      <c r="N131" s="60">
        <v>72</v>
      </c>
      <c r="O131" s="60">
        <v>21.5</v>
      </c>
    </row>
    <row r="132" spans="1:15">
      <c r="A132" t="s">
        <v>612</v>
      </c>
      <c r="B132">
        <v>15</v>
      </c>
      <c r="C132">
        <v>15</v>
      </c>
      <c r="D132">
        <v>0</v>
      </c>
      <c r="E132">
        <v>14578102</v>
      </c>
      <c r="F132" t="s">
        <v>104</v>
      </c>
      <c r="G132" t="s">
        <v>106</v>
      </c>
      <c r="H132" t="s">
        <v>1587</v>
      </c>
      <c r="I132">
        <v>45528</v>
      </c>
      <c r="M132" s="61">
        <v>14581923</v>
      </c>
      <c r="N132" s="60">
        <v>82</v>
      </c>
      <c r="O132" s="60">
        <v>83</v>
      </c>
    </row>
    <row r="133" spans="1:15">
      <c r="A133" t="s">
        <v>612</v>
      </c>
      <c r="B133">
        <v>48</v>
      </c>
      <c r="C133">
        <v>25</v>
      </c>
      <c r="D133">
        <v>-23</v>
      </c>
      <c r="E133">
        <v>14578102</v>
      </c>
      <c r="F133" t="s">
        <v>118</v>
      </c>
      <c r="G133" t="s">
        <v>106</v>
      </c>
      <c r="H133" t="s">
        <v>1587</v>
      </c>
      <c r="M133" s="61">
        <v>14584870</v>
      </c>
      <c r="N133" s="60">
        <v>40</v>
      </c>
      <c r="O133" s="60">
        <v>30</v>
      </c>
    </row>
    <row r="134" spans="1:15">
      <c r="A134" t="s">
        <v>260</v>
      </c>
      <c r="B134">
        <v>0</v>
      </c>
      <c r="C134">
        <v>15</v>
      </c>
      <c r="D134">
        <v>0</v>
      </c>
      <c r="E134">
        <v>14578099</v>
      </c>
      <c r="F134" t="s">
        <v>104</v>
      </c>
      <c r="G134" t="s">
        <v>106</v>
      </c>
      <c r="H134">
        <v>45537</v>
      </c>
      <c r="I134">
        <v>45539</v>
      </c>
      <c r="M134" s="61">
        <v>14632279</v>
      </c>
      <c r="N134" s="60">
        <v>40</v>
      </c>
      <c r="O134" s="60">
        <v>48</v>
      </c>
    </row>
    <row r="135" spans="1:15">
      <c r="A135" t="s">
        <v>260</v>
      </c>
      <c r="B135">
        <v>0</v>
      </c>
      <c r="C135">
        <v>25</v>
      </c>
      <c r="D135">
        <v>25</v>
      </c>
      <c r="E135">
        <v>14578099</v>
      </c>
      <c r="F135" t="s">
        <v>118</v>
      </c>
      <c r="G135" t="s">
        <v>115</v>
      </c>
      <c r="H135">
        <v>45548</v>
      </c>
      <c r="M135" s="61">
        <v>14655991</v>
      </c>
      <c r="N135" s="60">
        <v>40</v>
      </c>
      <c r="O135" s="60">
        <v>13</v>
      </c>
    </row>
    <row r="136" spans="1:15">
      <c r="A136" t="s">
        <v>183</v>
      </c>
      <c r="B136">
        <v>47</v>
      </c>
      <c r="C136">
        <v>100</v>
      </c>
      <c r="D136">
        <v>16</v>
      </c>
      <c r="E136">
        <v>13047716</v>
      </c>
      <c r="F136" t="s">
        <v>104</v>
      </c>
      <c r="G136" t="s">
        <v>115</v>
      </c>
      <c r="H136">
        <v>45551</v>
      </c>
      <c r="M136" s="61">
        <v>14658135</v>
      </c>
      <c r="N136" s="60">
        <v>110</v>
      </c>
      <c r="O136" s="60">
        <v>133.5</v>
      </c>
    </row>
    <row r="137" spans="1:15">
      <c r="A137" t="s">
        <v>183</v>
      </c>
      <c r="B137">
        <v>6</v>
      </c>
      <c r="C137">
        <v>100</v>
      </c>
      <c r="D137">
        <v>94</v>
      </c>
      <c r="E137">
        <v>13047716</v>
      </c>
      <c r="F137" t="s">
        <v>118</v>
      </c>
      <c r="G137" t="s">
        <v>115</v>
      </c>
      <c r="H137">
        <v>45593</v>
      </c>
      <c r="M137" s="61">
        <v>14672943</v>
      </c>
      <c r="N137" s="60">
        <v>130</v>
      </c>
      <c r="O137" s="60">
        <v>2</v>
      </c>
    </row>
    <row r="138" spans="1:15">
      <c r="A138" t="s">
        <v>1606</v>
      </c>
      <c r="B138">
        <v>0</v>
      </c>
      <c r="C138">
        <v>0</v>
      </c>
      <c r="D138">
        <v>0</v>
      </c>
      <c r="E138">
        <v>14433401</v>
      </c>
      <c r="F138" t="s">
        <v>104</v>
      </c>
      <c r="G138" t="s">
        <v>201</v>
      </c>
      <c r="H138">
        <v>45562</v>
      </c>
      <c r="M138" s="61">
        <v>14704682</v>
      </c>
      <c r="N138" s="60">
        <v>70</v>
      </c>
      <c r="O138" s="60">
        <v>87</v>
      </c>
    </row>
    <row r="139" spans="1:15">
      <c r="A139" t="s">
        <v>1606</v>
      </c>
      <c r="B139">
        <v>16</v>
      </c>
      <c r="C139">
        <v>48</v>
      </c>
      <c r="D139">
        <v>32</v>
      </c>
      <c r="E139">
        <v>14433414</v>
      </c>
      <c r="F139" t="s">
        <v>104</v>
      </c>
      <c r="G139" t="s">
        <v>115</v>
      </c>
      <c r="H139">
        <v>45562</v>
      </c>
      <c r="M139" s="61">
        <v>14721405</v>
      </c>
      <c r="N139" s="60"/>
      <c r="O139" s="60">
        <v>20</v>
      </c>
    </row>
    <row r="140" spans="1:15">
      <c r="A140" t="s">
        <v>212</v>
      </c>
      <c r="B140">
        <v>0</v>
      </c>
      <c r="C140">
        <v>35</v>
      </c>
      <c r="D140">
        <v>35</v>
      </c>
      <c r="E140">
        <v>14447525</v>
      </c>
      <c r="F140" t="s">
        <v>118</v>
      </c>
      <c r="G140" t="s">
        <v>207</v>
      </c>
      <c r="H140">
        <v>45583</v>
      </c>
      <c r="M140" s="61">
        <v>14721663</v>
      </c>
      <c r="N140" s="60"/>
      <c r="O140" s="60">
        <v>20</v>
      </c>
    </row>
    <row r="141" spans="1:15">
      <c r="A141" t="s">
        <v>1610</v>
      </c>
      <c r="B141">
        <v>50</v>
      </c>
      <c r="C141">
        <v>51</v>
      </c>
      <c r="D141">
        <v>1</v>
      </c>
      <c r="E141">
        <v>14118970</v>
      </c>
      <c r="F141" t="s">
        <v>904</v>
      </c>
      <c r="G141" t="s">
        <v>106</v>
      </c>
      <c r="H141">
        <v>45545</v>
      </c>
      <c r="I141">
        <v>45544</v>
      </c>
      <c r="M141" s="61">
        <v>14737918</v>
      </c>
      <c r="N141" s="60">
        <v>210</v>
      </c>
      <c r="O141" s="60">
        <v>31.5</v>
      </c>
    </row>
    <row r="142" spans="1:15">
      <c r="A142" t="s">
        <v>1610</v>
      </c>
      <c r="B142">
        <v>52.5</v>
      </c>
      <c r="C142">
        <v>51</v>
      </c>
      <c r="D142">
        <v>-1.5</v>
      </c>
      <c r="E142">
        <v>14118970</v>
      </c>
      <c r="F142" t="s">
        <v>118</v>
      </c>
      <c r="G142" t="s">
        <v>106</v>
      </c>
      <c r="H142">
        <v>45545</v>
      </c>
      <c r="I142">
        <v>45548</v>
      </c>
      <c r="M142" s="61">
        <v>14753799</v>
      </c>
      <c r="N142" s="60">
        <v>30</v>
      </c>
      <c r="O142" s="60">
        <v>34.5</v>
      </c>
    </row>
    <row r="143" spans="1:15">
      <c r="A143" t="s">
        <v>1610</v>
      </c>
      <c r="B143">
        <v>0</v>
      </c>
      <c r="C143">
        <v>43</v>
      </c>
      <c r="D143">
        <v>43</v>
      </c>
      <c r="E143">
        <v>14329077</v>
      </c>
      <c r="F143" t="s">
        <v>118</v>
      </c>
      <c r="G143" t="s">
        <v>207</v>
      </c>
      <c r="H143">
        <v>45609</v>
      </c>
      <c r="M143" s="61" t="s">
        <v>1599</v>
      </c>
      <c r="N143" s="60">
        <v>11670</v>
      </c>
      <c r="O143" s="60">
        <v>3237.5</v>
      </c>
    </row>
    <row r="144" spans="1:15">
      <c r="A144" t="s">
        <v>1610</v>
      </c>
      <c r="B144">
        <v>0</v>
      </c>
      <c r="C144">
        <v>43</v>
      </c>
      <c r="D144">
        <v>43</v>
      </c>
      <c r="E144">
        <v>14447590</v>
      </c>
      <c r="F144" t="s">
        <v>118</v>
      </c>
      <c r="G144" t="s">
        <v>122</v>
      </c>
      <c r="H144">
        <v>45584</v>
      </c>
    </row>
    <row r="145" spans="1:9">
      <c r="A145" t="s">
        <v>1607</v>
      </c>
      <c r="B145">
        <v>8</v>
      </c>
      <c r="C145">
        <v>110</v>
      </c>
      <c r="D145">
        <v>102</v>
      </c>
      <c r="E145">
        <v>12541182</v>
      </c>
      <c r="F145" t="s">
        <v>118</v>
      </c>
      <c r="G145" t="s">
        <v>115</v>
      </c>
      <c r="H145">
        <v>45590</v>
      </c>
      <c r="I145">
        <v>45537</v>
      </c>
    </row>
    <row r="146" spans="1:9">
      <c r="A146" t="s">
        <v>1607</v>
      </c>
      <c r="B146">
        <v>0</v>
      </c>
      <c r="C146">
        <v>110</v>
      </c>
      <c r="D146">
        <v>110</v>
      </c>
      <c r="E146">
        <v>13208634</v>
      </c>
      <c r="F146" t="s">
        <v>118</v>
      </c>
      <c r="G146" t="s">
        <v>122</v>
      </c>
      <c r="H146">
        <v>45590</v>
      </c>
    </row>
    <row r="147" spans="1:9">
      <c r="A147" t="s">
        <v>1613</v>
      </c>
      <c r="B147">
        <v>0</v>
      </c>
      <c r="C147">
        <v>39</v>
      </c>
      <c r="D147">
        <v>39</v>
      </c>
      <c r="E147">
        <v>14447594</v>
      </c>
      <c r="F147" t="s">
        <v>118</v>
      </c>
      <c r="G147" t="s">
        <v>122</v>
      </c>
      <c r="H147">
        <v>45560</v>
      </c>
    </row>
    <row r="148" spans="1:9">
      <c r="A148" t="s">
        <v>1613</v>
      </c>
      <c r="B148">
        <v>0</v>
      </c>
      <c r="C148">
        <v>41</v>
      </c>
      <c r="D148">
        <v>41</v>
      </c>
      <c r="E148">
        <v>14447593</v>
      </c>
      <c r="F148" t="s">
        <v>118</v>
      </c>
      <c r="G148" t="s">
        <v>122</v>
      </c>
      <c r="H148">
        <v>45566</v>
      </c>
    </row>
    <row r="149" spans="1:9">
      <c r="A149" t="s">
        <v>1613</v>
      </c>
      <c r="B149">
        <v>0</v>
      </c>
      <c r="C149">
        <v>20</v>
      </c>
      <c r="D149">
        <v>20</v>
      </c>
      <c r="E149">
        <v>12748925</v>
      </c>
      <c r="F149" t="s">
        <v>118</v>
      </c>
      <c r="G149" t="s">
        <v>122</v>
      </c>
      <c r="H149">
        <v>45583</v>
      </c>
    </row>
    <row r="150" spans="1:9">
      <c r="A150" t="s">
        <v>1613</v>
      </c>
      <c r="B150">
        <v>0</v>
      </c>
      <c r="C150">
        <v>60</v>
      </c>
      <c r="D150">
        <v>60</v>
      </c>
      <c r="E150">
        <v>14528143</v>
      </c>
      <c r="F150" t="s">
        <v>118</v>
      </c>
      <c r="G150" t="s">
        <v>122</v>
      </c>
      <c r="H150">
        <v>45583</v>
      </c>
    </row>
    <row r="151" spans="1:9">
      <c r="A151" t="s">
        <v>1614</v>
      </c>
      <c r="B151">
        <v>41.5</v>
      </c>
      <c r="C151">
        <v>128</v>
      </c>
      <c r="D151">
        <v>86.5</v>
      </c>
      <c r="E151">
        <v>12874577</v>
      </c>
      <c r="F151" t="s">
        <v>104</v>
      </c>
      <c r="G151" t="s">
        <v>14</v>
      </c>
      <c r="H151">
        <v>45568</v>
      </c>
    </row>
    <row r="152" spans="1:9">
      <c r="A152" t="s">
        <v>1380</v>
      </c>
      <c r="B152">
        <v>41</v>
      </c>
      <c r="C152">
        <v>38</v>
      </c>
      <c r="D152">
        <v>-3</v>
      </c>
      <c r="E152">
        <v>14579642</v>
      </c>
      <c r="F152" t="s">
        <v>118</v>
      </c>
      <c r="G152" t="s">
        <v>115</v>
      </c>
      <c r="H152">
        <v>45548</v>
      </c>
      <c r="I152">
        <v>45553</v>
      </c>
    </row>
    <row r="153" spans="1:9">
      <c r="A153" t="s">
        <v>1609</v>
      </c>
      <c r="C153">
        <v>17</v>
      </c>
      <c r="D153">
        <v>17</v>
      </c>
      <c r="E153">
        <v>14578104</v>
      </c>
      <c r="F153" t="s">
        <v>104</v>
      </c>
      <c r="G153" t="s">
        <v>106</v>
      </c>
      <c r="H153">
        <v>45527</v>
      </c>
      <c r="I153">
        <v>45527</v>
      </c>
    </row>
    <row r="154" spans="1:9">
      <c r="A154" t="s">
        <v>1609</v>
      </c>
      <c r="B154">
        <v>24</v>
      </c>
      <c r="C154">
        <v>27</v>
      </c>
      <c r="D154">
        <v>3</v>
      </c>
      <c r="E154">
        <v>14578104</v>
      </c>
      <c r="F154" t="s">
        <v>118</v>
      </c>
      <c r="G154" t="s">
        <v>115</v>
      </c>
      <c r="H154">
        <v>45546</v>
      </c>
    </row>
    <row r="155" spans="1:9">
      <c r="A155" t="s">
        <v>171</v>
      </c>
      <c r="B155">
        <v>38</v>
      </c>
      <c r="C155">
        <v>41</v>
      </c>
      <c r="D155">
        <v>3</v>
      </c>
      <c r="E155">
        <v>14581923</v>
      </c>
      <c r="F155" t="s">
        <v>104</v>
      </c>
      <c r="G155" t="s">
        <v>106</v>
      </c>
      <c r="H155">
        <v>45553</v>
      </c>
      <c r="I155">
        <v>45529</v>
      </c>
    </row>
    <row r="156" spans="1:9">
      <c r="A156" t="s">
        <v>171</v>
      </c>
      <c r="B156">
        <v>45</v>
      </c>
      <c r="C156">
        <v>41</v>
      </c>
      <c r="D156">
        <v>-4</v>
      </c>
      <c r="E156">
        <v>14581923</v>
      </c>
      <c r="F156" t="s">
        <v>118</v>
      </c>
      <c r="G156" t="s">
        <v>106</v>
      </c>
      <c r="H156">
        <v>45553</v>
      </c>
      <c r="I156">
        <v>45553</v>
      </c>
    </row>
    <row r="157" spans="1:9">
      <c r="A157" t="s">
        <v>1612</v>
      </c>
      <c r="B157">
        <v>30</v>
      </c>
      <c r="C157">
        <v>20</v>
      </c>
      <c r="D157">
        <v>-10</v>
      </c>
      <c r="E157">
        <v>14584870</v>
      </c>
      <c r="F157" t="s">
        <v>104</v>
      </c>
      <c r="G157" t="s">
        <v>106</v>
      </c>
      <c r="H157">
        <v>45544</v>
      </c>
      <c r="I157">
        <v>45546</v>
      </c>
    </row>
    <row r="158" spans="1:9">
      <c r="A158" t="s">
        <v>1612</v>
      </c>
      <c r="C158">
        <v>20</v>
      </c>
      <c r="D158">
        <v>20</v>
      </c>
      <c r="E158">
        <v>14584870</v>
      </c>
      <c r="F158" t="s">
        <v>118</v>
      </c>
      <c r="G158" t="s">
        <v>115</v>
      </c>
      <c r="H158" t="s">
        <v>1590</v>
      </c>
    </row>
    <row r="159" spans="1:9">
      <c r="A159" t="s">
        <v>1606</v>
      </c>
      <c r="B159">
        <v>0</v>
      </c>
      <c r="C159">
        <v>173</v>
      </c>
      <c r="D159">
        <v>173</v>
      </c>
      <c r="E159">
        <v>14433414</v>
      </c>
      <c r="F159" t="s">
        <v>118</v>
      </c>
      <c r="G159" t="s">
        <v>122</v>
      </c>
      <c r="H159">
        <v>45616</v>
      </c>
    </row>
    <row r="160" spans="1:9">
      <c r="A160" t="s">
        <v>1380</v>
      </c>
      <c r="B160">
        <v>0</v>
      </c>
      <c r="C160">
        <v>94</v>
      </c>
      <c r="D160">
        <v>94</v>
      </c>
      <c r="E160">
        <v>12734184</v>
      </c>
      <c r="F160" t="s">
        <v>118</v>
      </c>
      <c r="G160" t="s">
        <v>122</v>
      </c>
      <c r="H160">
        <v>45589</v>
      </c>
    </row>
    <row r="161" spans="1:8">
      <c r="A161" t="s">
        <v>1380</v>
      </c>
      <c r="B161">
        <v>0</v>
      </c>
      <c r="C161">
        <v>64</v>
      </c>
      <c r="D161">
        <v>64</v>
      </c>
      <c r="E161">
        <v>12582027</v>
      </c>
      <c r="F161" t="s">
        <v>118</v>
      </c>
      <c r="G161" t="s">
        <v>122</v>
      </c>
      <c r="H161">
        <v>45596</v>
      </c>
    </row>
    <row r="162" spans="1:8">
      <c r="A162" t="s">
        <v>1611</v>
      </c>
      <c r="C162">
        <v>63</v>
      </c>
      <c r="D162">
        <v>63</v>
      </c>
      <c r="E162">
        <v>13153883</v>
      </c>
      <c r="F162" t="s">
        <v>118</v>
      </c>
      <c r="G162" t="s">
        <v>115</v>
      </c>
      <c r="H162">
        <v>45560</v>
      </c>
    </row>
    <row r="163" spans="1:8">
      <c r="A163" t="s">
        <v>1611</v>
      </c>
      <c r="C163">
        <v>63</v>
      </c>
      <c r="D163">
        <v>63</v>
      </c>
      <c r="E163">
        <v>13377818</v>
      </c>
      <c r="F163" t="s">
        <v>118</v>
      </c>
      <c r="G163" t="s">
        <v>115</v>
      </c>
      <c r="H163">
        <v>45560</v>
      </c>
    </row>
    <row r="164" spans="1:8">
      <c r="A164" t="s">
        <v>1611</v>
      </c>
      <c r="B164">
        <v>0</v>
      </c>
      <c r="C164">
        <v>114</v>
      </c>
      <c r="D164">
        <v>114</v>
      </c>
      <c r="E164">
        <v>13444612</v>
      </c>
      <c r="F164" t="s">
        <v>118</v>
      </c>
      <c r="G164" t="s">
        <v>122</v>
      </c>
      <c r="H164">
        <v>45615</v>
      </c>
    </row>
    <row r="165" spans="1:8">
      <c r="A165" t="s">
        <v>1614</v>
      </c>
      <c r="B165">
        <v>0</v>
      </c>
      <c r="C165">
        <v>192</v>
      </c>
      <c r="D165">
        <v>192</v>
      </c>
      <c r="E165">
        <v>12874577</v>
      </c>
      <c r="F165" t="s">
        <v>118</v>
      </c>
      <c r="G165" t="s">
        <v>122</v>
      </c>
      <c r="H165">
        <v>45590</v>
      </c>
    </row>
    <row r="166" spans="1:8">
      <c r="A166" t="s">
        <v>171</v>
      </c>
      <c r="B166">
        <v>0</v>
      </c>
      <c r="C166">
        <v>45</v>
      </c>
      <c r="D166">
        <v>45</v>
      </c>
      <c r="E166">
        <v>13751560</v>
      </c>
      <c r="F166" t="s">
        <v>118</v>
      </c>
      <c r="G166" t="s">
        <v>122</v>
      </c>
      <c r="H166">
        <v>45602</v>
      </c>
    </row>
    <row r="167" spans="1:8">
      <c r="A167" t="s">
        <v>171</v>
      </c>
      <c r="B167">
        <v>0</v>
      </c>
      <c r="C167">
        <v>45</v>
      </c>
      <c r="D167">
        <v>45</v>
      </c>
      <c r="E167">
        <v>14447587</v>
      </c>
      <c r="F167" t="s">
        <v>118</v>
      </c>
      <c r="G167" t="s">
        <v>207</v>
      </c>
      <c r="H167">
        <v>45602</v>
      </c>
    </row>
    <row r="168" spans="1:8">
      <c r="A168" t="s">
        <v>1610</v>
      </c>
      <c r="B168">
        <v>0</v>
      </c>
      <c r="C168">
        <v>40</v>
      </c>
      <c r="D168">
        <v>40</v>
      </c>
      <c r="E168">
        <v>14581908</v>
      </c>
      <c r="F168" t="s">
        <v>118</v>
      </c>
      <c r="G168" t="s">
        <v>115</v>
      </c>
      <c r="H168">
        <v>45569</v>
      </c>
    </row>
    <row r="169" spans="1:8">
      <c r="A169" t="s">
        <v>1607</v>
      </c>
      <c r="B169">
        <v>0</v>
      </c>
      <c r="C169">
        <v>110</v>
      </c>
      <c r="D169">
        <v>58</v>
      </c>
      <c r="E169">
        <v>13153903</v>
      </c>
      <c r="F169" t="s">
        <v>118</v>
      </c>
      <c r="G169" t="s">
        <v>115</v>
      </c>
      <c r="H169">
        <v>45590</v>
      </c>
    </row>
    <row r="170" spans="1:8">
      <c r="A170" t="s">
        <v>212</v>
      </c>
      <c r="B170">
        <v>0</v>
      </c>
      <c r="C170">
        <v>34</v>
      </c>
      <c r="D170">
        <v>34</v>
      </c>
      <c r="E170">
        <v>13718960</v>
      </c>
      <c r="F170" t="s">
        <v>118</v>
      </c>
      <c r="G170" t="s">
        <v>122</v>
      </c>
      <c r="H170">
        <v>45591</v>
      </c>
    </row>
    <row r="171" spans="1:8">
      <c r="A171" t="s">
        <v>171</v>
      </c>
      <c r="B171">
        <v>0</v>
      </c>
      <c r="C171">
        <v>114</v>
      </c>
      <c r="D171">
        <v>114</v>
      </c>
      <c r="E171">
        <v>12295210</v>
      </c>
      <c r="F171" t="s">
        <v>118</v>
      </c>
      <c r="G171" t="s">
        <v>122</v>
      </c>
      <c r="H171">
        <v>45588</v>
      </c>
    </row>
    <row r="172" spans="1:8">
      <c r="A172" t="s">
        <v>171</v>
      </c>
      <c r="B172">
        <v>0</v>
      </c>
      <c r="C172">
        <v>114</v>
      </c>
      <c r="D172">
        <v>114</v>
      </c>
      <c r="E172">
        <v>13088591</v>
      </c>
      <c r="F172" t="s">
        <v>118</v>
      </c>
      <c r="G172" t="s">
        <v>122</v>
      </c>
      <c r="H172">
        <v>45588</v>
      </c>
    </row>
    <row r="173" spans="1:8">
      <c r="A173" t="s">
        <v>171</v>
      </c>
      <c r="B173">
        <v>0</v>
      </c>
      <c r="C173">
        <v>45</v>
      </c>
      <c r="D173">
        <v>45</v>
      </c>
      <c r="E173">
        <v>14026935</v>
      </c>
      <c r="F173" t="s">
        <v>118</v>
      </c>
      <c r="G173" t="s">
        <v>122</v>
      </c>
      <c r="H173">
        <v>45602</v>
      </c>
    </row>
    <row r="174" spans="1:8">
      <c r="A174" t="s">
        <v>1609</v>
      </c>
      <c r="B174">
        <v>0</v>
      </c>
      <c r="C174">
        <v>121</v>
      </c>
      <c r="D174">
        <v>121</v>
      </c>
      <c r="E174">
        <v>13148021</v>
      </c>
      <c r="F174" t="s">
        <v>118</v>
      </c>
      <c r="G174" t="s">
        <v>122</v>
      </c>
      <c r="H174">
        <v>45600</v>
      </c>
    </row>
    <row r="175" spans="1:8">
      <c r="A175" t="s">
        <v>1609</v>
      </c>
      <c r="B175">
        <v>0</v>
      </c>
      <c r="C175">
        <v>121</v>
      </c>
      <c r="D175">
        <v>121</v>
      </c>
      <c r="E175">
        <v>13153843</v>
      </c>
      <c r="F175" t="s">
        <v>118</v>
      </c>
      <c r="G175" t="s">
        <v>122</v>
      </c>
      <c r="H175">
        <v>45600</v>
      </c>
    </row>
    <row r="176" spans="1:8">
      <c r="A176" t="s">
        <v>1609</v>
      </c>
      <c r="B176">
        <v>0</v>
      </c>
      <c r="C176">
        <v>121</v>
      </c>
      <c r="D176">
        <v>121</v>
      </c>
      <c r="E176">
        <v>13153851</v>
      </c>
      <c r="F176" t="s">
        <v>118</v>
      </c>
      <c r="G176" t="s">
        <v>122</v>
      </c>
      <c r="H176">
        <v>45600</v>
      </c>
    </row>
    <row r="177" spans="1:9">
      <c r="A177" t="s">
        <v>1609</v>
      </c>
      <c r="B177">
        <v>0</v>
      </c>
      <c r="C177">
        <v>121</v>
      </c>
      <c r="D177">
        <v>121</v>
      </c>
      <c r="E177">
        <v>13608762</v>
      </c>
      <c r="F177" t="s">
        <v>118</v>
      </c>
      <c r="G177" t="s">
        <v>122</v>
      </c>
      <c r="H177">
        <v>45600</v>
      </c>
      <c r="I177">
        <v>45541</v>
      </c>
    </row>
    <row r="178" spans="1:9">
      <c r="A178" t="s">
        <v>1615</v>
      </c>
      <c r="B178">
        <v>0</v>
      </c>
      <c r="D178">
        <v>0</v>
      </c>
      <c r="E178">
        <v>12363191</v>
      </c>
      <c r="F178" t="s">
        <v>104</v>
      </c>
      <c r="G178" t="s">
        <v>106</v>
      </c>
      <c r="H178">
        <v>45516</v>
      </c>
      <c r="I178">
        <v>45526</v>
      </c>
    </row>
    <row r="179" spans="1:9">
      <c r="A179" t="s">
        <v>158</v>
      </c>
      <c r="B179">
        <v>79</v>
      </c>
      <c r="C179">
        <v>60</v>
      </c>
      <c r="D179">
        <v>-19</v>
      </c>
      <c r="E179">
        <v>13064164</v>
      </c>
      <c r="F179" t="s">
        <v>104</v>
      </c>
      <c r="G179" t="s">
        <v>115</v>
      </c>
      <c r="H179">
        <v>45550</v>
      </c>
    </row>
    <row r="180" spans="1:9">
      <c r="A180" t="s">
        <v>1616</v>
      </c>
      <c r="C180">
        <v>210</v>
      </c>
      <c r="D180">
        <v>210</v>
      </c>
      <c r="E180">
        <v>13895158</v>
      </c>
      <c r="F180" t="s">
        <v>118</v>
      </c>
      <c r="G180" t="s">
        <v>115</v>
      </c>
      <c r="H180">
        <v>45590</v>
      </c>
    </row>
    <row r="181" spans="1:9">
      <c r="A181" t="s">
        <v>449</v>
      </c>
      <c r="B181">
        <v>8</v>
      </c>
      <c r="C181">
        <v>8</v>
      </c>
      <c r="D181">
        <v>0</v>
      </c>
      <c r="E181">
        <v>13274796</v>
      </c>
      <c r="F181" t="s">
        <v>118</v>
      </c>
      <c r="G181" t="s">
        <v>106</v>
      </c>
      <c r="H181">
        <v>45534</v>
      </c>
      <c r="I181">
        <v>45534</v>
      </c>
    </row>
    <row r="182" spans="1:9">
      <c r="A182" t="s">
        <v>401</v>
      </c>
      <c r="B182">
        <v>61.5</v>
      </c>
      <c r="C182">
        <v>25</v>
      </c>
      <c r="D182">
        <v>-36.5</v>
      </c>
      <c r="E182">
        <v>13337002</v>
      </c>
      <c r="F182" t="s">
        <v>104</v>
      </c>
      <c r="G182" t="s">
        <v>115</v>
      </c>
      <c r="H182">
        <v>45546</v>
      </c>
    </row>
    <row r="183" spans="1:9">
      <c r="A183" t="s">
        <v>1617</v>
      </c>
      <c r="B183">
        <v>64</v>
      </c>
      <c r="C183">
        <v>60</v>
      </c>
      <c r="D183">
        <v>-4</v>
      </c>
      <c r="E183">
        <v>13471498</v>
      </c>
      <c r="F183" t="s">
        <v>104</v>
      </c>
      <c r="G183" t="s">
        <v>115</v>
      </c>
      <c r="H183">
        <v>45546</v>
      </c>
    </row>
    <row r="184" spans="1:9">
      <c r="A184" t="s">
        <v>1617</v>
      </c>
      <c r="B184">
        <v>14</v>
      </c>
      <c r="C184">
        <v>16</v>
      </c>
      <c r="D184">
        <v>2</v>
      </c>
      <c r="E184">
        <v>13514281</v>
      </c>
      <c r="F184" t="s">
        <v>104</v>
      </c>
      <c r="G184" t="s">
        <v>201</v>
      </c>
      <c r="H184">
        <v>45546</v>
      </c>
      <c r="I184">
        <v>45544</v>
      </c>
    </row>
    <row r="185" spans="1:9">
      <c r="A185" t="s">
        <v>1617</v>
      </c>
      <c r="B185">
        <v>14</v>
      </c>
      <c r="C185">
        <v>16</v>
      </c>
      <c r="D185">
        <v>2</v>
      </c>
      <c r="E185">
        <v>13514281</v>
      </c>
      <c r="F185" t="s">
        <v>118</v>
      </c>
      <c r="G185" t="s">
        <v>201</v>
      </c>
      <c r="H185">
        <v>45546</v>
      </c>
    </row>
    <row r="186" spans="1:9">
      <c r="A186" t="s">
        <v>401</v>
      </c>
      <c r="B186">
        <v>25</v>
      </c>
      <c r="C186">
        <v>25</v>
      </c>
      <c r="D186">
        <v>0</v>
      </c>
      <c r="E186">
        <v>13543932</v>
      </c>
      <c r="F186" t="s">
        <v>104</v>
      </c>
      <c r="G186" t="s">
        <v>115</v>
      </c>
      <c r="H186">
        <v>45546</v>
      </c>
    </row>
    <row r="187" spans="1:9">
      <c r="A187" t="s">
        <v>1616</v>
      </c>
      <c r="B187">
        <v>84.5</v>
      </c>
      <c r="C187">
        <v>80</v>
      </c>
      <c r="D187">
        <v>-4.5</v>
      </c>
      <c r="E187">
        <v>13895158</v>
      </c>
      <c r="F187" t="s">
        <v>104</v>
      </c>
      <c r="G187" t="s">
        <v>115</v>
      </c>
      <c r="H187">
        <v>45550</v>
      </c>
    </row>
    <row r="188" spans="1:9">
      <c r="A188" t="s">
        <v>449</v>
      </c>
      <c r="B188">
        <v>55</v>
      </c>
      <c r="C188">
        <v>48</v>
      </c>
      <c r="D188">
        <v>-7</v>
      </c>
      <c r="E188">
        <v>14106681</v>
      </c>
      <c r="F188" t="s">
        <v>104</v>
      </c>
      <c r="G188" t="s">
        <v>106</v>
      </c>
      <c r="H188">
        <v>45535</v>
      </c>
      <c r="I188">
        <v>45544</v>
      </c>
    </row>
    <row r="189" spans="1:9">
      <c r="A189" t="s">
        <v>449</v>
      </c>
      <c r="B189">
        <v>55</v>
      </c>
      <c r="C189">
        <v>48</v>
      </c>
      <c r="D189">
        <v>-7</v>
      </c>
      <c r="E189">
        <v>14106681</v>
      </c>
      <c r="F189" t="s">
        <v>118</v>
      </c>
      <c r="G189" t="s">
        <v>106</v>
      </c>
      <c r="H189">
        <v>45534</v>
      </c>
      <c r="I189">
        <v>45534</v>
      </c>
    </row>
    <row r="190" spans="1:9">
      <c r="A190" t="s">
        <v>401</v>
      </c>
      <c r="B190">
        <v>25</v>
      </c>
      <c r="C190">
        <v>25</v>
      </c>
      <c r="D190">
        <v>0</v>
      </c>
      <c r="E190">
        <v>14160848</v>
      </c>
      <c r="F190" t="s">
        <v>104</v>
      </c>
      <c r="G190" t="s">
        <v>115</v>
      </c>
      <c r="H190">
        <v>45546</v>
      </c>
    </row>
    <row r="191" spans="1:9">
      <c r="A191" t="s">
        <v>449</v>
      </c>
      <c r="B191">
        <v>20</v>
      </c>
      <c r="C191">
        <v>20</v>
      </c>
      <c r="D191">
        <v>0</v>
      </c>
      <c r="E191">
        <v>14186651</v>
      </c>
      <c r="F191" t="s">
        <v>104</v>
      </c>
      <c r="G191" t="s">
        <v>106</v>
      </c>
      <c r="I191">
        <v>45507</v>
      </c>
    </row>
    <row r="192" spans="1:9">
      <c r="A192" t="s">
        <v>449</v>
      </c>
      <c r="B192">
        <v>30</v>
      </c>
      <c r="C192">
        <v>30</v>
      </c>
      <c r="D192">
        <v>0</v>
      </c>
      <c r="E192">
        <v>14186651</v>
      </c>
      <c r="F192" t="s">
        <v>118</v>
      </c>
      <c r="G192" t="s">
        <v>106</v>
      </c>
      <c r="I192">
        <v>45533</v>
      </c>
    </row>
    <row r="193" spans="1:9">
      <c r="A193" t="s">
        <v>248</v>
      </c>
      <c r="B193">
        <v>0</v>
      </c>
      <c r="C193">
        <v>45</v>
      </c>
      <c r="D193">
        <v>45</v>
      </c>
      <c r="E193">
        <v>14328642</v>
      </c>
      <c r="F193" t="s">
        <v>104</v>
      </c>
      <c r="G193" t="s">
        <v>122</v>
      </c>
      <c r="H193">
        <v>45562</v>
      </c>
    </row>
    <row r="194" spans="1:9">
      <c r="A194" t="s">
        <v>1617</v>
      </c>
      <c r="B194">
        <v>100</v>
      </c>
      <c r="C194">
        <v>100</v>
      </c>
      <c r="D194">
        <v>0</v>
      </c>
      <c r="E194">
        <v>14370434</v>
      </c>
      <c r="F194" t="s">
        <v>118</v>
      </c>
      <c r="G194" t="s">
        <v>201</v>
      </c>
      <c r="H194">
        <v>45583</v>
      </c>
    </row>
    <row r="195" spans="1:9">
      <c r="A195" t="s">
        <v>389</v>
      </c>
      <c r="B195">
        <v>25.5</v>
      </c>
      <c r="C195">
        <v>20</v>
      </c>
      <c r="D195">
        <v>-5.5</v>
      </c>
      <c r="E195">
        <v>14447583</v>
      </c>
      <c r="F195" t="s">
        <v>104</v>
      </c>
      <c r="G195" t="s">
        <v>115</v>
      </c>
      <c r="H195">
        <v>45545</v>
      </c>
    </row>
    <row r="196" spans="1:9">
      <c r="A196" t="s">
        <v>389</v>
      </c>
      <c r="B196">
        <v>0</v>
      </c>
      <c r="C196">
        <v>40</v>
      </c>
      <c r="D196">
        <v>40</v>
      </c>
      <c r="E196">
        <v>14447583</v>
      </c>
      <c r="F196" t="s">
        <v>118</v>
      </c>
      <c r="G196" t="s">
        <v>122</v>
      </c>
      <c r="H196">
        <v>45555</v>
      </c>
    </row>
    <row r="197" spans="1:9">
      <c r="A197" t="s">
        <v>248</v>
      </c>
      <c r="B197">
        <v>48</v>
      </c>
      <c r="C197">
        <v>40</v>
      </c>
      <c r="D197">
        <v>-8</v>
      </c>
      <c r="E197">
        <v>14632279</v>
      </c>
      <c r="F197" t="s">
        <v>101</v>
      </c>
      <c r="G197" t="s">
        <v>106</v>
      </c>
      <c r="H197">
        <v>45534</v>
      </c>
      <c r="I197">
        <v>45545</v>
      </c>
    </row>
    <row r="198" spans="1:9">
      <c r="A198" t="s">
        <v>401</v>
      </c>
      <c r="B198">
        <v>0</v>
      </c>
      <c r="C198">
        <v>50</v>
      </c>
      <c r="D198">
        <v>50</v>
      </c>
      <c r="E198">
        <v>13337002</v>
      </c>
      <c r="F198" t="s">
        <v>118</v>
      </c>
      <c r="G198" t="s">
        <v>201</v>
      </c>
      <c r="H198">
        <v>45576</v>
      </c>
      <c r="I198" t="s">
        <v>125</v>
      </c>
    </row>
    <row r="199" spans="1:9">
      <c r="A199" t="s">
        <v>401</v>
      </c>
      <c r="B199">
        <v>0</v>
      </c>
      <c r="C199">
        <v>50</v>
      </c>
      <c r="D199">
        <v>50</v>
      </c>
      <c r="E199">
        <v>13543932</v>
      </c>
      <c r="F199" t="s">
        <v>118</v>
      </c>
      <c r="G199" t="s">
        <v>201</v>
      </c>
      <c r="H199">
        <v>45576</v>
      </c>
      <c r="I199" t="s">
        <v>125</v>
      </c>
    </row>
    <row r="200" spans="1:9">
      <c r="A200" t="s">
        <v>401</v>
      </c>
      <c r="B200">
        <v>0</v>
      </c>
      <c r="C200">
        <v>20</v>
      </c>
      <c r="D200">
        <v>20</v>
      </c>
      <c r="E200">
        <v>14160848</v>
      </c>
      <c r="F200" t="s">
        <v>118</v>
      </c>
      <c r="G200" t="s">
        <v>201</v>
      </c>
      <c r="H200">
        <v>45576</v>
      </c>
      <c r="I200" t="s">
        <v>125</v>
      </c>
    </row>
    <row r="201" spans="1:9">
      <c r="A201" t="s">
        <v>1617</v>
      </c>
      <c r="B201">
        <v>47</v>
      </c>
      <c r="C201">
        <v>200</v>
      </c>
      <c r="D201">
        <v>153</v>
      </c>
      <c r="E201">
        <v>13471498</v>
      </c>
      <c r="F201" t="s">
        <v>118</v>
      </c>
      <c r="G201" t="s">
        <v>115</v>
      </c>
      <c r="H201">
        <v>45583</v>
      </c>
    </row>
    <row r="202" spans="1:9">
      <c r="A202" t="s">
        <v>401</v>
      </c>
      <c r="B202">
        <v>25</v>
      </c>
      <c r="C202">
        <v>25</v>
      </c>
      <c r="D202">
        <v>0</v>
      </c>
      <c r="E202">
        <v>14370434</v>
      </c>
      <c r="F202" t="s">
        <v>104</v>
      </c>
      <c r="G202" t="s">
        <v>115</v>
      </c>
      <c r="H202">
        <v>45546</v>
      </c>
    </row>
    <row r="203" spans="1:9">
      <c r="A203" t="s">
        <v>248</v>
      </c>
      <c r="B203">
        <v>94</v>
      </c>
      <c r="C203">
        <v>88</v>
      </c>
      <c r="D203">
        <v>-6</v>
      </c>
      <c r="E203">
        <v>12363191</v>
      </c>
      <c r="F203" t="s">
        <v>118</v>
      </c>
      <c r="G203" t="s">
        <v>115</v>
      </c>
      <c r="H203">
        <v>45541</v>
      </c>
    </row>
    <row r="204" spans="1:9">
      <c r="A204" t="s">
        <v>1615</v>
      </c>
      <c r="B204">
        <v>133.5</v>
      </c>
      <c r="C204">
        <v>110</v>
      </c>
      <c r="D204">
        <v>-23.5</v>
      </c>
      <c r="E204">
        <v>14658135</v>
      </c>
      <c r="F204" t="s">
        <v>101</v>
      </c>
      <c r="G204" t="s">
        <v>115</v>
      </c>
      <c r="H204">
        <v>45541</v>
      </c>
    </row>
    <row r="205" spans="1:9">
      <c r="A205" t="s">
        <v>158</v>
      </c>
      <c r="B205">
        <v>0</v>
      </c>
      <c r="C205">
        <v>230</v>
      </c>
      <c r="D205">
        <v>230</v>
      </c>
      <c r="E205">
        <v>13064164</v>
      </c>
      <c r="F205" t="s">
        <v>118</v>
      </c>
      <c r="G205" t="s">
        <v>122</v>
      </c>
      <c r="H205">
        <v>45590</v>
      </c>
    </row>
    <row r="206" spans="1:9">
      <c r="A206" t="s">
        <v>449</v>
      </c>
      <c r="B206">
        <v>87</v>
      </c>
      <c r="C206">
        <v>70</v>
      </c>
      <c r="D206">
        <v>-17</v>
      </c>
      <c r="E206">
        <v>14704682</v>
      </c>
      <c r="F206" t="s">
        <v>176</v>
      </c>
      <c r="G206" t="s">
        <v>115</v>
      </c>
      <c r="H206">
        <v>45541</v>
      </c>
    </row>
    <row r="207" spans="1:9">
      <c r="A207" t="s">
        <v>248</v>
      </c>
      <c r="B207">
        <v>0</v>
      </c>
      <c r="C207">
        <v>90</v>
      </c>
      <c r="D207">
        <v>90</v>
      </c>
      <c r="E207">
        <v>14328642</v>
      </c>
      <c r="F207" t="s">
        <v>118</v>
      </c>
      <c r="G207" t="s">
        <v>122</v>
      </c>
      <c r="H207">
        <v>45580</v>
      </c>
    </row>
    <row r="208" spans="1:9">
      <c r="A208" t="s">
        <v>1615</v>
      </c>
      <c r="B208">
        <v>0</v>
      </c>
      <c r="C208">
        <v>300</v>
      </c>
      <c r="D208">
        <v>300</v>
      </c>
      <c r="E208">
        <v>14135953</v>
      </c>
      <c r="F208" t="s">
        <v>118</v>
      </c>
      <c r="G208" t="s">
        <v>122</v>
      </c>
      <c r="H208" t="s">
        <v>270</v>
      </c>
    </row>
    <row r="209" spans="1:9">
      <c r="A209" t="s">
        <v>623</v>
      </c>
      <c r="B209">
        <v>0</v>
      </c>
      <c r="C209">
        <v>220</v>
      </c>
      <c r="D209">
        <v>220</v>
      </c>
      <c r="E209">
        <v>13117151</v>
      </c>
      <c r="F209" t="s">
        <v>118</v>
      </c>
      <c r="G209" t="s">
        <v>201</v>
      </c>
      <c r="H209" t="s">
        <v>270</v>
      </c>
    </row>
    <row r="210" spans="1:9">
      <c r="A210" t="s">
        <v>1605</v>
      </c>
      <c r="B210">
        <v>0</v>
      </c>
      <c r="D210">
        <v>0</v>
      </c>
      <c r="E210">
        <v>13530028</v>
      </c>
      <c r="F210" t="s">
        <v>118</v>
      </c>
      <c r="G210" t="s">
        <v>14</v>
      </c>
      <c r="H210">
        <v>45565</v>
      </c>
    </row>
    <row r="211" spans="1:9">
      <c r="A211" t="s">
        <v>1606</v>
      </c>
      <c r="B211">
        <v>0</v>
      </c>
      <c r="C211">
        <v>0</v>
      </c>
      <c r="D211">
        <v>0</v>
      </c>
      <c r="E211">
        <v>14433401</v>
      </c>
      <c r="F211" t="s">
        <v>118</v>
      </c>
      <c r="G211" t="s">
        <v>122</v>
      </c>
      <c r="H211">
        <v>45616</v>
      </c>
    </row>
    <row r="212" spans="1:9">
      <c r="A212" t="s">
        <v>1606</v>
      </c>
      <c r="B212">
        <v>0</v>
      </c>
      <c r="C212">
        <v>0</v>
      </c>
      <c r="D212">
        <v>0</v>
      </c>
      <c r="E212">
        <v>12450880</v>
      </c>
      <c r="F212" t="s">
        <v>118</v>
      </c>
      <c r="G212" t="s">
        <v>122</v>
      </c>
      <c r="H212">
        <v>45616</v>
      </c>
    </row>
    <row r="213" spans="1:9">
      <c r="A213" t="s">
        <v>183</v>
      </c>
      <c r="B213">
        <v>0</v>
      </c>
      <c r="D213">
        <v>0</v>
      </c>
      <c r="E213">
        <v>12778031</v>
      </c>
      <c r="F213" t="s">
        <v>118</v>
      </c>
      <c r="G213" t="s">
        <v>207</v>
      </c>
    </row>
    <row r="214" spans="1:9">
      <c r="A214" t="s">
        <v>1606</v>
      </c>
      <c r="B214">
        <v>0</v>
      </c>
      <c r="C214">
        <v>0</v>
      </c>
      <c r="D214">
        <v>0</v>
      </c>
      <c r="E214">
        <v>12878180</v>
      </c>
      <c r="F214" t="s">
        <v>118</v>
      </c>
      <c r="G214" t="s">
        <v>122</v>
      </c>
      <c r="H214">
        <v>45616</v>
      </c>
    </row>
    <row r="215" spans="1:9">
      <c r="A215" t="s">
        <v>1610</v>
      </c>
      <c r="B215">
        <v>0</v>
      </c>
      <c r="C215">
        <v>30</v>
      </c>
      <c r="D215">
        <v>30</v>
      </c>
      <c r="E215">
        <v>13148104</v>
      </c>
      <c r="F215" t="s">
        <v>118</v>
      </c>
      <c r="G215" t="s">
        <v>122</v>
      </c>
    </row>
    <row r="216" spans="1:9">
      <c r="A216" t="s">
        <v>612</v>
      </c>
      <c r="B216">
        <v>0</v>
      </c>
      <c r="C216">
        <v>50</v>
      </c>
      <c r="D216">
        <v>50</v>
      </c>
      <c r="E216">
        <v>13532541</v>
      </c>
      <c r="F216" t="s">
        <v>118</v>
      </c>
      <c r="G216" t="s">
        <v>122</v>
      </c>
      <c r="H216">
        <v>45590</v>
      </c>
    </row>
    <row r="217" spans="1:9">
      <c r="A217" t="s">
        <v>212</v>
      </c>
      <c r="B217">
        <v>0</v>
      </c>
      <c r="C217">
        <v>16</v>
      </c>
      <c r="D217">
        <v>16</v>
      </c>
      <c r="E217">
        <v>13665891</v>
      </c>
      <c r="F217" t="s">
        <v>118</v>
      </c>
      <c r="G217" t="s">
        <v>115</v>
      </c>
      <c r="H217">
        <v>45569</v>
      </c>
    </row>
    <row r="218" spans="1:9">
      <c r="A218" t="s">
        <v>1611</v>
      </c>
      <c r="B218">
        <v>0</v>
      </c>
      <c r="C218">
        <v>63</v>
      </c>
      <c r="D218">
        <v>63</v>
      </c>
      <c r="E218">
        <v>13868570</v>
      </c>
      <c r="F218" t="s">
        <v>118</v>
      </c>
      <c r="G218" t="s">
        <v>231</v>
      </c>
      <c r="H218">
        <v>45560</v>
      </c>
      <c r="I218">
        <v>45544</v>
      </c>
    </row>
    <row r="219" spans="1:9">
      <c r="A219" t="s">
        <v>1606</v>
      </c>
      <c r="B219">
        <v>0</v>
      </c>
      <c r="C219">
        <v>0</v>
      </c>
      <c r="D219">
        <v>0</v>
      </c>
      <c r="E219">
        <v>14063837</v>
      </c>
      <c r="F219" t="s">
        <v>118</v>
      </c>
      <c r="G219" t="s">
        <v>122</v>
      </c>
      <c r="H219">
        <v>45616</v>
      </c>
    </row>
    <row r="220" spans="1:9">
      <c r="A220" t="s">
        <v>1380</v>
      </c>
      <c r="B220">
        <v>6</v>
      </c>
      <c r="C220">
        <v>44</v>
      </c>
      <c r="D220">
        <v>38</v>
      </c>
      <c r="E220">
        <v>14447586</v>
      </c>
      <c r="F220" t="s">
        <v>118</v>
      </c>
      <c r="G220" t="s">
        <v>122</v>
      </c>
      <c r="H220">
        <v>45560</v>
      </c>
    </row>
    <row r="221" spans="1:9">
      <c r="A221" t="s">
        <v>260</v>
      </c>
      <c r="B221">
        <v>50</v>
      </c>
      <c r="C221">
        <v>51</v>
      </c>
      <c r="D221">
        <v>1</v>
      </c>
      <c r="E221">
        <v>14119014</v>
      </c>
      <c r="F221" t="s">
        <v>904</v>
      </c>
      <c r="G221" t="s">
        <v>106</v>
      </c>
      <c r="H221">
        <v>45545</v>
      </c>
      <c r="I221">
        <v>45544</v>
      </c>
    </row>
    <row r="222" spans="1:9">
      <c r="A222" t="s">
        <v>260</v>
      </c>
      <c r="D222">
        <v>0</v>
      </c>
      <c r="E222">
        <v>14119014</v>
      </c>
      <c r="F222" t="s">
        <v>118</v>
      </c>
      <c r="G222" t="s">
        <v>106</v>
      </c>
      <c r="H222">
        <v>45545</v>
      </c>
      <c r="I222">
        <v>45544</v>
      </c>
    </row>
    <row r="223" spans="1:9">
      <c r="A223" t="s">
        <v>1605</v>
      </c>
      <c r="B223">
        <v>0</v>
      </c>
      <c r="C223">
        <v>0</v>
      </c>
      <c r="D223">
        <v>0</v>
      </c>
      <c r="E223">
        <v>11094346</v>
      </c>
      <c r="F223" t="s">
        <v>118</v>
      </c>
      <c r="G223" t="s">
        <v>122</v>
      </c>
      <c r="H223">
        <v>45593</v>
      </c>
    </row>
    <row r="224" spans="1:9">
      <c r="A224" t="s">
        <v>1610</v>
      </c>
      <c r="B224">
        <v>0</v>
      </c>
      <c r="D224">
        <v>0</v>
      </c>
      <c r="E224">
        <v>13377807</v>
      </c>
      <c r="F224" t="s">
        <v>118</v>
      </c>
      <c r="G224" t="s">
        <v>231</v>
      </c>
      <c r="I224">
        <v>45539</v>
      </c>
    </row>
    <row r="225" spans="1:9">
      <c r="A225" t="s">
        <v>389</v>
      </c>
      <c r="B225">
        <v>4</v>
      </c>
      <c r="C225">
        <v>45</v>
      </c>
      <c r="D225">
        <v>41</v>
      </c>
      <c r="E225">
        <v>14118978</v>
      </c>
      <c r="F225" t="s">
        <v>118</v>
      </c>
      <c r="G225" t="s">
        <v>106</v>
      </c>
      <c r="I225">
        <v>45544</v>
      </c>
    </row>
    <row r="226" spans="1:9">
      <c r="A226" t="s">
        <v>551</v>
      </c>
      <c r="C226">
        <v>21</v>
      </c>
      <c r="D226">
        <v>-21</v>
      </c>
      <c r="E226">
        <v>13779220</v>
      </c>
      <c r="F226" t="s">
        <v>118</v>
      </c>
      <c r="G226" t="s">
        <v>14</v>
      </c>
      <c r="H226">
        <v>45641</v>
      </c>
    </row>
    <row r="227" spans="1:9">
      <c r="A227" t="s">
        <v>1380</v>
      </c>
      <c r="B227">
        <v>0</v>
      </c>
      <c r="C227">
        <v>0</v>
      </c>
      <c r="D227">
        <v>0</v>
      </c>
      <c r="E227">
        <v>14114528</v>
      </c>
      <c r="F227" t="s">
        <v>118</v>
      </c>
      <c r="G227" t="s">
        <v>231</v>
      </c>
      <c r="I227">
        <v>45542</v>
      </c>
    </row>
    <row r="228" spans="1:9">
      <c r="A228" t="s">
        <v>1380</v>
      </c>
      <c r="B228">
        <v>4</v>
      </c>
      <c r="C228">
        <v>44</v>
      </c>
      <c r="D228">
        <v>40</v>
      </c>
      <c r="E228">
        <v>14114621</v>
      </c>
      <c r="F228" t="s">
        <v>118</v>
      </c>
      <c r="G228" t="s">
        <v>207</v>
      </c>
      <c r="H228">
        <v>45560</v>
      </c>
    </row>
    <row r="229" spans="1:9">
      <c r="A229" t="s">
        <v>260</v>
      </c>
      <c r="B229">
        <v>0</v>
      </c>
      <c r="C229">
        <v>40</v>
      </c>
      <c r="D229">
        <v>40</v>
      </c>
      <c r="E229">
        <v>14218829</v>
      </c>
      <c r="F229" t="s">
        <v>118</v>
      </c>
      <c r="G229" t="s">
        <v>122</v>
      </c>
      <c r="H229">
        <v>45590</v>
      </c>
    </row>
    <row r="230" spans="1:9">
      <c r="A230" t="s">
        <v>401</v>
      </c>
      <c r="B230">
        <v>0</v>
      </c>
      <c r="C230">
        <v>85</v>
      </c>
      <c r="D230">
        <v>85</v>
      </c>
      <c r="E230">
        <v>14395198</v>
      </c>
      <c r="F230" t="s">
        <v>118</v>
      </c>
      <c r="G230" t="s">
        <v>122</v>
      </c>
      <c r="H230">
        <v>45593</v>
      </c>
    </row>
    <row r="231" spans="1:9">
      <c r="A231" t="s">
        <v>401</v>
      </c>
      <c r="B231">
        <v>0</v>
      </c>
      <c r="C231">
        <v>40</v>
      </c>
      <c r="D231">
        <v>40</v>
      </c>
      <c r="E231">
        <v>14428693</v>
      </c>
      <c r="F231" t="s">
        <v>118</v>
      </c>
      <c r="G231" t="s">
        <v>14</v>
      </c>
      <c r="H231">
        <v>45593</v>
      </c>
    </row>
    <row r="232" spans="1:9">
      <c r="A232" t="s">
        <v>1380</v>
      </c>
      <c r="B232">
        <v>30</v>
      </c>
      <c r="C232">
        <v>38</v>
      </c>
      <c r="D232">
        <v>8</v>
      </c>
      <c r="E232">
        <v>14579642</v>
      </c>
      <c r="F232" t="s">
        <v>104</v>
      </c>
      <c r="G232" t="s">
        <v>106</v>
      </c>
      <c r="H232">
        <v>45548</v>
      </c>
      <c r="I232">
        <v>45530</v>
      </c>
    </row>
    <row r="233" spans="1:9">
      <c r="A233" t="s">
        <v>449</v>
      </c>
      <c r="B233">
        <v>8</v>
      </c>
      <c r="C233">
        <v>8</v>
      </c>
      <c r="D233">
        <v>0</v>
      </c>
      <c r="E233">
        <v>13274796</v>
      </c>
      <c r="F233" t="s">
        <v>904</v>
      </c>
      <c r="G233" t="s">
        <v>106</v>
      </c>
      <c r="H233">
        <v>45534</v>
      </c>
      <c r="I233">
        <v>45539</v>
      </c>
    </row>
    <row r="234" spans="1:9">
      <c r="A234" t="s">
        <v>1609</v>
      </c>
      <c r="B234">
        <v>0</v>
      </c>
      <c r="C234">
        <v>69</v>
      </c>
      <c r="D234">
        <v>69</v>
      </c>
      <c r="E234">
        <v>13377821</v>
      </c>
      <c r="F234" t="s">
        <v>104</v>
      </c>
      <c r="G234" t="s">
        <v>231</v>
      </c>
      <c r="I234">
        <v>45542</v>
      </c>
    </row>
    <row r="235" spans="1:9">
      <c r="A235" t="s">
        <v>1609</v>
      </c>
      <c r="B235">
        <v>0</v>
      </c>
      <c r="C235">
        <v>121</v>
      </c>
      <c r="D235">
        <v>121</v>
      </c>
      <c r="E235">
        <v>13377821</v>
      </c>
      <c r="F235" t="s">
        <v>118</v>
      </c>
      <c r="G235" t="s">
        <v>231</v>
      </c>
      <c r="I235">
        <v>45542</v>
      </c>
    </row>
    <row r="236" spans="1:9">
      <c r="A236" t="s">
        <v>1615</v>
      </c>
      <c r="B236">
        <v>0</v>
      </c>
      <c r="C236">
        <v>0</v>
      </c>
      <c r="D236">
        <v>0</v>
      </c>
      <c r="E236">
        <v>14042361</v>
      </c>
      <c r="F236" t="s">
        <v>101</v>
      </c>
      <c r="G236" t="s">
        <v>122</v>
      </c>
      <c r="H236" t="s">
        <v>125</v>
      </c>
      <c r="I236" t="s">
        <v>125</v>
      </c>
    </row>
    <row r="237" spans="1:9">
      <c r="A237" t="s">
        <v>1616</v>
      </c>
      <c r="B237">
        <v>25</v>
      </c>
      <c r="C237">
        <v>25</v>
      </c>
      <c r="D237">
        <v>0</v>
      </c>
      <c r="E237">
        <v>14369529</v>
      </c>
      <c r="F237" t="s">
        <v>179</v>
      </c>
      <c r="G237" t="s">
        <v>106</v>
      </c>
      <c r="I237">
        <v>45544</v>
      </c>
    </row>
    <row r="238" spans="1:9">
      <c r="A238" t="s">
        <v>401</v>
      </c>
      <c r="D238">
        <v>0</v>
      </c>
      <c r="E238">
        <v>13477734</v>
      </c>
      <c r="F238" t="s">
        <v>179</v>
      </c>
      <c r="G238" t="s">
        <v>106</v>
      </c>
      <c r="I238">
        <v>45544</v>
      </c>
    </row>
    <row r="239" spans="1:9">
      <c r="A239" t="s">
        <v>1612</v>
      </c>
      <c r="E239">
        <v>13480513</v>
      </c>
      <c r="F239" t="s">
        <v>179</v>
      </c>
      <c r="G239" t="s">
        <v>106</v>
      </c>
      <c r="I239">
        <v>45542</v>
      </c>
    </row>
    <row r="240" spans="1:9">
      <c r="A240" t="s">
        <v>1616</v>
      </c>
      <c r="D240">
        <v>0</v>
      </c>
      <c r="E240">
        <v>14415486</v>
      </c>
      <c r="F240" t="s">
        <v>179</v>
      </c>
      <c r="G240" t="s">
        <v>106</v>
      </c>
      <c r="I240">
        <v>45544</v>
      </c>
    </row>
    <row r="241" spans="1:9">
      <c r="A241" t="s">
        <v>1614</v>
      </c>
      <c r="E241">
        <v>13186012</v>
      </c>
      <c r="F241" t="s">
        <v>104</v>
      </c>
      <c r="G241" t="s">
        <v>231</v>
      </c>
      <c r="I241">
        <v>45544</v>
      </c>
    </row>
    <row r="242" spans="1:9">
      <c r="A242" t="s">
        <v>1618</v>
      </c>
      <c r="D242">
        <v>0</v>
      </c>
      <c r="E242">
        <v>13414130</v>
      </c>
      <c r="F242" t="s">
        <v>118</v>
      </c>
      <c r="G242" t="s">
        <v>106</v>
      </c>
      <c r="I242">
        <v>45526</v>
      </c>
    </row>
    <row r="243" spans="1:9">
      <c r="A243" t="s">
        <v>316</v>
      </c>
      <c r="D243">
        <v>0</v>
      </c>
      <c r="E243">
        <v>13590592</v>
      </c>
      <c r="F243" t="s">
        <v>104</v>
      </c>
      <c r="G243" t="s">
        <v>234</v>
      </c>
      <c r="I243">
        <v>45544</v>
      </c>
    </row>
    <row r="244" spans="1:9">
      <c r="A244" t="s">
        <v>316</v>
      </c>
      <c r="D244">
        <v>0</v>
      </c>
      <c r="E244">
        <v>14026238</v>
      </c>
      <c r="F244" t="s">
        <v>118</v>
      </c>
      <c r="G244" t="s">
        <v>234</v>
      </c>
      <c r="I244">
        <v>45544</v>
      </c>
    </row>
    <row r="245" spans="1:9">
      <c r="A245" t="s">
        <v>577</v>
      </c>
      <c r="B245">
        <v>2</v>
      </c>
      <c r="D245">
        <v>-2</v>
      </c>
      <c r="E245">
        <v>14186735</v>
      </c>
      <c r="F245" t="s">
        <v>104</v>
      </c>
      <c r="G245" t="s">
        <v>115</v>
      </c>
      <c r="H245">
        <v>45588</v>
      </c>
    </row>
    <row r="246" spans="1:9">
      <c r="A246" t="s">
        <v>316</v>
      </c>
      <c r="D246">
        <v>0</v>
      </c>
      <c r="E246">
        <v>14328635</v>
      </c>
      <c r="F246" t="s">
        <v>118</v>
      </c>
      <c r="G246" t="s">
        <v>234</v>
      </c>
    </row>
    <row r="247" spans="1:9">
      <c r="A247" t="s">
        <v>316</v>
      </c>
      <c r="D247">
        <v>0</v>
      </c>
      <c r="E247">
        <v>13404939</v>
      </c>
      <c r="F247" t="s">
        <v>104</v>
      </c>
      <c r="G247" t="s">
        <v>207</v>
      </c>
    </row>
    <row r="248" spans="1:9">
      <c r="A248" t="s">
        <v>401</v>
      </c>
      <c r="D248">
        <v>0</v>
      </c>
      <c r="E248">
        <v>14471704</v>
      </c>
      <c r="F248" t="s">
        <v>104</v>
      </c>
      <c r="G248" t="s">
        <v>106</v>
      </c>
      <c r="I248">
        <v>45505</v>
      </c>
    </row>
    <row r="249" spans="1:9">
      <c r="A249" t="s">
        <v>401</v>
      </c>
      <c r="D249">
        <v>0</v>
      </c>
      <c r="E249">
        <v>14521000</v>
      </c>
      <c r="F249" t="s">
        <v>104</v>
      </c>
      <c r="G249" t="s">
        <v>231</v>
      </c>
      <c r="I249">
        <v>45544</v>
      </c>
    </row>
    <row r="250" spans="1:9">
      <c r="A250" t="s">
        <v>1615</v>
      </c>
      <c r="B250">
        <v>0</v>
      </c>
      <c r="C250">
        <v>0</v>
      </c>
      <c r="D250">
        <v>0</v>
      </c>
      <c r="E250">
        <v>14042361</v>
      </c>
      <c r="F250" t="s">
        <v>176</v>
      </c>
      <c r="G250" t="s">
        <v>122</v>
      </c>
      <c r="H250" t="s">
        <v>125</v>
      </c>
      <c r="I250" t="s">
        <v>125</v>
      </c>
    </row>
    <row r="251" spans="1:9">
      <c r="A251" t="s">
        <v>1616</v>
      </c>
      <c r="B251">
        <v>40</v>
      </c>
      <c r="C251">
        <v>40</v>
      </c>
      <c r="D251">
        <v>0</v>
      </c>
      <c r="E251">
        <v>14369529</v>
      </c>
      <c r="F251" t="s">
        <v>904</v>
      </c>
      <c r="G251" t="s">
        <v>106</v>
      </c>
      <c r="I251">
        <v>45544</v>
      </c>
    </row>
    <row r="252" spans="1:9">
      <c r="A252" t="s">
        <v>401</v>
      </c>
      <c r="D252">
        <v>0</v>
      </c>
      <c r="E252">
        <v>13477734</v>
      </c>
      <c r="F252" t="s">
        <v>904</v>
      </c>
      <c r="G252" t="s">
        <v>106</v>
      </c>
      <c r="I252">
        <v>45544</v>
      </c>
    </row>
    <row r="253" spans="1:9">
      <c r="A253" t="s">
        <v>1612</v>
      </c>
      <c r="E253">
        <v>13480513</v>
      </c>
      <c r="F253" t="s">
        <v>904</v>
      </c>
      <c r="G253" t="s">
        <v>106</v>
      </c>
      <c r="I253">
        <v>45542</v>
      </c>
    </row>
    <row r="254" spans="1:9">
      <c r="A254" t="s">
        <v>1616</v>
      </c>
      <c r="D254">
        <v>0</v>
      </c>
      <c r="E254">
        <v>14415486</v>
      </c>
      <c r="F254" t="s">
        <v>904</v>
      </c>
      <c r="G254" t="s">
        <v>106</v>
      </c>
      <c r="I254">
        <v>45544</v>
      </c>
    </row>
    <row r="255" spans="1:9">
      <c r="A255" t="s">
        <v>1614</v>
      </c>
      <c r="E255">
        <v>13186012</v>
      </c>
      <c r="F255" t="s">
        <v>118</v>
      </c>
      <c r="G255" t="s">
        <v>231</v>
      </c>
      <c r="I255">
        <v>45544</v>
      </c>
    </row>
    <row r="256" spans="1:9">
      <c r="A256" t="s">
        <v>1618</v>
      </c>
      <c r="D256">
        <v>0</v>
      </c>
      <c r="E256">
        <v>13414130</v>
      </c>
      <c r="F256" t="s">
        <v>904</v>
      </c>
      <c r="G256" t="s">
        <v>106</v>
      </c>
      <c r="I256">
        <v>45544</v>
      </c>
    </row>
    <row r="257" spans="1:9">
      <c r="A257" t="s">
        <v>316</v>
      </c>
      <c r="D257">
        <v>0</v>
      </c>
      <c r="E257">
        <v>13590592</v>
      </c>
      <c r="F257" t="s">
        <v>118</v>
      </c>
      <c r="G257" t="s">
        <v>234</v>
      </c>
      <c r="I257">
        <v>45544</v>
      </c>
    </row>
    <row r="258" spans="1:9">
      <c r="A258" t="s">
        <v>316</v>
      </c>
      <c r="D258">
        <v>0</v>
      </c>
      <c r="E258">
        <v>14026238</v>
      </c>
      <c r="F258" t="s">
        <v>104</v>
      </c>
      <c r="G258" t="s">
        <v>234</v>
      </c>
      <c r="I258">
        <v>45544</v>
      </c>
    </row>
    <row r="259" spans="1:9">
      <c r="A259" t="s">
        <v>577</v>
      </c>
      <c r="D259">
        <v>0</v>
      </c>
      <c r="E259">
        <v>14186735</v>
      </c>
      <c r="F259" t="s">
        <v>118</v>
      </c>
      <c r="G259" t="s">
        <v>122</v>
      </c>
      <c r="H259">
        <v>45580</v>
      </c>
    </row>
    <row r="260" spans="1:9">
      <c r="A260" t="s">
        <v>316</v>
      </c>
      <c r="D260">
        <v>0</v>
      </c>
      <c r="E260">
        <v>14328635</v>
      </c>
      <c r="F260" t="s">
        <v>104</v>
      </c>
      <c r="G260" t="s">
        <v>234</v>
      </c>
    </row>
    <row r="261" spans="1:9">
      <c r="A261" t="s">
        <v>316</v>
      </c>
      <c r="D261">
        <v>0</v>
      </c>
      <c r="E261">
        <v>13404939</v>
      </c>
      <c r="F261" t="s">
        <v>118</v>
      </c>
      <c r="G261" t="s">
        <v>207</v>
      </c>
    </row>
    <row r="262" spans="1:9">
      <c r="A262" t="s">
        <v>401</v>
      </c>
      <c r="D262">
        <v>0</v>
      </c>
      <c r="E262">
        <v>14471704</v>
      </c>
      <c r="F262" t="s">
        <v>118</v>
      </c>
      <c r="G262" t="s">
        <v>106</v>
      </c>
      <c r="I262">
        <v>45512</v>
      </c>
    </row>
    <row r="263" spans="1:9">
      <c r="A263" t="s">
        <v>401</v>
      </c>
      <c r="D263">
        <v>0</v>
      </c>
      <c r="E263">
        <v>14521000</v>
      </c>
      <c r="F263" t="s">
        <v>118</v>
      </c>
      <c r="G263" t="s">
        <v>231</v>
      </c>
      <c r="I263">
        <v>45544</v>
      </c>
    </row>
    <row r="264" spans="1:9">
      <c r="A264" t="s">
        <v>158</v>
      </c>
      <c r="B264">
        <v>34.5</v>
      </c>
      <c r="C264">
        <v>30</v>
      </c>
      <c r="D264">
        <v>-4.5</v>
      </c>
      <c r="E264">
        <v>14753799</v>
      </c>
      <c r="F264" t="s">
        <v>118</v>
      </c>
      <c r="G264" t="s">
        <v>115</v>
      </c>
      <c r="H264">
        <v>45565</v>
      </c>
    </row>
    <row r="265" spans="1:9">
      <c r="A265" t="s">
        <v>248</v>
      </c>
      <c r="B265">
        <v>2</v>
      </c>
      <c r="C265">
        <v>30</v>
      </c>
      <c r="D265">
        <v>28</v>
      </c>
      <c r="E265">
        <v>14672943</v>
      </c>
      <c r="F265" t="s">
        <v>104</v>
      </c>
      <c r="G265" t="s">
        <v>115</v>
      </c>
      <c r="H265">
        <v>45596</v>
      </c>
    </row>
    <row r="266" spans="1:9">
      <c r="A266" t="s">
        <v>248</v>
      </c>
      <c r="C266">
        <v>100</v>
      </c>
      <c r="E266">
        <v>14672943</v>
      </c>
      <c r="F266" t="s">
        <v>118</v>
      </c>
      <c r="G266" t="s">
        <v>122</v>
      </c>
      <c r="H266">
        <v>45596</v>
      </c>
    </row>
    <row r="267" spans="1:9">
      <c r="A267" t="s">
        <v>1610</v>
      </c>
      <c r="B267">
        <v>0</v>
      </c>
      <c r="C267">
        <v>4</v>
      </c>
      <c r="D267">
        <v>4</v>
      </c>
      <c r="E267">
        <v>13751560</v>
      </c>
      <c r="F267" t="s">
        <v>104</v>
      </c>
      <c r="G267" t="s">
        <v>122</v>
      </c>
    </row>
    <row r="268" spans="1:9">
      <c r="A268" t="s">
        <v>1610</v>
      </c>
      <c r="B268">
        <v>0</v>
      </c>
      <c r="C268">
        <v>6</v>
      </c>
      <c r="D268">
        <v>6</v>
      </c>
      <c r="E268">
        <v>14026935</v>
      </c>
      <c r="F268" t="s">
        <v>118</v>
      </c>
      <c r="G268" t="s">
        <v>122</v>
      </c>
    </row>
    <row r="269" spans="1:9">
      <c r="A269" t="s">
        <v>1610</v>
      </c>
      <c r="B269">
        <v>0</v>
      </c>
      <c r="C269">
        <v>6</v>
      </c>
      <c r="D269">
        <v>6</v>
      </c>
      <c r="E269">
        <v>13751560</v>
      </c>
      <c r="F269" t="s">
        <v>118</v>
      </c>
      <c r="G269" t="s">
        <v>122</v>
      </c>
    </row>
    <row r="270" spans="1:9">
      <c r="A270" t="s">
        <v>171</v>
      </c>
      <c r="B270">
        <v>13</v>
      </c>
      <c r="C270">
        <v>40</v>
      </c>
      <c r="D270">
        <v>27</v>
      </c>
      <c r="E270">
        <v>14655991</v>
      </c>
      <c r="F270" t="s">
        <v>118</v>
      </c>
      <c r="G270" t="s">
        <v>115</v>
      </c>
    </row>
    <row r="271" spans="1:9">
      <c r="A271" t="s">
        <v>623</v>
      </c>
      <c r="B271">
        <v>20</v>
      </c>
      <c r="E271">
        <v>14721405</v>
      </c>
      <c r="F271" t="s">
        <v>118</v>
      </c>
      <c r="G271" t="s">
        <v>115</v>
      </c>
      <c r="H271" t="s">
        <v>1588</v>
      </c>
    </row>
    <row r="272" spans="1:9">
      <c r="A272" t="s">
        <v>623</v>
      </c>
      <c r="B272">
        <v>20</v>
      </c>
      <c r="E272">
        <v>14721663</v>
      </c>
      <c r="F272" t="s">
        <v>118</v>
      </c>
      <c r="G272" t="s">
        <v>115</v>
      </c>
      <c r="H272" t="s">
        <v>1588</v>
      </c>
    </row>
    <row r="273" spans="1:8">
      <c r="A273" t="s">
        <v>1606</v>
      </c>
      <c r="B273">
        <v>0</v>
      </c>
      <c r="C273">
        <v>0</v>
      </c>
      <c r="D273">
        <v>0</v>
      </c>
      <c r="E273">
        <v>13590634</v>
      </c>
      <c r="F273" t="s">
        <v>118</v>
      </c>
      <c r="G273" t="s">
        <v>122</v>
      </c>
      <c r="H273">
        <v>45616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B87C6-54D2-4669-9469-3410683FC7D2}">
  <sheetPr codeName="Sheet16"/>
  <dimension ref="A1:C4"/>
  <sheetViews>
    <sheetView workbookViewId="0">
      <selection activeCell="J13" sqref="J13"/>
    </sheetView>
  </sheetViews>
  <sheetFormatPr defaultRowHeight="14.45"/>
  <sheetData>
    <row r="1" spans="1:3">
      <c r="A1" s="55" t="s">
        <v>1619</v>
      </c>
      <c r="B1" s="55" t="s">
        <v>1620</v>
      </c>
      <c r="C1" s="55" t="s">
        <v>1178</v>
      </c>
    </row>
    <row r="2" spans="1:3">
      <c r="A2" t="s">
        <v>1621</v>
      </c>
      <c r="B2">
        <v>45548</v>
      </c>
      <c r="C2" s="53" t="s">
        <v>1622</v>
      </c>
    </row>
    <row r="3" spans="1:3">
      <c r="C3" s="54" t="s">
        <v>1623</v>
      </c>
    </row>
    <row r="4" spans="1:3">
      <c r="C4" s="53" t="s">
        <v>1624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53B8F-14AB-4B67-8CB8-18BB1416D351}">
  <sheetPr codeName="Sheet4"/>
  <dimension ref="A2:O131"/>
  <sheetViews>
    <sheetView topLeftCell="A4" workbookViewId="0">
      <selection activeCell="J4" sqref="J4"/>
    </sheetView>
  </sheetViews>
  <sheetFormatPr defaultRowHeight="14.45"/>
  <cols>
    <col min="1" max="1" width="17.85546875" bestFit="1" customWidth="1"/>
    <col min="2" max="2" width="15.28515625" bestFit="1" customWidth="1"/>
    <col min="3" max="3" width="6.42578125" bestFit="1" customWidth="1"/>
    <col min="4" max="4" width="8.28515625" bestFit="1" customWidth="1"/>
    <col min="5" max="5" width="7.5703125" bestFit="1" customWidth="1"/>
    <col min="6" max="6" width="8.28515625" bestFit="1" customWidth="1"/>
    <col min="7" max="7" width="8.140625" bestFit="1" customWidth="1"/>
    <col min="8" max="8" width="22" bestFit="1" customWidth="1"/>
    <col min="9" max="9" width="10.28515625" bestFit="1" customWidth="1"/>
    <col min="10" max="10" width="10.7109375" bestFit="1" customWidth="1"/>
    <col min="12" max="12" width="16.85546875" customWidth="1"/>
    <col min="13" max="13" width="12.7109375" customWidth="1"/>
    <col min="14" max="14" width="12.42578125" bestFit="1" customWidth="1"/>
    <col min="15" max="15" width="15.28515625" bestFit="1" customWidth="1"/>
    <col min="17" max="20" width="5.140625" bestFit="1" customWidth="1"/>
    <col min="21" max="34" width="6.140625" bestFit="1" customWidth="1"/>
    <col min="35" max="39" width="5.42578125" bestFit="1" customWidth="1"/>
    <col min="40" max="46" width="6.42578125" bestFit="1" customWidth="1"/>
    <col min="47" max="48" width="5.85546875" bestFit="1" customWidth="1"/>
    <col min="49" max="50" width="6.85546875" bestFit="1" customWidth="1"/>
    <col min="51" max="51" width="5.42578125" bestFit="1" customWidth="1"/>
    <col min="52" max="54" width="6.42578125" bestFit="1" customWidth="1"/>
    <col min="55" max="55" width="6.7109375" bestFit="1" customWidth="1"/>
    <col min="56" max="56" width="10.7109375" bestFit="1" customWidth="1"/>
    <col min="57" max="57" width="6.140625" bestFit="1" customWidth="1"/>
    <col min="58" max="58" width="7.5703125" bestFit="1" customWidth="1"/>
    <col min="59" max="59" width="7.28515625" bestFit="1" customWidth="1"/>
    <col min="60" max="60" width="7.5703125" bestFit="1" customWidth="1"/>
    <col min="61" max="61" width="7.28515625" bestFit="1" customWidth="1"/>
    <col min="62" max="62" width="6.140625" bestFit="1" customWidth="1"/>
    <col min="63" max="63" width="7.5703125" bestFit="1" customWidth="1"/>
    <col min="64" max="64" width="7.28515625" bestFit="1" customWidth="1"/>
    <col min="65" max="66" width="5.140625" bestFit="1" customWidth="1"/>
    <col min="67" max="67" width="6.85546875" bestFit="1" customWidth="1"/>
    <col min="68" max="68" width="7.5703125" bestFit="1" customWidth="1"/>
    <col min="69" max="69" width="7.28515625" bestFit="1" customWidth="1"/>
    <col min="70" max="70" width="5.42578125" bestFit="1" customWidth="1"/>
    <col min="71" max="71" width="7.5703125" bestFit="1" customWidth="1"/>
    <col min="72" max="72" width="7.28515625" bestFit="1" customWidth="1"/>
    <col min="73" max="73" width="7.5703125" bestFit="1" customWidth="1"/>
    <col min="74" max="74" width="7.28515625" bestFit="1" customWidth="1"/>
    <col min="75" max="75" width="5.42578125" bestFit="1" customWidth="1"/>
    <col min="76" max="76" width="6.42578125" bestFit="1" customWidth="1"/>
    <col min="77" max="77" width="6.7109375" bestFit="1" customWidth="1"/>
    <col min="78" max="78" width="7.5703125" bestFit="1" customWidth="1"/>
    <col min="79" max="79" width="8.28515625" bestFit="1" customWidth="1"/>
    <col min="80" max="80" width="5.42578125" bestFit="1" customWidth="1"/>
    <col min="81" max="81" width="7.5703125" bestFit="1" customWidth="1"/>
    <col min="82" max="82" width="8.28515625" bestFit="1" customWidth="1"/>
    <col min="83" max="83" width="7.5703125" bestFit="1" customWidth="1"/>
    <col min="84" max="84" width="8.28515625" bestFit="1" customWidth="1"/>
    <col min="85" max="85" width="5.140625" bestFit="1" customWidth="1"/>
    <col min="86" max="86" width="6.140625" bestFit="1" customWidth="1"/>
    <col min="87" max="87" width="7.5703125" bestFit="1" customWidth="1"/>
    <col min="88" max="88" width="8.28515625" bestFit="1" customWidth="1"/>
    <col min="89" max="89" width="5.140625" bestFit="1" customWidth="1"/>
    <col min="90" max="90" width="7.5703125" bestFit="1" customWidth="1"/>
    <col min="91" max="91" width="8.28515625" bestFit="1" customWidth="1"/>
    <col min="92" max="92" width="6.42578125" bestFit="1" customWidth="1"/>
    <col min="93" max="93" width="7.5703125" bestFit="1" customWidth="1"/>
    <col min="94" max="94" width="8.28515625" bestFit="1" customWidth="1"/>
    <col min="95" max="95" width="5.140625" bestFit="1" customWidth="1"/>
    <col min="96" max="96" width="6.42578125" bestFit="1" customWidth="1"/>
    <col min="97" max="97" width="7.5703125" bestFit="1" customWidth="1"/>
    <col min="98" max="98" width="8.28515625" bestFit="1" customWidth="1"/>
    <col min="99" max="99" width="6.42578125" bestFit="1" customWidth="1"/>
    <col min="100" max="100" width="7.5703125" bestFit="1" customWidth="1"/>
    <col min="101" max="101" width="8.28515625" bestFit="1" customWidth="1"/>
    <col min="102" max="102" width="6.140625" bestFit="1" customWidth="1"/>
    <col min="103" max="103" width="7.5703125" bestFit="1" customWidth="1"/>
    <col min="104" max="104" width="8.28515625" bestFit="1" customWidth="1"/>
    <col min="105" max="106" width="5.85546875" bestFit="1" customWidth="1"/>
    <col min="107" max="107" width="7.5703125" bestFit="1" customWidth="1"/>
    <col min="108" max="108" width="7.7109375" bestFit="1" customWidth="1"/>
    <col min="109" max="110" width="5.140625" bestFit="1" customWidth="1"/>
    <col min="111" max="111" width="6.7109375" bestFit="1" customWidth="1"/>
    <col min="112" max="112" width="7.5703125" bestFit="1" customWidth="1"/>
    <col min="113" max="113" width="7.7109375" bestFit="1" customWidth="1"/>
    <col min="114" max="114" width="7.5703125" bestFit="1" customWidth="1"/>
    <col min="115" max="115" width="7.7109375" bestFit="1" customWidth="1"/>
    <col min="116" max="116" width="6.140625" bestFit="1" customWidth="1"/>
    <col min="117" max="117" width="7.5703125" bestFit="1" customWidth="1"/>
    <col min="119" max="119" width="6.42578125" bestFit="1" customWidth="1"/>
    <col min="120" max="120" width="7.5703125" bestFit="1" customWidth="1"/>
    <col min="122" max="122" width="6.140625" bestFit="1" customWidth="1"/>
    <col min="123" max="123" width="7.5703125" bestFit="1" customWidth="1"/>
    <col min="125" max="125" width="7.5703125" bestFit="1" customWidth="1"/>
    <col min="127" max="127" width="7.5703125" bestFit="1" customWidth="1"/>
    <col min="129" max="129" width="7.5703125" bestFit="1" customWidth="1"/>
    <col min="130" max="130" width="7.28515625" bestFit="1" customWidth="1"/>
    <col min="131" max="131" width="7.5703125" bestFit="1" customWidth="1"/>
    <col min="132" max="132" width="7.28515625" bestFit="1" customWidth="1"/>
    <col min="133" max="133" width="6.140625" bestFit="1" customWidth="1"/>
    <col min="134" max="134" width="5.42578125" bestFit="1" customWidth="1"/>
    <col min="135" max="135" width="8.5703125" bestFit="1" customWidth="1"/>
    <col min="136" max="136" width="8.28515625" bestFit="1" customWidth="1"/>
    <col min="137" max="137" width="6.42578125" bestFit="1" customWidth="1"/>
    <col min="138" max="138" width="8.5703125" bestFit="1" customWidth="1"/>
    <col min="139" max="139" width="8.28515625" bestFit="1" customWidth="1"/>
    <col min="140" max="140" width="8.5703125" bestFit="1" customWidth="1"/>
    <col min="141" max="141" width="8.28515625" bestFit="1" customWidth="1"/>
    <col min="142" max="142" width="8.5703125" bestFit="1" customWidth="1"/>
    <col min="143" max="143" width="8.28515625" bestFit="1" customWidth="1"/>
    <col min="144" max="144" width="8.5703125" bestFit="1" customWidth="1"/>
    <col min="145" max="145" width="8.28515625" bestFit="1" customWidth="1"/>
    <col min="146" max="146" width="8.5703125" bestFit="1" customWidth="1"/>
    <col min="147" max="147" width="8.85546875" bestFit="1" customWidth="1"/>
    <col min="148" max="148" width="5.42578125" bestFit="1" customWidth="1"/>
    <col min="149" max="149" width="8.5703125" bestFit="1" customWidth="1"/>
    <col min="150" max="150" width="8.85546875" bestFit="1" customWidth="1"/>
    <col min="151" max="151" width="8.5703125" bestFit="1" customWidth="1"/>
    <col min="152" max="152" width="8.85546875" bestFit="1" customWidth="1"/>
    <col min="153" max="153" width="8.5703125" bestFit="1" customWidth="1"/>
    <col min="154" max="154" width="8.140625" bestFit="1" customWidth="1"/>
    <col min="155" max="155" width="8.5703125" bestFit="1" customWidth="1"/>
    <col min="156" max="156" width="7.42578125" bestFit="1" customWidth="1"/>
    <col min="157" max="157" width="5.42578125" bestFit="1" customWidth="1"/>
    <col min="158" max="158" width="8.5703125" bestFit="1" customWidth="1"/>
    <col min="159" max="159" width="7.42578125" bestFit="1" customWidth="1"/>
    <col min="160" max="160" width="8.5703125" bestFit="1" customWidth="1"/>
    <col min="161" max="161" width="8.42578125" bestFit="1" customWidth="1"/>
    <col min="162" max="162" width="6.7109375" bestFit="1" customWidth="1"/>
    <col min="163" max="163" width="8.5703125" bestFit="1" customWidth="1"/>
    <col min="164" max="164" width="7.28515625" bestFit="1" customWidth="1"/>
    <col min="165" max="165" width="8.5703125" bestFit="1" customWidth="1"/>
    <col min="166" max="166" width="8.28515625" bestFit="1" customWidth="1"/>
    <col min="167" max="169" width="8.5703125" bestFit="1" customWidth="1"/>
    <col min="170" max="170" width="6" bestFit="1" customWidth="1"/>
    <col min="171" max="171" width="8.85546875" bestFit="1" customWidth="1"/>
    <col min="172" max="172" width="8.5703125" bestFit="1" customWidth="1"/>
    <col min="173" max="173" width="6.140625" bestFit="1" customWidth="1"/>
    <col min="174" max="174" width="6.7109375" bestFit="1" customWidth="1"/>
    <col min="175" max="175" width="11.42578125" bestFit="1" customWidth="1"/>
    <col min="176" max="176" width="10.7109375" bestFit="1" customWidth="1"/>
  </cols>
  <sheetData>
    <row r="2" spans="1:15">
      <c r="M2" s="58"/>
      <c r="N2" s="58"/>
    </row>
    <row r="3" spans="1:15">
      <c r="A3" s="51" t="s">
        <v>1625</v>
      </c>
      <c r="B3" s="51" t="s">
        <v>1626</v>
      </c>
      <c r="M3" s="59"/>
      <c r="N3" s="59"/>
    </row>
    <row r="4" spans="1:15">
      <c r="A4" s="51" t="s">
        <v>1580</v>
      </c>
      <c r="B4" t="s">
        <v>14</v>
      </c>
      <c r="C4" t="s">
        <v>106</v>
      </c>
      <c r="D4" t="s">
        <v>207</v>
      </c>
      <c r="E4" t="s">
        <v>201</v>
      </c>
      <c r="F4" t="s">
        <v>115</v>
      </c>
      <c r="G4" t="s">
        <v>231</v>
      </c>
      <c r="H4" t="s">
        <v>234</v>
      </c>
      <c r="I4" t="s">
        <v>122</v>
      </c>
      <c r="J4" t="s">
        <v>1599</v>
      </c>
      <c r="M4" s="59"/>
      <c r="N4" s="59"/>
      <c r="O4" s="50"/>
    </row>
    <row r="5" spans="1:15">
      <c r="A5" s="52">
        <v>11000230</v>
      </c>
      <c r="B5" s="50">
        <v>1</v>
      </c>
      <c r="C5" s="50"/>
      <c r="D5" s="50"/>
      <c r="E5" s="50"/>
      <c r="F5" s="50"/>
      <c r="G5" s="50"/>
      <c r="H5" s="50"/>
      <c r="I5" s="50"/>
      <c r="J5" s="50">
        <v>1</v>
      </c>
      <c r="M5" s="50"/>
      <c r="N5" s="50"/>
      <c r="O5" s="50"/>
    </row>
    <row r="6" spans="1:15">
      <c r="A6" s="52">
        <v>11094346</v>
      </c>
      <c r="B6" s="50"/>
      <c r="C6" s="50"/>
      <c r="D6" s="50"/>
      <c r="E6" s="50"/>
      <c r="F6" s="50"/>
      <c r="G6" s="50"/>
      <c r="H6" s="50"/>
      <c r="I6" s="50">
        <v>1</v>
      </c>
      <c r="J6" s="50">
        <v>1</v>
      </c>
      <c r="M6" s="50"/>
      <c r="N6" s="50"/>
      <c r="O6" s="50"/>
    </row>
    <row r="7" spans="1:15">
      <c r="A7" s="52">
        <v>12295210</v>
      </c>
      <c r="B7" s="50"/>
      <c r="C7" s="50"/>
      <c r="D7" s="50"/>
      <c r="E7" s="50"/>
      <c r="F7" s="50">
        <v>1</v>
      </c>
      <c r="G7" s="50"/>
      <c r="H7" s="50"/>
      <c r="I7" s="50"/>
      <c r="J7" s="50">
        <v>1</v>
      </c>
      <c r="M7" s="50"/>
      <c r="N7" s="50"/>
      <c r="O7" s="50"/>
    </row>
    <row r="8" spans="1:15">
      <c r="A8" s="52">
        <v>12363191</v>
      </c>
      <c r="B8" s="50"/>
      <c r="C8" s="50">
        <v>1</v>
      </c>
      <c r="D8" s="50"/>
      <c r="E8" s="50"/>
      <c r="F8" s="50"/>
      <c r="G8" s="50"/>
      <c r="H8" s="50"/>
      <c r="I8" s="50"/>
      <c r="J8" s="50">
        <v>1</v>
      </c>
      <c r="M8" s="50"/>
      <c r="N8" s="50"/>
      <c r="O8" s="50"/>
    </row>
    <row r="9" spans="1:15">
      <c r="A9" s="52">
        <v>12450880</v>
      </c>
      <c r="B9" s="50"/>
      <c r="C9" s="50"/>
      <c r="D9" s="50"/>
      <c r="E9" s="50"/>
      <c r="F9" s="50">
        <v>1</v>
      </c>
      <c r="G9" s="50"/>
      <c r="H9" s="50"/>
      <c r="I9" s="50"/>
      <c r="J9" s="50">
        <v>1</v>
      </c>
      <c r="M9" s="50"/>
      <c r="N9" s="50"/>
      <c r="O9" s="50"/>
    </row>
    <row r="10" spans="1:15">
      <c r="A10" s="52">
        <v>12541182</v>
      </c>
      <c r="B10" s="50"/>
      <c r="C10" s="50">
        <v>1</v>
      </c>
      <c r="D10" s="50"/>
      <c r="E10" s="50"/>
      <c r="F10" s="50"/>
      <c r="G10" s="50"/>
      <c r="H10" s="50"/>
      <c r="I10" s="50"/>
      <c r="J10" s="50">
        <v>1</v>
      </c>
      <c r="M10" s="50"/>
      <c r="N10" s="50"/>
      <c r="O10" s="50"/>
    </row>
    <row r="11" spans="1:15">
      <c r="A11" s="52">
        <v>12582027</v>
      </c>
      <c r="B11" s="50"/>
      <c r="C11" s="50"/>
      <c r="D11" s="50"/>
      <c r="E11" s="50">
        <v>1</v>
      </c>
      <c r="F11" s="50"/>
      <c r="G11" s="50"/>
      <c r="H11" s="50"/>
      <c r="I11" s="50"/>
      <c r="J11" s="50">
        <v>1</v>
      </c>
      <c r="M11" s="50"/>
      <c r="N11" s="50"/>
      <c r="O11" s="50"/>
    </row>
    <row r="12" spans="1:15">
      <c r="A12" s="52">
        <v>12734184</v>
      </c>
      <c r="B12" s="50"/>
      <c r="C12" s="50"/>
      <c r="D12" s="50"/>
      <c r="E12" s="50">
        <v>1</v>
      </c>
      <c r="F12" s="50"/>
      <c r="G12" s="50"/>
      <c r="H12" s="50"/>
      <c r="I12" s="50"/>
      <c r="J12" s="50">
        <v>1</v>
      </c>
      <c r="M12" s="50"/>
      <c r="N12" s="50"/>
      <c r="O12" s="50"/>
    </row>
    <row r="13" spans="1:15">
      <c r="A13" s="52">
        <v>12748925</v>
      </c>
      <c r="B13" s="50"/>
      <c r="C13" s="50"/>
      <c r="D13" s="50"/>
      <c r="E13" s="50"/>
      <c r="F13" s="50">
        <v>1</v>
      </c>
      <c r="G13" s="50"/>
      <c r="H13" s="50"/>
      <c r="I13" s="50"/>
      <c r="J13" s="50">
        <v>1</v>
      </c>
      <c r="M13" s="50"/>
      <c r="N13" s="50"/>
      <c r="O13" s="50"/>
    </row>
    <row r="14" spans="1:15">
      <c r="A14" s="52">
        <v>12778031</v>
      </c>
      <c r="B14" s="50"/>
      <c r="C14" s="50"/>
      <c r="D14" s="50">
        <v>1</v>
      </c>
      <c r="E14" s="50"/>
      <c r="F14" s="50"/>
      <c r="G14" s="50"/>
      <c r="H14" s="50"/>
      <c r="I14" s="50"/>
      <c r="J14" s="50">
        <v>1</v>
      </c>
      <c r="M14" s="50"/>
      <c r="N14" s="50"/>
      <c r="O14" s="50"/>
    </row>
    <row r="15" spans="1:15">
      <c r="A15" s="52">
        <v>12874577</v>
      </c>
      <c r="B15" s="50">
        <v>1</v>
      </c>
      <c r="C15" s="50"/>
      <c r="D15" s="50"/>
      <c r="E15" s="50"/>
      <c r="F15" s="50"/>
      <c r="G15" s="50"/>
      <c r="H15" s="50"/>
      <c r="I15" s="50"/>
      <c r="J15" s="50">
        <v>1</v>
      </c>
      <c r="M15" s="50"/>
      <c r="N15" s="50"/>
      <c r="O15" s="50"/>
    </row>
    <row r="16" spans="1:15">
      <c r="A16" s="52">
        <v>12878180</v>
      </c>
      <c r="B16" s="50"/>
      <c r="C16" s="50"/>
      <c r="D16" s="50"/>
      <c r="E16" s="50">
        <v>1</v>
      </c>
      <c r="F16" s="50"/>
      <c r="G16" s="50"/>
      <c r="H16" s="50"/>
      <c r="I16" s="50"/>
      <c r="J16" s="50">
        <v>1</v>
      </c>
      <c r="M16" s="50"/>
      <c r="N16" s="50"/>
      <c r="O16" s="50"/>
    </row>
    <row r="17" spans="1:15">
      <c r="A17" s="52">
        <v>12942266</v>
      </c>
      <c r="B17" s="50"/>
      <c r="C17" s="50"/>
      <c r="D17" s="50">
        <v>1</v>
      </c>
      <c r="E17" s="50"/>
      <c r="F17" s="50"/>
      <c r="G17" s="50"/>
      <c r="H17" s="50"/>
      <c r="I17" s="50"/>
      <c r="J17" s="50">
        <v>1</v>
      </c>
      <c r="M17" s="50"/>
      <c r="N17" s="50"/>
      <c r="O17" s="50"/>
    </row>
    <row r="18" spans="1:15">
      <c r="A18" s="52">
        <v>12942271</v>
      </c>
      <c r="B18" s="50"/>
      <c r="C18" s="50"/>
      <c r="D18" s="50">
        <v>1</v>
      </c>
      <c r="E18" s="50"/>
      <c r="F18" s="50"/>
      <c r="G18" s="50"/>
      <c r="H18" s="50"/>
      <c r="I18" s="50"/>
      <c r="J18" s="50">
        <v>1</v>
      </c>
      <c r="M18" s="50"/>
      <c r="N18" s="50"/>
      <c r="O18" s="50"/>
    </row>
    <row r="19" spans="1:15">
      <c r="A19" s="52">
        <v>13047716</v>
      </c>
      <c r="B19" s="50"/>
      <c r="C19" s="50"/>
      <c r="D19" s="50"/>
      <c r="E19" s="50"/>
      <c r="F19" s="50">
        <v>1</v>
      </c>
      <c r="G19" s="50"/>
      <c r="H19" s="50"/>
      <c r="I19" s="50"/>
      <c r="J19" s="50">
        <v>1</v>
      </c>
      <c r="M19" s="50"/>
      <c r="N19" s="50"/>
      <c r="O19" s="50"/>
    </row>
    <row r="20" spans="1:15">
      <c r="A20" s="52">
        <v>13064164</v>
      </c>
      <c r="B20" s="50"/>
      <c r="C20" s="50"/>
      <c r="D20" s="50"/>
      <c r="E20" s="50"/>
      <c r="F20" s="50">
        <v>1</v>
      </c>
      <c r="G20" s="50"/>
      <c r="H20" s="50"/>
      <c r="I20" s="50"/>
      <c r="J20" s="50">
        <v>1</v>
      </c>
      <c r="M20" s="50"/>
      <c r="N20" s="50"/>
      <c r="O20" s="50"/>
    </row>
    <row r="21" spans="1:15">
      <c r="A21" s="52">
        <v>13066431</v>
      </c>
      <c r="B21" s="50"/>
      <c r="C21" s="50"/>
      <c r="D21" s="50"/>
      <c r="E21" s="50"/>
      <c r="F21" s="50">
        <v>1</v>
      </c>
      <c r="G21" s="50"/>
      <c r="H21" s="50"/>
      <c r="I21" s="50"/>
      <c r="J21" s="50">
        <v>1</v>
      </c>
      <c r="M21" s="50"/>
      <c r="N21" s="50"/>
      <c r="O21" s="50"/>
    </row>
    <row r="22" spans="1:15">
      <c r="A22" s="52">
        <v>13088591</v>
      </c>
      <c r="B22" s="50"/>
      <c r="C22" s="50"/>
      <c r="D22" s="50"/>
      <c r="E22" s="50"/>
      <c r="F22" s="50">
        <v>1</v>
      </c>
      <c r="G22" s="50"/>
      <c r="H22" s="50"/>
      <c r="I22" s="50"/>
      <c r="J22" s="50">
        <v>1</v>
      </c>
      <c r="M22" s="50"/>
      <c r="N22" s="50"/>
      <c r="O22" s="50"/>
    </row>
    <row r="23" spans="1:15">
      <c r="A23" s="52">
        <v>13117151</v>
      </c>
      <c r="B23" s="50"/>
      <c r="C23" s="50"/>
      <c r="D23" s="50"/>
      <c r="E23" s="50">
        <v>1</v>
      </c>
      <c r="F23" s="50"/>
      <c r="G23" s="50"/>
      <c r="H23" s="50"/>
      <c r="I23" s="50"/>
      <c r="J23" s="50">
        <v>1</v>
      </c>
      <c r="M23" s="50"/>
      <c r="N23" s="50"/>
      <c r="O23" s="50"/>
    </row>
    <row r="24" spans="1:15">
      <c r="A24" s="52">
        <v>13147882</v>
      </c>
      <c r="B24" s="50"/>
      <c r="C24" s="50"/>
      <c r="D24" s="50">
        <v>1</v>
      </c>
      <c r="E24" s="50"/>
      <c r="F24" s="50"/>
      <c r="G24" s="50"/>
      <c r="H24" s="50"/>
      <c r="I24" s="50"/>
      <c r="J24" s="50">
        <v>1</v>
      </c>
      <c r="M24" s="50"/>
      <c r="N24" s="50"/>
      <c r="O24" s="50"/>
    </row>
    <row r="25" spans="1:15">
      <c r="A25" s="52">
        <v>13148021</v>
      </c>
      <c r="B25" s="50"/>
      <c r="C25" s="50"/>
      <c r="D25" s="50"/>
      <c r="E25" s="50"/>
      <c r="F25" s="50">
        <v>1</v>
      </c>
      <c r="G25" s="50"/>
      <c r="H25" s="50"/>
      <c r="I25" s="50"/>
      <c r="J25" s="50">
        <v>1</v>
      </c>
      <c r="M25" s="50"/>
      <c r="N25" s="50"/>
      <c r="O25" s="50"/>
    </row>
    <row r="26" spans="1:15">
      <c r="A26" s="52">
        <v>13148104</v>
      </c>
      <c r="B26" s="50"/>
      <c r="C26" s="50"/>
      <c r="D26" s="50"/>
      <c r="E26" s="50">
        <v>1</v>
      </c>
      <c r="F26" s="50"/>
      <c r="G26" s="50"/>
      <c r="H26" s="50"/>
      <c r="I26" s="50"/>
      <c r="J26" s="50">
        <v>1</v>
      </c>
      <c r="M26" s="50"/>
      <c r="N26" s="50"/>
      <c r="O26" s="50"/>
    </row>
    <row r="27" spans="1:15">
      <c r="A27" s="52">
        <v>13151029</v>
      </c>
      <c r="B27" s="50"/>
      <c r="C27" s="50">
        <v>1</v>
      </c>
      <c r="D27" s="50"/>
      <c r="E27" s="50"/>
      <c r="F27" s="50"/>
      <c r="G27" s="50"/>
      <c r="H27" s="50"/>
      <c r="I27" s="50"/>
      <c r="J27" s="50">
        <v>1</v>
      </c>
      <c r="M27" s="50"/>
      <c r="N27" s="50"/>
      <c r="O27" s="50"/>
    </row>
    <row r="28" spans="1:15">
      <c r="A28" s="52">
        <v>13151293</v>
      </c>
      <c r="B28" s="50"/>
      <c r="C28" s="50"/>
      <c r="D28" s="50">
        <v>1</v>
      </c>
      <c r="E28" s="50"/>
      <c r="F28" s="50"/>
      <c r="G28" s="50"/>
      <c r="H28" s="50"/>
      <c r="I28" s="50"/>
      <c r="J28" s="50">
        <v>1</v>
      </c>
      <c r="M28" s="50"/>
      <c r="N28" s="50"/>
      <c r="O28" s="50"/>
    </row>
    <row r="29" spans="1:15">
      <c r="A29" s="52">
        <v>13153843</v>
      </c>
      <c r="B29" s="50"/>
      <c r="C29" s="50"/>
      <c r="D29" s="50"/>
      <c r="E29" s="50">
        <v>1</v>
      </c>
      <c r="F29" s="50"/>
      <c r="G29" s="50"/>
      <c r="H29" s="50"/>
      <c r="I29" s="50"/>
      <c r="J29" s="50">
        <v>1</v>
      </c>
      <c r="M29" s="50"/>
      <c r="N29" s="50"/>
      <c r="O29" s="50"/>
    </row>
    <row r="30" spans="1:15">
      <c r="A30" s="52">
        <v>13153851</v>
      </c>
      <c r="B30" s="50"/>
      <c r="C30" s="50"/>
      <c r="D30" s="50"/>
      <c r="E30" s="50">
        <v>1</v>
      </c>
      <c r="F30" s="50"/>
      <c r="G30" s="50"/>
      <c r="H30" s="50"/>
      <c r="I30" s="50"/>
      <c r="J30" s="50">
        <v>1</v>
      </c>
      <c r="M30" s="50"/>
      <c r="N30" s="50"/>
      <c r="O30" s="50"/>
    </row>
    <row r="31" spans="1:15">
      <c r="A31" s="52">
        <v>13153857</v>
      </c>
      <c r="B31" s="50"/>
      <c r="C31" s="50">
        <v>1</v>
      </c>
      <c r="D31" s="50"/>
      <c r="E31" s="50"/>
      <c r="F31" s="50"/>
      <c r="G31" s="50"/>
      <c r="H31" s="50"/>
      <c r="I31" s="50"/>
      <c r="J31" s="50">
        <v>1</v>
      </c>
      <c r="M31" s="50"/>
      <c r="N31" s="50"/>
      <c r="O31" s="50"/>
    </row>
    <row r="32" spans="1:15">
      <c r="A32" s="52">
        <v>13153883</v>
      </c>
      <c r="B32" s="50"/>
      <c r="C32" s="50">
        <v>1</v>
      </c>
      <c r="D32" s="50"/>
      <c r="E32" s="50"/>
      <c r="F32" s="50"/>
      <c r="G32" s="50"/>
      <c r="H32" s="50"/>
      <c r="I32" s="50"/>
      <c r="J32" s="50">
        <v>1</v>
      </c>
      <c r="M32" s="50"/>
      <c r="N32" s="50"/>
      <c r="O32" s="50"/>
    </row>
    <row r="33" spans="1:15">
      <c r="A33" s="52">
        <v>13153903</v>
      </c>
      <c r="B33" s="50"/>
      <c r="C33" s="50">
        <v>1</v>
      </c>
      <c r="D33" s="50"/>
      <c r="E33" s="50"/>
      <c r="F33" s="50"/>
      <c r="G33" s="50"/>
      <c r="H33" s="50"/>
      <c r="I33" s="50"/>
      <c r="J33" s="50">
        <v>1</v>
      </c>
      <c r="M33" s="50"/>
      <c r="N33" s="50"/>
      <c r="O33" s="50"/>
    </row>
    <row r="34" spans="1:15">
      <c r="A34" s="52">
        <v>13186012</v>
      </c>
      <c r="B34" s="50"/>
      <c r="C34" s="50"/>
      <c r="D34" s="50"/>
      <c r="E34" s="50"/>
      <c r="F34" s="50"/>
      <c r="G34" s="50">
        <v>1</v>
      </c>
      <c r="H34" s="50"/>
      <c r="I34" s="50"/>
      <c r="J34" s="50">
        <v>1</v>
      </c>
      <c r="M34" s="50"/>
      <c r="N34" s="50"/>
      <c r="O34" s="50"/>
    </row>
    <row r="35" spans="1:15">
      <c r="A35" s="52">
        <v>13208634</v>
      </c>
      <c r="B35" s="50"/>
      <c r="C35" s="50">
        <v>1</v>
      </c>
      <c r="D35" s="50"/>
      <c r="E35" s="50"/>
      <c r="F35" s="50"/>
      <c r="G35" s="50"/>
      <c r="H35" s="50"/>
      <c r="I35" s="50"/>
      <c r="J35" s="50">
        <v>1</v>
      </c>
      <c r="M35" s="50"/>
      <c r="N35" s="50"/>
      <c r="O35" s="50"/>
    </row>
    <row r="36" spans="1:15">
      <c r="A36" s="52">
        <v>13274796</v>
      </c>
      <c r="B36" s="50"/>
      <c r="C36" s="50">
        <v>1</v>
      </c>
      <c r="D36" s="50"/>
      <c r="E36" s="50"/>
      <c r="F36" s="50"/>
      <c r="G36" s="50"/>
      <c r="H36" s="50"/>
      <c r="I36" s="50"/>
      <c r="J36" s="50">
        <v>1</v>
      </c>
      <c r="M36" s="50"/>
      <c r="N36" s="50"/>
      <c r="O36" s="50"/>
    </row>
    <row r="37" spans="1:15">
      <c r="A37" s="52">
        <v>13334991</v>
      </c>
      <c r="B37" s="50"/>
      <c r="C37" s="50"/>
      <c r="D37" s="50"/>
      <c r="E37" s="50">
        <v>1</v>
      </c>
      <c r="F37" s="50"/>
      <c r="G37" s="50"/>
      <c r="H37" s="50"/>
      <c r="I37" s="50"/>
      <c r="J37" s="50">
        <v>1</v>
      </c>
      <c r="M37" s="50"/>
      <c r="N37" s="50"/>
      <c r="O37" s="50"/>
    </row>
    <row r="38" spans="1:15">
      <c r="A38" s="52">
        <v>13337002</v>
      </c>
      <c r="B38" s="50"/>
      <c r="C38" s="50"/>
      <c r="D38" s="50"/>
      <c r="E38" s="50"/>
      <c r="F38" s="50">
        <v>1</v>
      </c>
      <c r="G38" s="50"/>
      <c r="H38" s="50"/>
      <c r="I38" s="50"/>
      <c r="J38" s="50">
        <v>1</v>
      </c>
      <c r="M38" s="50"/>
      <c r="N38" s="50"/>
      <c r="O38" s="50"/>
    </row>
    <row r="39" spans="1:15">
      <c r="A39" s="52">
        <v>13371135</v>
      </c>
      <c r="B39" s="50"/>
      <c r="C39" s="50"/>
      <c r="D39" s="50"/>
      <c r="E39" s="50">
        <v>1</v>
      </c>
      <c r="F39" s="50"/>
      <c r="G39" s="50"/>
      <c r="H39" s="50"/>
      <c r="I39" s="50"/>
      <c r="J39" s="50">
        <v>1</v>
      </c>
      <c r="M39" s="50"/>
      <c r="N39" s="50"/>
      <c r="O39" s="50"/>
    </row>
    <row r="40" spans="1:15">
      <c r="A40" s="52">
        <v>13377807</v>
      </c>
      <c r="B40" s="50"/>
      <c r="C40" s="50"/>
      <c r="D40" s="50"/>
      <c r="E40" s="50"/>
      <c r="F40" s="50"/>
      <c r="G40" s="50">
        <v>1</v>
      </c>
      <c r="H40" s="50"/>
      <c r="I40" s="50"/>
      <c r="J40" s="50">
        <v>1</v>
      </c>
      <c r="M40" s="50"/>
      <c r="N40" s="50"/>
      <c r="O40" s="50"/>
    </row>
    <row r="41" spans="1:15">
      <c r="A41" s="52">
        <v>13377818</v>
      </c>
      <c r="B41" s="50"/>
      <c r="C41" s="50">
        <v>1</v>
      </c>
      <c r="D41" s="50"/>
      <c r="E41" s="50"/>
      <c r="F41" s="50"/>
      <c r="G41" s="50"/>
      <c r="H41" s="50"/>
      <c r="I41" s="50"/>
      <c r="J41" s="50">
        <v>1</v>
      </c>
      <c r="M41" s="50"/>
      <c r="N41" s="50"/>
      <c r="O41" s="50"/>
    </row>
    <row r="42" spans="1:15">
      <c r="A42" s="52">
        <v>13377821</v>
      </c>
      <c r="B42" s="50"/>
      <c r="C42" s="50"/>
      <c r="D42" s="50"/>
      <c r="E42" s="50"/>
      <c r="F42" s="50"/>
      <c r="G42" s="50">
        <v>1</v>
      </c>
      <c r="H42" s="50"/>
      <c r="I42" s="50"/>
      <c r="J42" s="50">
        <v>1</v>
      </c>
      <c r="M42" s="50"/>
      <c r="N42" s="50"/>
      <c r="O42" s="50"/>
    </row>
    <row r="43" spans="1:15">
      <c r="A43" s="52">
        <v>13389252</v>
      </c>
      <c r="B43" s="50"/>
      <c r="C43" s="50"/>
      <c r="D43" s="50"/>
      <c r="E43" s="50"/>
      <c r="F43" s="50">
        <v>1</v>
      </c>
      <c r="G43" s="50"/>
      <c r="H43" s="50"/>
      <c r="I43" s="50"/>
      <c r="J43" s="50">
        <v>1</v>
      </c>
      <c r="M43" s="50"/>
      <c r="N43" s="50"/>
      <c r="O43" s="50"/>
    </row>
    <row r="44" spans="1:15">
      <c r="A44" s="52">
        <v>13389810</v>
      </c>
      <c r="B44" s="50"/>
      <c r="C44" s="50">
        <v>1</v>
      </c>
      <c r="D44" s="50"/>
      <c r="E44" s="50"/>
      <c r="F44" s="50"/>
      <c r="G44" s="50"/>
      <c r="H44" s="50"/>
      <c r="I44" s="50"/>
      <c r="J44" s="50">
        <v>1</v>
      </c>
      <c r="M44" s="50"/>
      <c r="N44" s="50"/>
      <c r="O44" s="50"/>
    </row>
    <row r="45" spans="1:15">
      <c r="A45" s="52">
        <v>13404939</v>
      </c>
      <c r="B45" s="50"/>
      <c r="C45" s="50"/>
      <c r="D45" s="50">
        <v>1</v>
      </c>
      <c r="E45" s="50"/>
      <c r="F45" s="50"/>
      <c r="G45" s="50"/>
      <c r="H45" s="50"/>
      <c r="I45" s="50"/>
      <c r="J45" s="50">
        <v>1</v>
      </c>
      <c r="M45" s="50"/>
      <c r="N45" s="50"/>
      <c r="O45" s="50"/>
    </row>
    <row r="46" spans="1:15">
      <c r="A46" s="52">
        <v>13414130</v>
      </c>
      <c r="B46" s="50"/>
      <c r="C46" s="50">
        <v>1</v>
      </c>
      <c r="D46" s="50"/>
      <c r="E46" s="50"/>
      <c r="F46" s="50"/>
      <c r="G46" s="50"/>
      <c r="H46" s="50"/>
      <c r="I46" s="50"/>
      <c r="J46" s="50">
        <v>1</v>
      </c>
      <c r="M46" s="50"/>
      <c r="N46" s="50"/>
      <c r="O46" s="50"/>
    </row>
    <row r="47" spans="1:15">
      <c r="A47" s="52">
        <v>13424248</v>
      </c>
      <c r="B47" s="50"/>
      <c r="C47" s="50">
        <v>1</v>
      </c>
      <c r="D47" s="50"/>
      <c r="E47" s="50"/>
      <c r="F47" s="50"/>
      <c r="G47" s="50"/>
      <c r="H47" s="50"/>
      <c r="I47" s="50"/>
      <c r="J47" s="50">
        <v>1</v>
      </c>
      <c r="M47" s="50"/>
      <c r="N47" s="50"/>
      <c r="O47" s="50"/>
    </row>
    <row r="48" spans="1:15">
      <c r="A48" s="52">
        <v>13444612</v>
      </c>
      <c r="B48" s="50">
        <v>1</v>
      </c>
      <c r="C48" s="50"/>
      <c r="D48" s="50"/>
      <c r="E48" s="50"/>
      <c r="F48" s="50"/>
      <c r="G48" s="50"/>
      <c r="H48" s="50"/>
      <c r="I48" s="50"/>
      <c r="J48" s="50">
        <v>1</v>
      </c>
      <c r="M48" s="50"/>
      <c r="N48" s="50"/>
      <c r="O48" s="50"/>
    </row>
    <row r="49" spans="1:15">
      <c r="A49" s="52">
        <v>13471498</v>
      </c>
      <c r="B49" s="50"/>
      <c r="C49" s="50"/>
      <c r="D49" s="50"/>
      <c r="E49" s="50">
        <v>1</v>
      </c>
      <c r="F49" s="50"/>
      <c r="G49" s="50"/>
      <c r="H49" s="50"/>
      <c r="I49" s="50"/>
      <c r="J49" s="50">
        <v>1</v>
      </c>
      <c r="M49" s="50"/>
      <c r="N49" s="50"/>
      <c r="O49" s="50"/>
    </row>
    <row r="50" spans="1:15">
      <c r="A50" s="52">
        <v>13477734</v>
      </c>
      <c r="B50" s="50"/>
      <c r="C50" s="50">
        <v>1</v>
      </c>
      <c r="D50" s="50"/>
      <c r="E50" s="50"/>
      <c r="F50" s="50"/>
      <c r="G50" s="50"/>
      <c r="H50" s="50"/>
      <c r="I50" s="50"/>
      <c r="J50" s="50">
        <v>1</v>
      </c>
      <c r="M50" s="50"/>
      <c r="N50" s="50"/>
      <c r="O50" s="50"/>
    </row>
    <row r="51" spans="1:15">
      <c r="A51" s="52">
        <v>13480513</v>
      </c>
      <c r="B51" s="50"/>
      <c r="C51" s="50">
        <v>1</v>
      </c>
      <c r="D51" s="50"/>
      <c r="E51" s="50"/>
      <c r="F51" s="50"/>
      <c r="G51" s="50"/>
      <c r="H51" s="50"/>
      <c r="I51" s="50"/>
      <c r="J51" s="50">
        <v>1</v>
      </c>
      <c r="M51" s="50"/>
      <c r="N51" s="50"/>
      <c r="O51" s="50"/>
    </row>
    <row r="52" spans="1:15">
      <c r="A52" s="52">
        <v>13514281</v>
      </c>
      <c r="B52" s="50"/>
      <c r="C52" s="50">
        <v>1</v>
      </c>
      <c r="D52" s="50"/>
      <c r="E52" s="50"/>
      <c r="F52" s="50"/>
      <c r="G52" s="50"/>
      <c r="H52" s="50"/>
      <c r="I52" s="50"/>
      <c r="J52" s="50">
        <v>1</v>
      </c>
      <c r="M52" s="50"/>
      <c r="N52" s="50"/>
      <c r="O52" s="50"/>
    </row>
    <row r="53" spans="1:15">
      <c r="A53" s="52">
        <v>13530028</v>
      </c>
      <c r="B53" s="50">
        <v>1</v>
      </c>
      <c r="C53" s="50"/>
      <c r="D53" s="50"/>
      <c r="E53" s="50"/>
      <c r="F53" s="50"/>
      <c r="G53" s="50"/>
      <c r="H53" s="50"/>
      <c r="I53" s="50"/>
      <c r="J53" s="50">
        <v>1</v>
      </c>
      <c r="M53" s="50"/>
      <c r="N53" s="50"/>
      <c r="O53" s="50"/>
    </row>
    <row r="54" spans="1:15">
      <c r="A54" s="52">
        <v>13532541</v>
      </c>
      <c r="B54" s="50"/>
      <c r="C54" s="50"/>
      <c r="D54" s="50"/>
      <c r="E54" s="50"/>
      <c r="F54" s="50"/>
      <c r="G54" s="50"/>
      <c r="H54" s="50"/>
      <c r="I54" s="50">
        <v>1</v>
      </c>
      <c r="J54" s="50">
        <v>1</v>
      </c>
      <c r="M54" s="50"/>
      <c r="N54" s="50"/>
      <c r="O54" s="50"/>
    </row>
    <row r="55" spans="1:15">
      <c r="A55" s="52">
        <v>13543919</v>
      </c>
      <c r="B55" s="50"/>
      <c r="C55" s="50"/>
      <c r="D55" s="50"/>
      <c r="E55" s="50"/>
      <c r="F55" s="50">
        <v>1</v>
      </c>
      <c r="G55" s="50"/>
      <c r="H55" s="50"/>
      <c r="I55" s="50"/>
      <c r="J55" s="50">
        <v>1</v>
      </c>
      <c r="M55" s="50"/>
      <c r="N55" s="50"/>
      <c r="O55" s="50"/>
    </row>
    <row r="56" spans="1:15">
      <c r="A56" s="52">
        <v>13543932</v>
      </c>
      <c r="B56" s="50"/>
      <c r="C56" s="50"/>
      <c r="D56" s="50"/>
      <c r="E56" s="50"/>
      <c r="F56" s="50">
        <v>1</v>
      </c>
      <c r="G56" s="50"/>
      <c r="H56" s="50"/>
      <c r="I56" s="50"/>
      <c r="J56" s="50">
        <v>1</v>
      </c>
      <c r="M56" s="50"/>
      <c r="N56" s="50"/>
      <c r="O56" s="50"/>
    </row>
    <row r="57" spans="1:15">
      <c r="A57" s="52">
        <v>13579065</v>
      </c>
      <c r="B57" s="50"/>
      <c r="C57" s="50"/>
      <c r="D57" s="50"/>
      <c r="E57" s="50"/>
      <c r="F57" s="50"/>
      <c r="G57" s="50">
        <v>1</v>
      </c>
      <c r="H57" s="50"/>
      <c r="I57" s="50"/>
      <c r="J57" s="50">
        <v>1</v>
      </c>
      <c r="M57" s="50"/>
      <c r="N57" s="50"/>
      <c r="O57" s="50"/>
    </row>
    <row r="58" spans="1:15">
      <c r="A58" s="52">
        <v>13590592</v>
      </c>
      <c r="B58" s="50"/>
      <c r="C58" s="50"/>
      <c r="D58" s="50"/>
      <c r="E58" s="50"/>
      <c r="F58" s="50"/>
      <c r="G58" s="50"/>
      <c r="H58" s="50">
        <v>1</v>
      </c>
      <c r="I58" s="50"/>
      <c r="J58" s="50">
        <v>1</v>
      </c>
      <c r="M58" s="50"/>
      <c r="N58" s="50"/>
      <c r="O58" s="50"/>
    </row>
    <row r="59" spans="1:15">
      <c r="A59" s="52">
        <v>13608762</v>
      </c>
      <c r="B59" s="50"/>
      <c r="C59" s="50"/>
      <c r="D59" s="50"/>
      <c r="E59" s="50">
        <v>1</v>
      </c>
      <c r="F59" s="50"/>
      <c r="G59" s="50"/>
      <c r="H59" s="50"/>
      <c r="I59" s="50"/>
      <c r="J59" s="50">
        <v>1</v>
      </c>
      <c r="M59" s="50"/>
      <c r="N59" s="50"/>
      <c r="O59" s="50"/>
    </row>
    <row r="60" spans="1:15">
      <c r="A60" s="52">
        <v>13665891</v>
      </c>
      <c r="B60" s="50"/>
      <c r="C60" s="50"/>
      <c r="D60" s="50"/>
      <c r="E60" s="50"/>
      <c r="F60" s="50">
        <v>1</v>
      </c>
      <c r="G60" s="50"/>
      <c r="H60" s="50"/>
      <c r="I60" s="50"/>
      <c r="J60" s="50">
        <v>1</v>
      </c>
      <c r="M60" s="50"/>
      <c r="N60" s="50"/>
      <c r="O60" s="50"/>
    </row>
    <row r="61" spans="1:15">
      <c r="A61" s="52">
        <v>13665944</v>
      </c>
      <c r="B61" s="50"/>
      <c r="C61" s="50">
        <v>1</v>
      </c>
      <c r="D61" s="50"/>
      <c r="E61" s="50"/>
      <c r="F61" s="50"/>
      <c r="G61" s="50"/>
      <c r="H61" s="50"/>
      <c r="I61" s="50"/>
      <c r="J61" s="50">
        <v>1</v>
      </c>
      <c r="M61" s="50"/>
      <c r="N61" s="50"/>
      <c r="O61" s="50"/>
    </row>
    <row r="62" spans="1:15">
      <c r="A62" s="52">
        <v>13665988</v>
      </c>
      <c r="B62" s="50"/>
      <c r="C62" s="50"/>
      <c r="D62" s="50"/>
      <c r="E62" s="50"/>
      <c r="F62" s="50">
        <v>1</v>
      </c>
      <c r="G62" s="50"/>
      <c r="H62" s="50"/>
      <c r="I62" s="50"/>
      <c r="J62" s="50">
        <v>1</v>
      </c>
      <c r="M62" s="50"/>
      <c r="N62" s="50"/>
      <c r="O62" s="50"/>
    </row>
    <row r="63" spans="1:15">
      <c r="A63" s="52">
        <v>13718960</v>
      </c>
      <c r="B63" s="50"/>
      <c r="C63" s="50"/>
      <c r="D63" s="50"/>
      <c r="E63" s="50">
        <v>1</v>
      </c>
      <c r="F63" s="50"/>
      <c r="G63" s="50"/>
      <c r="H63" s="50"/>
      <c r="I63" s="50"/>
      <c r="J63" s="50">
        <v>1</v>
      </c>
      <c r="M63" s="50"/>
      <c r="N63" s="50"/>
      <c r="O63" s="50"/>
    </row>
    <row r="64" spans="1:15">
      <c r="A64" s="52">
        <v>13743222</v>
      </c>
      <c r="B64" s="50"/>
      <c r="C64" s="50">
        <v>1</v>
      </c>
      <c r="D64" s="50"/>
      <c r="E64" s="50"/>
      <c r="F64" s="50"/>
      <c r="G64" s="50"/>
      <c r="H64" s="50"/>
      <c r="I64" s="50"/>
      <c r="J64" s="50">
        <v>1</v>
      </c>
      <c r="M64" s="50"/>
      <c r="N64" s="50"/>
      <c r="O64" s="50"/>
    </row>
    <row r="65" spans="1:15">
      <c r="A65" s="52">
        <v>13751560</v>
      </c>
      <c r="B65" s="50"/>
      <c r="C65" s="50"/>
      <c r="D65" s="50"/>
      <c r="E65" s="50"/>
      <c r="F65" s="50"/>
      <c r="G65" s="50"/>
      <c r="H65" s="50"/>
      <c r="I65" s="50">
        <v>2</v>
      </c>
      <c r="J65" s="50">
        <v>2</v>
      </c>
      <c r="M65" s="50"/>
      <c r="N65" s="50"/>
      <c r="O65" s="50"/>
    </row>
    <row r="66" spans="1:15">
      <c r="A66" s="52">
        <v>13779220</v>
      </c>
      <c r="B66" s="50">
        <v>1</v>
      </c>
      <c r="C66" s="50"/>
      <c r="D66" s="50"/>
      <c r="E66" s="50"/>
      <c r="F66" s="50"/>
      <c r="G66" s="50"/>
      <c r="H66" s="50"/>
      <c r="I66" s="50"/>
      <c r="J66" s="50">
        <v>1</v>
      </c>
      <c r="M66" s="50"/>
      <c r="N66" s="50"/>
      <c r="O66" s="50"/>
    </row>
    <row r="67" spans="1:15">
      <c r="A67" s="52">
        <v>13850037</v>
      </c>
      <c r="B67" s="50"/>
      <c r="C67" s="50"/>
      <c r="D67" s="50"/>
      <c r="E67" s="50"/>
      <c r="F67" s="50">
        <v>1</v>
      </c>
      <c r="G67" s="50"/>
      <c r="H67" s="50"/>
      <c r="I67" s="50"/>
      <c r="J67" s="50">
        <v>1</v>
      </c>
      <c r="M67" s="50"/>
      <c r="N67" s="50"/>
      <c r="O67" s="50"/>
    </row>
    <row r="68" spans="1:15">
      <c r="A68" s="52">
        <v>13868570</v>
      </c>
      <c r="B68" s="50"/>
      <c r="C68" s="50"/>
      <c r="D68" s="50"/>
      <c r="E68" s="50"/>
      <c r="F68" s="50"/>
      <c r="G68" s="50">
        <v>1</v>
      </c>
      <c r="H68" s="50"/>
      <c r="I68" s="50"/>
      <c r="J68" s="50">
        <v>1</v>
      </c>
      <c r="M68" s="50"/>
      <c r="N68" s="50"/>
      <c r="O68" s="50"/>
    </row>
    <row r="69" spans="1:15">
      <c r="A69" s="52">
        <v>13895158</v>
      </c>
      <c r="B69" s="50"/>
      <c r="C69" s="50"/>
      <c r="D69" s="50"/>
      <c r="E69" s="50"/>
      <c r="F69" s="50">
        <v>1</v>
      </c>
      <c r="G69" s="50"/>
      <c r="H69" s="50"/>
      <c r="I69" s="50"/>
      <c r="J69" s="50">
        <v>1</v>
      </c>
      <c r="M69" s="50"/>
      <c r="N69" s="50"/>
      <c r="O69" s="50"/>
    </row>
    <row r="70" spans="1:15">
      <c r="A70" s="52">
        <v>14026238</v>
      </c>
      <c r="B70" s="50"/>
      <c r="C70" s="50"/>
      <c r="D70" s="50"/>
      <c r="E70" s="50"/>
      <c r="F70" s="50"/>
      <c r="G70" s="50"/>
      <c r="H70" s="50">
        <v>1</v>
      </c>
      <c r="I70" s="50"/>
      <c r="J70" s="50">
        <v>1</v>
      </c>
      <c r="M70" s="50"/>
      <c r="N70" s="50"/>
      <c r="O70" s="50"/>
    </row>
    <row r="71" spans="1:15">
      <c r="A71" s="52">
        <v>14026935</v>
      </c>
      <c r="B71" s="50"/>
      <c r="C71" s="50"/>
      <c r="D71" s="50"/>
      <c r="E71" s="50"/>
      <c r="F71" s="50"/>
      <c r="G71" s="50"/>
      <c r="H71" s="50"/>
      <c r="I71" s="50">
        <v>1</v>
      </c>
      <c r="J71" s="50">
        <v>1</v>
      </c>
      <c r="M71" s="50"/>
      <c r="N71" s="50"/>
      <c r="O71" s="50"/>
    </row>
    <row r="72" spans="1:15">
      <c r="A72" s="52">
        <v>14063837</v>
      </c>
      <c r="B72" s="50"/>
      <c r="C72" s="50"/>
      <c r="D72" s="50"/>
      <c r="E72" s="50">
        <v>1</v>
      </c>
      <c r="F72" s="50"/>
      <c r="G72" s="50"/>
      <c r="H72" s="50"/>
      <c r="I72" s="50"/>
      <c r="J72" s="50">
        <v>1</v>
      </c>
      <c r="M72" s="50"/>
      <c r="N72" s="50"/>
      <c r="O72" s="50"/>
    </row>
    <row r="73" spans="1:15">
      <c r="A73" s="52">
        <v>14106681</v>
      </c>
      <c r="B73" s="50"/>
      <c r="C73" s="50">
        <v>1</v>
      </c>
      <c r="D73" s="50"/>
      <c r="E73" s="50"/>
      <c r="F73" s="50"/>
      <c r="G73" s="50"/>
      <c r="H73" s="50"/>
      <c r="I73" s="50"/>
      <c r="J73" s="50">
        <v>1</v>
      </c>
      <c r="M73" s="50"/>
      <c r="N73" s="50"/>
      <c r="O73" s="50"/>
    </row>
    <row r="74" spans="1:15">
      <c r="A74" s="52">
        <v>14114528</v>
      </c>
      <c r="B74" s="50"/>
      <c r="C74" s="50"/>
      <c r="D74" s="50"/>
      <c r="E74" s="50"/>
      <c r="F74" s="50"/>
      <c r="G74" s="50">
        <v>1</v>
      </c>
      <c r="H74" s="50"/>
      <c r="I74" s="50"/>
      <c r="J74" s="50">
        <v>1</v>
      </c>
      <c r="M74" s="50"/>
      <c r="N74" s="50"/>
      <c r="O74" s="50"/>
    </row>
    <row r="75" spans="1:15">
      <c r="A75" s="52">
        <v>14114589</v>
      </c>
      <c r="B75" s="50"/>
      <c r="C75" s="50"/>
      <c r="D75" s="50"/>
      <c r="E75" s="50">
        <v>1</v>
      </c>
      <c r="F75" s="50"/>
      <c r="G75" s="50"/>
      <c r="H75" s="50"/>
      <c r="I75" s="50"/>
      <c r="J75" s="50">
        <v>1</v>
      </c>
      <c r="M75" s="50"/>
      <c r="N75" s="50"/>
      <c r="O75" s="50"/>
    </row>
    <row r="76" spans="1:15">
      <c r="A76" s="52">
        <v>14114621</v>
      </c>
      <c r="B76" s="50"/>
      <c r="C76" s="50"/>
      <c r="D76" s="50"/>
      <c r="E76" s="50">
        <v>1</v>
      </c>
      <c r="F76" s="50"/>
      <c r="G76" s="50"/>
      <c r="H76" s="50"/>
      <c r="I76" s="50"/>
      <c r="J76" s="50">
        <v>1</v>
      </c>
      <c r="M76" s="50"/>
      <c r="N76" s="50"/>
      <c r="O76" s="50"/>
    </row>
    <row r="77" spans="1:15">
      <c r="A77" s="52">
        <v>14118970</v>
      </c>
      <c r="B77" s="50"/>
      <c r="C77" s="50">
        <v>1</v>
      </c>
      <c r="D77" s="50"/>
      <c r="E77" s="50"/>
      <c r="F77" s="50"/>
      <c r="G77" s="50"/>
      <c r="H77" s="50"/>
      <c r="I77" s="50"/>
      <c r="J77" s="50">
        <v>1</v>
      </c>
      <c r="M77" s="50"/>
      <c r="N77" s="50"/>
      <c r="O77" s="50"/>
    </row>
    <row r="78" spans="1:15">
      <c r="A78" s="52">
        <v>14118978</v>
      </c>
      <c r="B78" s="50"/>
      <c r="C78" s="50">
        <v>1</v>
      </c>
      <c r="D78" s="50"/>
      <c r="E78" s="50"/>
      <c r="F78" s="50"/>
      <c r="G78" s="50"/>
      <c r="H78" s="50"/>
      <c r="I78" s="50"/>
      <c r="J78" s="50">
        <v>1</v>
      </c>
      <c r="M78" s="50"/>
      <c r="N78" s="50"/>
      <c r="O78" s="50"/>
    </row>
    <row r="79" spans="1:15">
      <c r="A79" s="52">
        <v>14119014</v>
      </c>
      <c r="B79" s="50"/>
      <c r="C79" s="50">
        <v>1</v>
      </c>
      <c r="D79" s="50"/>
      <c r="E79" s="50"/>
      <c r="F79" s="50"/>
      <c r="G79" s="50"/>
      <c r="H79" s="50"/>
      <c r="I79" s="50"/>
      <c r="J79" s="50">
        <v>1</v>
      </c>
      <c r="M79" s="50"/>
      <c r="N79" s="50"/>
      <c r="O79" s="50"/>
    </row>
    <row r="80" spans="1:15">
      <c r="A80" s="52">
        <v>14127834</v>
      </c>
      <c r="B80" s="50"/>
      <c r="C80" s="50"/>
      <c r="D80" s="50"/>
      <c r="E80" s="50"/>
      <c r="F80" s="50">
        <v>1</v>
      </c>
      <c r="G80" s="50"/>
      <c r="H80" s="50"/>
      <c r="I80" s="50"/>
      <c r="J80" s="50">
        <v>1</v>
      </c>
      <c r="M80" s="50"/>
      <c r="N80" s="50"/>
      <c r="O80" s="50"/>
    </row>
    <row r="81" spans="1:15">
      <c r="A81" s="52">
        <v>14135946</v>
      </c>
      <c r="B81" s="50"/>
      <c r="C81" s="50"/>
      <c r="D81" s="50"/>
      <c r="E81" s="50"/>
      <c r="F81" s="50">
        <v>1</v>
      </c>
      <c r="G81" s="50"/>
      <c r="H81" s="50"/>
      <c r="I81" s="50"/>
      <c r="J81" s="50">
        <v>1</v>
      </c>
      <c r="M81" s="50"/>
      <c r="N81" s="50"/>
      <c r="O81" s="50"/>
    </row>
    <row r="82" spans="1:15">
      <c r="A82" s="52">
        <v>14135947</v>
      </c>
      <c r="B82" s="50"/>
      <c r="C82" s="50"/>
      <c r="D82" s="50"/>
      <c r="E82" s="50"/>
      <c r="F82" s="50">
        <v>1</v>
      </c>
      <c r="G82" s="50"/>
      <c r="H82" s="50"/>
      <c r="I82" s="50"/>
      <c r="J82" s="50">
        <v>1</v>
      </c>
      <c r="M82" s="50"/>
      <c r="N82" s="50"/>
      <c r="O82" s="50"/>
    </row>
    <row r="83" spans="1:15">
      <c r="A83" s="52">
        <v>14160848</v>
      </c>
      <c r="B83" s="50"/>
      <c r="C83" s="50"/>
      <c r="D83" s="50"/>
      <c r="E83" s="50"/>
      <c r="F83" s="50">
        <v>1</v>
      </c>
      <c r="G83" s="50"/>
      <c r="H83" s="50"/>
      <c r="I83" s="50"/>
      <c r="J83" s="50">
        <v>1</v>
      </c>
      <c r="M83" s="50"/>
      <c r="N83" s="50"/>
      <c r="O83" s="50"/>
    </row>
    <row r="84" spans="1:15">
      <c r="A84" s="52">
        <v>14186651</v>
      </c>
      <c r="B84" s="50"/>
      <c r="C84" s="50">
        <v>1</v>
      </c>
      <c r="D84" s="50"/>
      <c r="E84" s="50"/>
      <c r="F84" s="50"/>
      <c r="G84" s="50"/>
      <c r="H84" s="50"/>
      <c r="I84" s="50"/>
      <c r="J84" s="50">
        <v>1</v>
      </c>
      <c r="M84" s="50"/>
      <c r="N84" s="50"/>
      <c r="O84" s="50"/>
    </row>
    <row r="85" spans="1:15">
      <c r="A85" s="52">
        <v>14186735</v>
      </c>
      <c r="B85" s="50"/>
      <c r="C85" s="50"/>
      <c r="D85" s="50"/>
      <c r="E85" s="50"/>
      <c r="F85" s="50">
        <v>1</v>
      </c>
      <c r="G85" s="50"/>
      <c r="H85" s="50"/>
      <c r="I85" s="50"/>
      <c r="J85" s="50">
        <v>1</v>
      </c>
      <c r="M85" s="50"/>
      <c r="N85" s="50"/>
      <c r="O85" s="50"/>
    </row>
    <row r="86" spans="1:15">
      <c r="A86" s="52">
        <v>14218829</v>
      </c>
      <c r="B86" s="50"/>
      <c r="C86" s="50"/>
      <c r="D86" s="50"/>
      <c r="E86" s="50"/>
      <c r="F86" s="50"/>
      <c r="G86" s="50"/>
      <c r="H86" s="50"/>
      <c r="I86" s="50">
        <v>1</v>
      </c>
      <c r="J86" s="50">
        <v>1</v>
      </c>
      <c r="M86" s="50"/>
      <c r="N86" s="50"/>
      <c r="O86" s="50"/>
    </row>
    <row r="87" spans="1:15">
      <c r="A87" s="52">
        <v>14328635</v>
      </c>
      <c r="B87" s="50"/>
      <c r="C87" s="50"/>
      <c r="D87" s="50"/>
      <c r="E87" s="50"/>
      <c r="F87" s="50"/>
      <c r="G87" s="50"/>
      <c r="H87" s="50">
        <v>1</v>
      </c>
      <c r="I87" s="50"/>
      <c r="J87" s="50">
        <v>1</v>
      </c>
      <c r="M87" s="50"/>
      <c r="N87" s="50"/>
      <c r="O87" s="50"/>
    </row>
    <row r="88" spans="1:15">
      <c r="A88" s="52">
        <v>14328642</v>
      </c>
      <c r="B88" s="50"/>
      <c r="C88" s="50"/>
      <c r="D88" s="50"/>
      <c r="E88" s="50"/>
      <c r="F88" s="50"/>
      <c r="G88" s="50"/>
      <c r="H88" s="50"/>
      <c r="I88" s="50">
        <v>1</v>
      </c>
      <c r="J88" s="50">
        <v>1</v>
      </c>
      <c r="M88" s="50"/>
      <c r="N88" s="50"/>
      <c r="O88" s="50"/>
    </row>
    <row r="89" spans="1:15">
      <c r="A89" s="52">
        <v>14329073</v>
      </c>
      <c r="B89" s="50"/>
      <c r="C89" s="50"/>
      <c r="D89" s="50">
        <v>1</v>
      </c>
      <c r="E89" s="50"/>
      <c r="F89" s="50"/>
      <c r="G89" s="50"/>
      <c r="H89" s="50"/>
      <c r="I89" s="50"/>
      <c r="J89" s="50">
        <v>1</v>
      </c>
      <c r="M89" s="50"/>
      <c r="N89" s="50"/>
      <c r="O89" s="50"/>
    </row>
    <row r="90" spans="1:15">
      <c r="A90" s="52">
        <v>14329077</v>
      </c>
      <c r="B90" s="50"/>
      <c r="C90" s="50"/>
      <c r="D90" s="50">
        <v>1</v>
      </c>
      <c r="E90" s="50"/>
      <c r="F90" s="50"/>
      <c r="G90" s="50"/>
      <c r="H90" s="50"/>
      <c r="I90" s="50"/>
      <c r="J90" s="50">
        <v>1</v>
      </c>
      <c r="M90" s="50"/>
      <c r="N90" s="50"/>
      <c r="O90" s="50"/>
    </row>
    <row r="91" spans="1:15">
      <c r="A91" s="52">
        <v>14345946</v>
      </c>
      <c r="B91" s="50"/>
      <c r="C91" s="50"/>
      <c r="D91" s="50">
        <v>1</v>
      </c>
      <c r="E91" s="50"/>
      <c r="F91" s="50"/>
      <c r="G91" s="50"/>
      <c r="H91" s="50"/>
      <c r="I91" s="50"/>
      <c r="J91" s="50">
        <v>1</v>
      </c>
      <c r="M91" s="50"/>
      <c r="N91" s="50"/>
      <c r="O91" s="50"/>
    </row>
    <row r="92" spans="1:15">
      <c r="A92" s="52">
        <v>14363879</v>
      </c>
      <c r="B92" s="50"/>
      <c r="C92" s="50"/>
      <c r="D92" s="50">
        <v>1</v>
      </c>
      <c r="E92" s="50"/>
      <c r="F92" s="50"/>
      <c r="G92" s="50"/>
      <c r="H92" s="50"/>
      <c r="I92" s="50"/>
      <c r="J92" s="50">
        <v>1</v>
      </c>
      <c r="M92" s="50"/>
      <c r="N92" s="50"/>
      <c r="O92" s="50"/>
    </row>
    <row r="93" spans="1:15">
      <c r="A93" s="52">
        <v>14364440</v>
      </c>
      <c r="B93" s="50"/>
      <c r="C93" s="50"/>
      <c r="D93" s="50">
        <v>1</v>
      </c>
      <c r="E93" s="50"/>
      <c r="F93" s="50"/>
      <c r="G93" s="50"/>
      <c r="H93" s="50"/>
      <c r="I93" s="50"/>
      <c r="J93" s="50">
        <v>1</v>
      </c>
      <c r="M93" s="50"/>
      <c r="N93" s="50"/>
      <c r="O93" s="50"/>
    </row>
    <row r="94" spans="1:15">
      <c r="A94" s="52">
        <v>14364545</v>
      </c>
      <c r="B94" s="50"/>
      <c r="C94" s="50"/>
      <c r="D94" s="50"/>
      <c r="E94" s="50">
        <v>1</v>
      </c>
      <c r="F94" s="50"/>
      <c r="G94" s="50"/>
      <c r="H94" s="50"/>
      <c r="I94" s="50"/>
      <c r="J94" s="50">
        <v>1</v>
      </c>
      <c r="M94" s="50"/>
      <c r="N94" s="50"/>
      <c r="O94" s="50"/>
    </row>
    <row r="95" spans="1:15">
      <c r="A95" s="52">
        <v>14364578</v>
      </c>
      <c r="B95" s="50"/>
      <c r="C95" s="50"/>
      <c r="D95" s="50"/>
      <c r="E95" s="50">
        <v>1</v>
      </c>
      <c r="F95" s="50"/>
      <c r="G95" s="50"/>
      <c r="H95" s="50"/>
      <c r="I95" s="50"/>
      <c r="J95" s="50">
        <v>1</v>
      </c>
      <c r="M95" s="50"/>
      <c r="N95" s="50"/>
      <c r="O95" s="50"/>
    </row>
    <row r="96" spans="1:15">
      <c r="A96" s="52">
        <v>14369529</v>
      </c>
      <c r="B96" s="50"/>
      <c r="C96" s="50">
        <v>1</v>
      </c>
      <c r="D96" s="50"/>
      <c r="E96" s="50"/>
      <c r="F96" s="50"/>
      <c r="G96" s="50"/>
      <c r="H96" s="50"/>
      <c r="I96" s="50"/>
      <c r="J96" s="50">
        <v>1</v>
      </c>
      <c r="M96" s="50"/>
      <c r="N96" s="50"/>
      <c r="O96" s="50"/>
    </row>
    <row r="97" spans="1:15">
      <c r="A97" s="52">
        <v>14370434</v>
      </c>
      <c r="B97" s="50"/>
      <c r="C97" s="50"/>
      <c r="D97" s="50"/>
      <c r="E97" s="50"/>
      <c r="F97" s="50">
        <v>1</v>
      </c>
      <c r="G97" s="50"/>
      <c r="H97" s="50"/>
      <c r="I97" s="50"/>
      <c r="J97" s="50">
        <v>1</v>
      </c>
      <c r="M97" s="50"/>
      <c r="N97" s="50"/>
      <c r="O97" s="50"/>
    </row>
    <row r="98" spans="1:15">
      <c r="A98" s="52">
        <v>14395198</v>
      </c>
      <c r="B98" s="50"/>
      <c r="C98" s="50"/>
      <c r="D98" s="50"/>
      <c r="E98" s="50"/>
      <c r="F98" s="50">
        <v>1</v>
      </c>
      <c r="G98" s="50"/>
      <c r="H98" s="50"/>
      <c r="I98" s="50"/>
      <c r="J98" s="50">
        <v>1</v>
      </c>
      <c r="M98" s="50"/>
      <c r="N98" s="50"/>
      <c r="O98" s="50"/>
    </row>
    <row r="99" spans="1:15">
      <c r="A99" s="52">
        <v>14415486</v>
      </c>
      <c r="B99" s="50"/>
      <c r="C99" s="50">
        <v>1</v>
      </c>
      <c r="D99" s="50"/>
      <c r="E99" s="50"/>
      <c r="F99" s="50"/>
      <c r="G99" s="50"/>
      <c r="H99" s="50"/>
      <c r="I99" s="50"/>
      <c r="J99" s="50">
        <v>1</v>
      </c>
      <c r="M99" s="50"/>
      <c r="N99" s="50"/>
      <c r="O99" s="50"/>
    </row>
    <row r="100" spans="1:15">
      <c r="A100" s="52">
        <v>14428693</v>
      </c>
      <c r="B100" s="50"/>
      <c r="C100" s="50"/>
      <c r="D100" s="50"/>
      <c r="E100" s="50"/>
      <c r="F100" s="50">
        <v>1</v>
      </c>
      <c r="G100" s="50"/>
      <c r="H100" s="50"/>
      <c r="I100" s="50"/>
      <c r="J100" s="50">
        <v>1</v>
      </c>
      <c r="M100" s="50"/>
      <c r="N100" s="50"/>
      <c r="O100" s="50"/>
    </row>
    <row r="101" spans="1:15">
      <c r="A101" s="52">
        <v>14433401</v>
      </c>
      <c r="B101" s="50"/>
      <c r="C101" s="50"/>
      <c r="D101" s="50"/>
      <c r="E101" s="50">
        <v>1</v>
      </c>
      <c r="F101" s="50"/>
      <c r="G101" s="50"/>
      <c r="H101" s="50"/>
      <c r="I101" s="50"/>
      <c r="J101" s="50">
        <v>1</v>
      </c>
      <c r="M101" s="50"/>
      <c r="N101" s="50"/>
      <c r="O101" s="50"/>
    </row>
    <row r="102" spans="1:15">
      <c r="A102" s="52">
        <v>14433414</v>
      </c>
      <c r="B102" s="50"/>
      <c r="C102" s="50"/>
      <c r="D102" s="50"/>
      <c r="E102" s="50"/>
      <c r="F102" s="50">
        <v>1</v>
      </c>
      <c r="G102" s="50"/>
      <c r="H102" s="50"/>
      <c r="I102" s="50"/>
      <c r="J102" s="50">
        <v>1</v>
      </c>
      <c r="M102" s="50"/>
      <c r="N102" s="50"/>
      <c r="O102" s="50"/>
    </row>
    <row r="103" spans="1:15">
      <c r="A103" s="52">
        <v>14447513</v>
      </c>
      <c r="B103" s="50"/>
      <c r="C103" s="50"/>
      <c r="D103" s="50">
        <v>1</v>
      </c>
      <c r="E103" s="50"/>
      <c r="F103" s="50"/>
      <c r="G103" s="50"/>
      <c r="H103" s="50"/>
      <c r="I103" s="50"/>
      <c r="J103" s="50">
        <v>1</v>
      </c>
      <c r="M103" s="50"/>
      <c r="N103" s="50"/>
      <c r="O103" s="50"/>
    </row>
    <row r="104" spans="1:15">
      <c r="A104" s="52">
        <v>14447515</v>
      </c>
      <c r="B104" s="50"/>
      <c r="C104" s="50"/>
      <c r="D104" s="50"/>
      <c r="E104" s="50"/>
      <c r="F104" s="50">
        <v>1</v>
      </c>
      <c r="G104" s="50"/>
      <c r="H104" s="50"/>
      <c r="I104" s="50"/>
      <c r="J104" s="50">
        <v>1</v>
      </c>
      <c r="M104" s="50"/>
      <c r="N104" s="50"/>
      <c r="O104" s="50"/>
    </row>
    <row r="105" spans="1:15">
      <c r="A105" s="52">
        <v>14447516</v>
      </c>
      <c r="B105" s="50"/>
      <c r="C105" s="50"/>
      <c r="D105" s="50">
        <v>1</v>
      </c>
      <c r="E105" s="50"/>
      <c r="F105" s="50"/>
      <c r="G105" s="50"/>
      <c r="H105" s="50"/>
      <c r="I105" s="50"/>
      <c r="J105" s="50">
        <v>1</v>
      </c>
      <c r="M105" s="50"/>
      <c r="N105" s="50"/>
      <c r="O105" s="50"/>
    </row>
    <row r="106" spans="1:15">
      <c r="A106" s="52">
        <v>14447518</v>
      </c>
      <c r="B106" s="50"/>
      <c r="C106" s="50"/>
      <c r="D106" s="50"/>
      <c r="E106" s="50"/>
      <c r="F106" s="50">
        <v>1</v>
      </c>
      <c r="G106" s="50"/>
      <c r="H106" s="50"/>
      <c r="I106" s="50"/>
      <c r="J106" s="50">
        <v>1</v>
      </c>
      <c r="M106" s="50"/>
      <c r="N106" s="50"/>
      <c r="O106" s="50"/>
    </row>
    <row r="107" spans="1:15">
      <c r="A107" s="52">
        <v>14447525</v>
      </c>
      <c r="B107" s="50"/>
      <c r="C107" s="50"/>
      <c r="D107" s="50">
        <v>1</v>
      </c>
      <c r="E107" s="50"/>
      <c r="F107" s="50"/>
      <c r="G107" s="50"/>
      <c r="H107" s="50"/>
      <c r="I107" s="50"/>
      <c r="J107" s="50">
        <v>1</v>
      </c>
    </row>
    <row r="108" spans="1:15">
      <c r="A108" s="52">
        <v>14447583</v>
      </c>
      <c r="B108" s="50"/>
      <c r="C108" s="50"/>
      <c r="D108" s="50"/>
      <c r="E108" s="50"/>
      <c r="F108" s="50">
        <v>1</v>
      </c>
      <c r="G108" s="50"/>
      <c r="H108" s="50"/>
      <c r="I108" s="50"/>
      <c r="J108" s="50">
        <v>1</v>
      </c>
    </row>
    <row r="109" spans="1:15">
      <c r="A109" s="52">
        <v>14447585</v>
      </c>
      <c r="B109" s="50"/>
      <c r="C109" s="50"/>
      <c r="D109" s="50">
        <v>1</v>
      </c>
      <c r="E109" s="50"/>
      <c r="F109" s="50"/>
      <c r="G109" s="50"/>
      <c r="H109" s="50"/>
      <c r="I109" s="50"/>
      <c r="J109" s="50">
        <v>1</v>
      </c>
    </row>
    <row r="110" spans="1:15">
      <c r="A110" s="52">
        <v>14447586</v>
      </c>
      <c r="B110" s="50"/>
      <c r="C110" s="50"/>
      <c r="D110" s="50"/>
      <c r="E110" s="50"/>
      <c r="F110" s="50">
        <v>1</v>
      </c>
      <c r="G110" s="50"/>
      <c r="H110" s="50"/>
      <c r="I110" s="50"/>
      <c r="J110" s="50">
        <v>1</v>
      </c>
    </row>
    <row r="111" spans="1:15">
      <c r="A111" s="52">
        <v>14447587</v>
      </c>
      <c r="B111" s="50"/>
      <c r="C111" s="50"/>
      <c r="D111" s="50">
        <v>1</v>
      </c>
      <c r="E111" s="50"/>
      <c r="F111" s="50"/>
      <c r="G111" s="50"/>
      <c r="H111" s="50"/>
      <c r="I111" s="50"/>
      <c r="J111" s="50">
        <v>1</v>
      </c>
    </row>
    <row r="112" spans="1:15">
      <c r="A112" s="52">
        <v>14447590</v>
      </c>
      <c r="B112" s="50"/>
      <c r="C112" s="50"/>
      <c r="D112" s="50"/>
      <c r="E112" s="50"/>
      <c r="F112" s="50">
        <v>1</v>
      </c>
      <c r="G112" s="50"/>
      <c r="H112" s="50"/>
      <c r="I112" s="50"/>
      <c r="J112" s="50">
        <v>1</v>
      </c>
    </row>
    <row r="113" spans="1:10">
      <c r="A113" s="52">
        <v>14447593</v>
      </c>
      <c r="B113" s="50">
        <v>1</v>
      </c>
      <c r="C113" s="50"/>
      <c r="D113" s="50"/>
      <c r="E113" s="50"/>
      <c r="F113" s="50"/>
      <c r="G113" s="50"/>
      <c r="H113" s="50"/>
      <c r="I113" s="50"/>
      <c r="J113" s="50">
        <v>1</v>
      </c>
    </row>
    <row r="114" spans="1:10">
      <c r="A114" s="52">
        <v>14447594</v>
      </c>
      <c r="B114" s="50">
        <v>1</v>
      </c>
      <c r="C114" s="50"/>
      <c r="D114" s="50"/>
      <c r="E114" s="50"/>
      <c r="F114" s="50"/>
      <c r="G114" s="50"/>
      <c r="H114" s="50"/>
      <c r="I114" s="50"/>
      <c r="J114" s="50">
        <v>1</v>
      </c>
    </row>
    <row r="115" spans="1:10">
      <c r="A115" s="52">
        <v>14471704</v>
      </c>
      <c r="B115" s="50"/>
      <c r="C115" s="50">
        <v>1</v>
      </c>
      <c r="D115" s="50"/>
      <c r="E115" s="50"/>
      <c r="F115" s="50"/>
      <c r="G115" s="50"/>
      <c r="H115" s="50"/>
      <c r="I115" s="50"/>
      <c r="J115" s="50">
        <v>1</v>
      </c>
    </row>
    <row r="116" spans="1:10">
      <c r="A116" s="52">
        <v>14521000</v>
      </c>
      <c r="B116" s="50"/>
      <c r="C116" s="50"/>
      <c r="D116" s="50"/>
      <c r="E116" s="50"/>
      <c r="F116" s="50"/>
      <c r="G116" s="50">
        <v>1</v>
      </c>
      <c r="H116" s="50"/>
      <c r="I116" s="50"/>
      <c r="J116" s="50">
        <v>1</v>
      </c>
    </row>
    <row r="117" spans="1:10">
      <c r="A117" s="52">
        <v>14528143</v>
      </c>
      <c r="B117" s="50"/>
      <c r="C117" s="50"/>
      <c r="D117" s="50"/>
      <c r="E117" s="50">
        <v>1</v>
      </c>
      <c r="F117" s="50"/>
      <c r="G117" s="50"/>
      <c r="H117" s="50"/>
      <c r="I117" s="50"/>
      <c r="J117" s="50">
        <v>1</v>
      </c>
    </row>
    <row r="118" spans="1:10">
      <c r="A118" s="52">
        <v>14578077</v>
      </c>
      <c r="B118" s="50"/>
      <c r="C118" s="50">
        <v>1</v>
      </c>
      <c r="D118" s="50"/>
      <c r="E118" s="50"/>
      <c r="F118" s="50"/>
      <c r="G118" s="50"/>
      <c r="H118" s="50"/>
      <c r="I118" s="50"/>
      <c r="J118" s="50">
        <v>1</v>
      </c>
    </row>
    <row r="119" spans="1:10">
      <c r="A119" s="52">
        <v>14578099</v>
      </c>
      <c r="B119" s="50"/>
      <c r="C119" s="50">
        <v>1</v>
      </c>
      <c r="D119" s="50"/>
      <c r="E119" s="50"/>
      <c r="F119" s="50"/>
      <c r="G119" s="50"/>
      <c r="H119" s="50"/>
      <c r="I119" s="50"/>
      <c r="J119" s="50">
        <v>1</v>
      </c>
    </row>
    <row r="120" spans="1:10">
      <c r="A120" s="52">
        <v>14578102</v>
      </c>
      <c r="B120" s="50"/>
      <c r="C120" s="50">
        <v>1</v>
      </c>
      <c r="D120" s="50"/>
      <c r="E120" s="50"/>
      <c r="F120" s="50"/>
      <c r="G120" s="50"/>
      <c r="H120" s="50"/>
      <c r="I120" s="50"/>
      <c r="J120" s="50">
        <v>1</v>
      </c>
    </row>
    <row r="121" spans="1:10">
      <c r="A121" s="52">
        <v>14578104</v>
      </c>
      <c r="B121" s="50"/>
      <c r="C121" s="50">
        <v>1</v>
      </c>
      <c r="D121" s="50"/>
      <c r="E121" s="50"/>
      <c r="F121" s="50"/>
      <c r="G121" s="50"/>
      <c r="H121" s="50"/>
      <c r="I121" s="50"/>
      <c r="J121" s="50">
        <v>1</v>
      </c>
    </row>
    <row r="122" spans="1:10">
      <c r="A122" s="52">
        <v>14578879</v>
      </c>
      <c r="B122" s="50"/>
      <c r="C122" s="50">
        <v>1</v>
      </c>
      <c r="D122" s="50"/>
      <c r="E122" s="50"/>
      <c r="F122" s="50"/>
      <c r="G122" s="50"/>
      <c r="H122" s="50"/>
      <c r="I122" s="50"/>
      <c r="J122" s="50">
        <v>1</v>
      </c>
    </row>
    <row r="123" spans="1:10">
      <c r="A123" s="52">
        <v>14579642</v>
      </c>
      <c r="B123" s="50"/>
      <c r="C123" s="50">
        <v>1</v>
      </c>
      <c r="D123" s="50"/>
      <c r="E123" s="50"/>
      <c r="F123" s="50"/>
      <c r="G123" s="50"/>
      <c r="H123" s="50"/>
      <c r="I123" s="50"/>
      <c r="J123" s="50">
        <v>1</v>
      </c>
    </row>
    <row r="124" spans="1:10">
      <c r="A124" s="52">
        <v>14581908</v>
      </c>
      <c r="B124" s="50"/>
      <c r="C124" s="50">
        <v>1</v>
      </c>
      <c r="D124" s="50"/>
      <c r="E124" s="50"/>
      <c r="F124" s="50"/>
      <c r="G124" s="50"/>
      <c r="H124" s="50"/>
      <c r="I124" s="50"/>
      <c r="J124" s="50">
        <v>1</v>
      </c>
    </row>
    <row r="125" spans="1:10">
      <c r="A125" s="52">
        <v>14581909</v>
      </c>
      <c r="B125" s="50"/>
      <c r="C125" s="50">
        <v>1</v>
      </c>
      <c r="D125" s="50"/>
      <c r="E125" s="50"/>
      <c r="F125" s="50"/>
      <c r="G125" s="50"/>
      <c r="H125" s="50"/>
      <c r="I125" s="50"/>
      <c r="J125" s="50">
        <v>1</v>
      </c>
    </row>
    <row r="126" spans="1:10">
      <c r="A126" s="52">
        <v>14581916</v>
      </c>
      <c r="B126" s="50"/>
      <c r="C126" s="50">
        <v>1</v>
      </c>
      <c r="D126" s="50"/>
      <c r="E126" s="50"/>
      <c r="F126" s="50"/>
      <c r="G126" s="50"/>
      <c r="H126" s="50"/>
      <c r="I126" s="50"/>
      <c r="J126" s="50">
        <v>1</v>
      </c>
    </row>
    <row r="127" spans="1:10">
      <c r="A127" s="52">
        <v>14581923</v>
      </c>
      <c r="B127" s="50"/>
      <c r="C127" s="50">
        <v>1</v>
      </c>
      <c r="D127" s="50"/>
      <c r="E127" s="50"/>
      <c r="F127" s="50"/>
      <c r="G127" s="50"/>
      <c r="H127" s="50"/>
      <c r="I127" s="50"/>
      <c r="J127" s="50">
        <v>1</v>
      </c>
    </row>
    <row r="128" spans="1:10">
      <c r="A128" s="52">
        <v>14584870</v>
      </c>
      <c r="B128" s="50"/>
      <c r="C128" s="50">
        <v>1</v>
      </c>
      <c r="D128" s="50"/>
      <c r="E128" s="50"/>
      <c r="F128" s="50"/>
      <c r="G128" s="50"/>
      <c r="H128" s="50"/>
      <c r="I128" s="50"/>
      <c r="J128" s="50">
        <v>1</v>
      </c>
    </row>
    <row r="129" spans="1:10">
      <c r="A129" s="52">
        <v>14737918</v>
      </c>
      <c r="B129" s="50"/>
      <c r="C129" s="50"/>
      <c r="D129" s="50"/>
      <c r="E129" s="50"/>
      <c r="F129" s="50">
        <v>1</v>
      </c>
      <c r="G129" s="50"/>
      <c r="H129" s="50"/>
      <c r="I129" s="50"/>
      <c r="J129" s="50">
        <v>1</v>
      </c>
    </row>
    <row r="130" spans="1:10">
      <c r="A130" s="52">
        <v>14672943</v>
      </c>
      <c r="B130" s="50"/>
      <c r="C130" s="50"/>
      <c r="D130" s="50"/>
      <c r="E130" s="50"/>
      <c r="F130" s="50"/>
      <c r="G130" s="50"/>
      <c r="H130" s="50"/>
      <c r="I130" s="50">
        <v>1</v>
      </c>
      <c r="J130" s="50">
        <v>1</v>
      </c>
    </row>
    <row r="131" spans="1:10">
      <c r="A131" s="52" t="s">
        <v>1599</v>
      </c>
      <c r="B131" s="50">
        <v>7</v>
      </c>
      <c r="C131" s="50">
        <v>36</v>
      </c>
      <c r="D131" s="50">
        <v>16</v>
      </c>
      <c r="E131" s="50">
        <v>19</v>
      </c>
      <c r="F131" s="50">
        <v>31</v>
      </c>
      <c r="G131" s="50">
        <v>7</v>
      </c>
      <c r="H131" s="50">
        <v>3</v>
      </c>
      <c r="I131" s="50">
        <v>8</v>
      </c>
      <c r="J131" s="50">
        <v>127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24FB9-0948-49E1-B4C8-2DD7E2CE57D8}">
  <sheetPr codeName="Sheet17"/>
  <dimension ref="A1:CG145"/>
  <sheetViews>
    <sheetView workbookViewId="0">
      <selection activeCell="B135" sqref="B135"/>
    </sheetView>
  </sheetViews>
  <sheetFormatPr defaultRowHeight="14.45"/>
  <cols>
    <col min="1" max="1" width="19.140625" bestFit="1" customWidth="1"/>
    <col min="2" max="2" width="15.28515625" bestFit="1" customWidth="1"/>
    <col min="3" max="22" width="10.140625" bestFit="1" customWidth="1"/>
    <col min="23" max="23" width="6.7109375" bestFit="1" customWidth="1"/>
    <col min="24" max="24" width="10.7109375" bestFit="1" customWidth="1"/>
    <col min="25" max="25" width="14.85546875" bestFit="1" customWidth="1"/>
    <col min="26" max="26" width="19.140625" bestFit="1" customWidth="1"/>
    <col min="27" max="27" width="20.5703125" bestFit="1" customWidth="1"/>
    <col min="28" max="28" width="10.140625" bestFit="1" customWidth="1"/>
    <col min="29" max="29" width="20.5703125" bestFit="1" customWidth="1"/>
    <col min="30" max="30" width="31.140625" bestFit="1" customWidth="1"/>
    <col min="31" max="31" width="3.28515625" bestFit="1" customWidth="1"/>
    <col min="32" max="32" width="4.140625" bestFit="1" customWidth="1"/>
    <col min="33" max="59" width="10.140625" bestFit="1" customWidth="1"/>
    <col min="60" max="60" width="6.7109375" bestFit="1" customWidth="1"/>
    <col min="61" max="61" width="10.7109375" bestFit="1" customWidth="1"/>
    <col min="62" max="72" width="10.140625" bestFit="1" customWidth="1"/>
    <col min="73" max="73" width="6.7109375" bestFit="1" customWidth="1"/>
    <col min="74" max="74" width="10.7109375" bestFit="1" customWidth="1"/>
    <col min="75" max="81" width="10.140625" bestFit="1" customWidth="1"/>
    <col min="82" max="82" width="6.7109375" bestFit="1" customWidth="1"/>
    <col min="83" max="83" width="10.7109375" bestFit="1" customWidth="1"/>
    <col min="84" max="84" width="6.7109375" bestFit="1" customWidth="1"/>
    <col min="85" max="85" width="10.7109375" bestFit="1" customWidth="1"/>
  </cols>
  <sheetData>
    <row r="1" spans="1:85">
      <c r="A1" s="51" t="s">
        <v>1600</v>
      </c>
      <c r="B1" t="s">
        <v>1579</v>
      </c>
      <c r="Z1" s="51" t="s">
        <v>1600</v>
      </c>
      <c r="AA1" t="s">
        <v>1627</v>
      </c>
    </row>
    <row r="2" spans="1:85">
      <c r="A2" s="51" t="s">
        <v>1601</v>
      </c>
      <c r="B2" t="s">
        <v>1579</v>
      </c>
      <c r="Z2" s="51" t="s">
        <v>1601</v>
      </c>
      <c r="AA2" t="s">
        <v>1627</v>
      </c>
    </row>
    <row r="4" spans="1:85">
      <c r="A4" s="51" t="s">
        <v>1581</v>
      </c>
      <c r="B4" s="51" t="s">
        <v>1626</v>
      </c>
      <c r="Z4" s="51" t="s">
        <v>1581</v>
      </c>
      <c r="AA4" s="51" t="s">
        <v>1626</v>
      </c>
    </row>
    <row r="5" spans="1:85" s="50" customFormat="1">
      <c r="A5" s="51" t="s">
        <v>1580</v>
      </c>
      <c r="B5" t="s">
        <v>125</v>
      </c>
      <c r="C5" s="1">
        <v>45505</v>
      </c>
      <c r="D5" s="1">
        <v>45509</v>
      </c>
      <c r="E5" s="1">
        <v>45512</v>
      </c>
      <c r="F5" s="1">
        <v>45525</v>
      </c>
      <c r="G5" s="1">
        <v>45526</v>
      </c>
      <c r="H5" s="1">
        <v>45527</v>
      </c>
      <c r="I5" s="1">
        <v>45528</v>
      </c>
      <c r="J5" s="1">
        <v>45529</v>
      </c>
      <c r="K5" s="1">
        <v>45530</v>
      </c>
      <c r="L5" s="1">
        <v>45532</v>
      </c>
      <c r="M5" s="1">
        <v>45533</v>
      </c>
      <c r="N5" s="1">
        <v>45534</v>
      </c>
      <c r="O5" s="1">
        <v>45537</v>
      </c>
      <c r="P5" s="1">
        <v>45539</v>
      </c>
      <c r="Q5" s="1">
        <v>45541</v>
      </c>
      <c r="R5" s="1">
        <v>45544</v>
      </c>
      <c r="S5" s="1">
        <v>45545</v>
      </c>
      <c r="T5" s="1">
        <v>45546</v>
      </c>
      <c r="U5" s="1">
        <v>45548</v>
      </c>
      <c r="V5" s="1">
        <v>45553</v>
      </c>
      <c r="W5" t="s">
        <v>1628</v>
      </c>
      <c r="X5" t="s">
        <v>1599</v>
      </c>
      <c r="Z5" s="51" t="s">
        <v>1580</v>
      </c>
      <c r="AA5" t="s">
        <v>1587</v>
      </c>
      <c r="AB5" t="s">
        <v>1588</v>
      </c>
      <c r="AC5" t="s">
        <v>1590</v>
      </c>
      <c r="AD5" t="s">
        <v>1598</v>
      </c>
      <c r="AE5" t="s">
        <v>125</v>
      </c>
      <c r="AF5" t="s">
        <v>270</v>
      </c>
      <c r="AG5" s="1">
        <v>45541</v>
      </c>
      <c r="AH5" s="1">
        <v>45546</v>
      </c>
      <c r="AI5" s="1">
        <v>45548</v>
      </c>
      <c r="AJ5" s="1">
        <v>45551</v>
      </c>
      <c r="AK5" s="1">
        <v>45555</v>
      </c>
      <c r="AL5" s="1">
        <v>45560</v>
      </c>
      <c r="AM5" s="1">
        <v>45565</v>
      </c>
      <c r="AN5" s="1">
        <v>45566</v>
      </c>
      <c r="AO5" s="1">
        <v>45569</v>
      </c>
      <c r="AP5" s="1">
        <v>45572</v>
      </c>
      <c r="AQ5" s="1">
        <v>45576</v>
      </c>
      <c r="AR5" s="1">
        <v>45577</v>
      </c>
      <c r="AS5" s="1">
        <v>45580</v>
      </c>
      <c r="AT5" s="1">
        <v>45583</v>
      </c>
      <c r="AU5" s="1">
        <v>45584</v>
      </c>
      <c r="AV5" s="1">
        <v>45588</v>
      </c>
      <c r="AW5" s="1">
        <v>45589</v>
      </c>
      <c r="AX5" s="1">
        <v>45590</v>
      </c>
      <c r="AY5" s="1">
        <v>45591</v>
      </c>
      <c r="AZ5" s="1">
        <v>45593</v>
      </c>
      <c r="BA5" s="1">
        <v>45595</v>
      </c>
      <c r="BB5" s="1">
        <v>45596</v>
      </c>
      <c r="BC5" s="1">
        <v>45600</v>
      </c>
      <c r="BD5" s="1">
        <v>45602</v>
      </c>
      <c r="BE5" s="1">
        <v>45615</v>
      </c>
      <c r="BF5" s="1">
        <v>45616</v>
      </c>
      <c r="BG5" s="1">
        <v>45641</v>
      </c>
      <c r="BH5" t="s">
        <v>1628</v>
      </c>
      <c r="BI5" t="s">
        <v>1599</v>
      </c>
      <c r="BJ5"/>
      <c r="BK5"/>
      <c r="BL5"/>
      <c r="BM5"/>
      <c r="BN5"/>
      <c r="BO5"/>
      <c r="BP5"/>
      <c r="BQ5"/>
      <c r="BR5"/>
      <c r="BS5"/>
      <c r="BT5"/>
      <c r="BU5"/>
      <c r="BV5"/>
      <c r="BW5"/>
      <c r="BX5"/>
      <c r="BY5"/>
      <c r="BZ5"/>
      <c r="CA5"/>
      <c r="CB5"/>
      <c r="CC5"/>
      <c r="CD5"/>
      <c r="CE5"/>
      <c r="CF5"/>
      <c r="CG5"/>
    </row>
    <row r="6" spans="1:85" s="50" customFormat="1" hidden="1">
      <c r="A6" s="50">
        <v>10415897</v>
      </c>
      <c r="L6" s="50">
        <v>1</v>
      </c>
      <c r="X6" s="50">
        <v>1</v>
      </c>
      <c r="Z6" s="52">
        <v>11000230</v>
      </c>
      <c r="BG6" s="50">
        <v>1</v>
      </c>
      <c r="BI6" s="50">
        <v>1</v>
      </c>
      <c r="BJ6"/>
      <c r="BK6"/>
      <c r="BL6"/>
      <c r="BM6"/>
      <c r="BN6"/>
      <c r="BO6"/>
      <c r="BP6"/>
      <c r="BQ6"/>
      <c r="BR6"/>
      <c r="BS6"/>
      <c r="BT6"/>
      <c r="BU6"/>
      <c r="BV6"/>
      <c r="BW6"/>
      <c r="BX6"/>
      <c r="BY6"/>
      <c r="BZ6"/>
      <c r="CA6"/>
      <c r="CB6"/>
      <c r="CC6"/>
      <c r="CD6"/>
      <c r="CE6"/>
      <c r="CF6"/>
      <c r="CG6"/>
    </row>
    <row r="7" spans="1:85" s="50" customFormat="1" hidden="1">
      <c r="A7" s="50">
        <v>11000230</v>
      </c>
      <c r="W7" s="50">
        <v>2</v>
      </c>
      <c r="X7" s="50">
        <v>2</v>
      </c>
      <c r="Z7" s="52">
        <v>11094346</v>
      </c>
      <c r="AZ7" s="50">
        <v>1</v>
      </c>
      <c r="BI7" s="50">
        <v>1</v>
      </c>
      <c r="BJ7"/>
      <c r="BK7"/>
      <c r="BL7"/>
      <c r="BM7"/>
      <c r="BN7"/>
      <c r="BO7"/>
      <c r="BP7"/>
      <c r="BQ7"/>
      <c r="BR7"/>
      <c r="BS7"/>
      <c r="BT7"/>
      <c r="BU7"/>
      <c r="BV7"/>
      <c r="BW7"/>
      <c r="BX7"/>
      <c r="BY7"/>
      <c r="BZ7"/>
      <c r="CA7"/>
      <c r="CB7"/>
      <c r="CC7"/>
      <c r="CD7"/>
      <c r="CE7"/>
      <c r="CF7"/>
      <c r="CG7"/>
    </row>
    <row r="8" spans="1:85" s="50" customFormat="1" hidden="1">
      <c r="A8" s="50">
        <v>11094346</v>
      </c>
      <c r="W8" s="50">
        <v>2</v>
      </c>
      <c r="X8" s="50">
        <v>2</v>
      </c>
      <c r="Z8" s="52">
        <v>12295210</v>
      </c>
      <c r="AV8" s="50">
        <v>1</v>
      </c>
      <c r="BI8" s="50">
        <v>1</v>
      </c>
      <c r="BJ8"/>
      <c r="BK8"/>
      <c r="BL8"/>
      <c r="BM8"/>
      <c r="BN8"/>
      <c r="BO8"/>
      <c r="BP8"/>
      <c r="BQ8"/>
      <c r="BR8"/>
      <c r="BS8"/>
      <c r="BT8"/>
      <c r="BU8"/>
      <c r="BV8"/>
      <c r="BW8"/>
      <c r="BX8"/>
      <c r="BY8"/>
      <c r="BZ8"/>
      <c r="CA8"/>
      <c r="CB8"/>
      <c r="CC8"/>
      <c r="CD8"/>
      <c r="CE8"/>
      <c r="CF8"/>
      <c r="CG8"/>
    </row>
    <row r="9" spans="1:85" s="50" customFormat="1" hidden="1">
      <c r="A9" s="50">
        <v>12295210</v>
      </c>
      <c r="W9" s="50">
        <v>2</v>
      </c>
      <c r="X9" s="50">
        <v>2</v>
      </c>
      <c r="Z9" s="52">
        <v>12363191</v>
      </c>
      <c r="AG9" s="50">
        <v>1</v>
      </c>
      <c r="BI9" s="50">
        <v>1</v>
      </c>
      <c r="BJ9"/>
      <c r="BK9"/>
      <c r="BL9"/>
      <c r="BM9"/>
      <c r="BN9"/>
      <c r="BO9"/>
      <c r="BP9"/>
      <c r="BQ9"/>
      <c r="BR9"/>
      <c r="BS9"/>
      <c r="BT9"/>
      <c r="BU9"/>
      <c r="BV9"/>
      <c r="BW9"/>
      <c r="BX9"/>
      <c r="BY9"/>
      <c r="BZ9"/>
      <c r="CA9"/>
      <c r="CB9"/>
      <c r="CC9"/>
      <c r="CD9"/>
      <c r="CE9"/>
      <c r="CF9"/>
      <c r="CG9"/>
    </row>
    <row r="10" spans="1:85" s="50" customFormat="1" hidden="1">
      <c r="A10" s="50">
        <v>12363191</v>
      </c>
      <c r="G10" s="50">
        <v>1</v>
      </c>
      <c r="W10" s="50">
        <v>1</v>
      </c>
      <c r="X10" s="50">
        <v>2</v>
      </c>
      <c r="Z10" s="52">
        <v>12450880</v>
      </c>
      <c r="BF10" s="50">
        <v>1</v>
      </c>
      <c r="BI10" s="50">
        <v>1</v>
      </c>
      <c r="BJ10"/>
      <c r="BK10"/>
      <c r="BL10"/>
      <c r="BM10"/>
      <c r="BN10"/>
      <c r="BO10"/>
      <c r="BP10"/>
      <c r="BQ10"/>
      <c r="BR10"/>
      <c r="BS10"/>
      <c r="BT10"/>
      <c r="BU10"/>
      <c r="BV10"/>
      <c r="BW10"/>
      <c r="BX10"/>
      <c r="BY10"/>
      <c r="BZ10"/>
      <c r="CA10"/>
      <c r="CB10"/>
      <c r="CC10"/>
      <c r="CD10"/>
      <c r="CE10"/>
      <c r="CF10"/>
      <c r="CG10"/>
    </row>
    <row r="11" spans="1:85" s="50" customFormat="1" hidden="1">
      <c r="A11" s="50">
        <v>12450880</v>
      </c>
      <c r="W11" s="50">
        <v>2</v>
      </c>
      <c r="X11" s="50">
        <v>2</v>
      </c>
      <c r="Z11" s="52">
        <v>12541182</v>
      </c>
      <c r="AX11" s="50">
        <v>1</v>
      </c>
      <c r="BI11" s="50">
        <v>1</v>
      </c>
      <c r="BJ11"/>
      <c r="BK11"/>
      <c r="BL11"/>
      <c r="BM11"/>
      <c r="BN11"/>
      <c r="BO11"/>
      <c r="BP11"/>
      <c r="BQ11"/>
      <c r="BR11"/>
      <c r="BS11"/>
      <c r="BT11"/>
      <c r="BU11"/>
      <c r="BV11"/>
      <c r="BW11"/>
      <c r="BX11"/>
      <c r="BY11"/>
      <c r="BZ11"/>
      <c r="CA11"/>
      <c r="CB11"/>
      <c r="CC11"/>
      <c r="CD11"/>
      <c r="CE11"/>
      <c r="CF11"/>
      <c r="CG11"/>
    </row>
    <row r="12" spans="1:85" s="50" customFormat="1" hidden="1">
      <c r="A12" s="50">
        <v>12541182</v>
      </c>
      <c r="O12" s="50">
        <v>1</v>
      </c>
      <c r="V12" s="50">
        <v>1</v>
      </c>
      <c r="X12" s="50">
        <v>2</v>
      </c>
      <c r="Z12" s="52">
        <v>12582027</v>
      </c>
      <c r="BB12" s="50">
        <v>1</v>
      </c>
      <c r="BI12" s="50">
        <v>1</v>
      </c>
      <c r="BJ12"/>
      <c r="BK12"/>
      <c r="BL12"/>
      <c r="BM12"/>
      <c r="BN12"/>
      <c r="BO12"/>
      <c r="BP12"/>
      <c r="BQ12"/>
      <c r="BR12"/>
      <c r="BS12"/>
      <c r="BT12"/>
      <c r="BU12"/>
      <c r="BV12"/>
      <c r="BW12"/>
      <c r="BX12"/>
      <c r="BY12"/>
      <c r="BZ12"/>
      <c r="CA12"/>
      <c r="CB12"/>
      <c r="CC12"/>
      <c r="CD12"/>
      <c r="CE12"/>
      <c r="CF12"/>
      <c r="CG12"/>
    </row>
    <row r="13" spans="1:85" s="50" customFormat="1" hidden="1">
      <c r="A13" s="50">
        <v>12582027</v>
      </c>
      <c r="W13" s="50">
        <v>2</v>
      </c>
      <c r="X13" s="50">
        <v>2</v>
      </c>
      <c r="Z13" s="52">
        <v>12734184</v>
      </c>
      <c r="AW13" s="50">
        <v>1</v>
      </c>
      <c r="BI13" s="50">
        <v>1</v>
      </c>
      <c r="BJ13"/>
      <c r="BK13"/>
      <c r="BL13"/>
      <c r="BM13"/>
      <c r="BN13"/>
      <c r="BO13"/>
      <c r="BP13"/>
      <c r="BQ13"/>
      <c r="BR13"/>
      <c r="BS13"/>
      <c r="BT13"/>
      <c r="BU13"/>
      <c r="BV13"/>
      <c r="BW13"/>
      <c r="BX13"/>
      <c r="BY13"/>
      <c r="BZ13"/>
      <c r="CA13"/>
      <c r="CB13"/>
      <c r="CC13"/>
      <c r="CD13"/>
      <c r="CE13"/>
      <c r="CF13"/>
      <c r="CG13"/>
    </row>
    <row r="14" spans="1:85" s="50" customFormat="1" hidden="1">
      <c r="A14" s="50">
        <v>12734184</v>
      </c>
      <c r="W14" s="50">
        <v>2</v>
      </c>
      <c r="X14" s="50">
        <v>2</v>
      </c>
      <c r="Z14" s="52">
        <v>12748925</v>
      </c>
      <c r="AT14" s="50">
        <v>1</v>
      </c>
      <c r="BI14" s="50">
        <v>1</v>
      </c>
      <c r="BJ14"/>
      <c r="BK14"/>
      <c r="BL14"/>
      <c r="BM14"/>
      <c r="BN14"/>
      <c r="BO14"/>
      <c r="BP14"/>
      <c r="BQ14"/>
      <c r="BR14"/>
      <c r="BS14"/>
      <c r="BT14"/>
      <c r="BU14"/>
      <c r="BV14"/>
      <c r="BW14"/>
      <c r="BX14"/>
      <c r="BY14"/>
      <c r="BZ14"/>
      <c r="CA14"/>
      <c r="CB14"/>
      <c r="CC14"/>
      <c r="CD14"/>
      <c r="CE14"/>
      <c r="CF14"/>
      <c r="CG14"/>
    </row>
    <row r="15" spans="1:85" s="50" customFormat="1" hidden="1">
      <c r="A15" s="50">
        <v>12748925</v>
      </c>
      <c r="W15" s="50">
        <v>2</v>
      </c>
      <c r="X15" s="50">
        <v>2</v>
      </c>
      <c r="Z15" s="52">
        <v>12874577</v>
      </c>
      <c r="AX15" s="50">
        <v>1</v>
      </c>
      <c r="BI15" s="50">
        <v>1</v>
      </c>
      <c r="BJ15"/>
      <c r="BK15"/>
      <c r="BL15"/>
      <c r="BM15"/>
      <c r="BN15"/>
      <c r="BO15"/>
      <c r="BP15"/>
      <c r="BQ15"/>
      <c r="BR15"/>
      <c r="BS15"/>
      <c r="BT15"/>
      <c r="BU15"/>
      <c r="BV15"/>
      <c r="BW15"/>
      <c r="BX15"/>
      <c r="BY15"/>
      <c r="BZ15"/>
      <c r="CA15"/>
      <c r="CB15"/>
      <c r="CC15"/>
      <c r="CD15"/>
      <c r="CE15"/>
      <c r="CF15"/>
      <c r="CG15"/>
    </row>
    <row r="16" spans="1:85" s="50" customFormat="1" hidden="1">
      <c r="A16" s="50">
        <v>12778031</v>
      </c>
      <c r="W16" s="50">
        <v>2</v>
      </c>
      <c r="X16" s="50">
        <v>2</v>
      </c>
      <c r="Z16" s="52">
        <v>12878180</v>
      </c>
      <c r="BF16" s="50">
        <v>1</v>
      </c>
      <c r="BI16" s="50">
        <v>1</v>
      </c>
      <c r="BJ16"/>
      <c r="BK16"/>
      <c r="BL16"/>
      <c r="BM16"/>
      <c r="BN16"/>
      <c r="BO16"/>
      <c r="BP16"/>
      <c r="BQ16"/>
      <c r="BR16"/>
      <c r="BS16"/>
      <c r="BT16"/>
      <c r="BU16"/>
      <c r="BV16"/>
      <c r="BW16"/>
      <c r="BX16"/>
      <c r="BY16"/>
      <c r="BZ16"/>
      <c r="CA16"/>
      <c r="CB16"/>
      <c r="CC16"/>
      <c r="CD16"/>
      <c r="CE16"/>
      <c r="CF16"/>
      <c r="CG16"/>
    </row>
    <row r="17" spans="1:85" s="50" customFormat="1" hidden="1">
      <c r="A17" s="50">
        <v>12874577</v>
      </c>
      <c r="W17" s="50">
        <v>2</v>
      </c>
      <c r="X17" s="50">
        <v>2</v>
      </c>
      <c r="Z17" s="52">
        <v>13047716</v>
      </c>
      <c r="AZ17" s="50">
        <v>1</v>
      </c>
      <c r="BI17" s="50">
        <v>1</v>
      </c>
      <c r="BJ17"/>
      <c r="BK17"/>
      <c r="BL17"/>
      <c r="BM17"/>
      <c r="BN17"/>
      <c r="BO17"/>
      <c r="BP17"/>
      <c r="BQ17"/>
      <c r="BR17"/>
      <c r="BS17"/>
      <c r="BT17"/>
      <c r="BU17"/>
      <c r="BV17"/>
      <c r="BW17"/>
      <c r="BX17"/>
      <c r="BY17"/>
      <c r="BZ17"/>
      <c r="CA17"/>
      <c r="CB17"/>
      <c r="CC17"/>
      <c r="CD17"/>
      <c r="CE17"/>
      <c r="CF17"/>
      <c r="CG17"/>
    </row>
    <row r="18" spans="1:85" s="50" customFormat="1" hidden="1">
      <c r="A18" s="50">
        <v>12878180</v>
      </c>
      <c r="W18" s="50">
        <v>2</v>
      </c>
      <c r="X18" s="50">
        <v>2</v>
      </c>
      <c r="Z18" s="52">
        <v>13064164</v>
      </c>
      <c r="AX18" s="50">
        <v>1</v>
      </c>
      <c r="BI18" s="50">
        <v>1</v>
      </c>
      <c r="BJ18"/>
      <c r="BK18"/>
      <c r="BL18"/>
      <c r="BM18"/>
      <c r="BN18"/>
      <c r="BO18"/>
      <c r="BP18"/>
      <c r="BQ18"/>
      <c r="BR18"/>
      <c r="BS18"/>
      <c r="BT18"/>
      <c r="BU18"/>
      <c r="BV18"/>
      <c r="BW18"/>
      <c r="BX18"/>
      <c r="BY18"/>
      <c r="BZ18"/>
      <c r="CA18"/>
      <c r="CB18"/>
      <c r="CC18"/>
      <c r="CD18"/>
      <c r="CE18"/>
      <c r="CF18"/>
      <c r="CG18"/>
    </row>
    <row r="19" spans="1:85" s="50" customFormat="1" hidden="1">
      <c r="A19" s="50">
        <v>12942266</v>
      </c>
      <c r="S19" s="50">
        <v>1</v>
      </c>
      <c r="W19" s="50">
        <v>1</v>
      </c>
      <c r="X19" s="50">
        <v>2</v>
      </c>
      <c r="Z19" s="52">
        <v>13066431</v>
      </c>
      <c r="AR19" s="50">
        <v>1</v>
      </c>
      <c r="BI19" s="50">
        <v>1</v>
      </c>
      <c r="BJ19"/>
      <c r="BK19"/>
      <c r="BL19"/>
      <c r="BM19"/>
      <c r="BN19"/>
      <c r="BO19"/>
      <c r="BP19"/>
      <c r="BQ19"/>
      <c r="BR19"/>
      <c r="BS19"/>
      <c r="BT19"/>
      <c r="BU19"/>
      <c r="BV19"/>
      <c r="BW19"/>
      <c r="BX19"/>
      <c r="BY19"/>
      <c r="BZ19"/>
      <c r="CA19"/>
      <c r="CB19"/>
      <c r="CC19"/>
      <c r="CD19"/>
      <c r="CE19"/>
      <c r="CF19"/>
      <c r="CG19"/>
    </row>
    <row r="20" spans="1:85" s="50" customFormat="1" hidden="1">
      <c r="A20" s="50">
        <v>12942271</v>
      </c>
      <c r="W20" s="50">
        <v>2</v>
      </c>
      <c r="X20" s="50">
        <v>2</v>
      </c>
      <c r="Z20" s="52">
        <v>13088591</v>
      </c>
      <c r="AV20" s="50">
        <v>1</v>
      </c>
      <c r="BI20" s="50">
        <v>1</v>
      </c>
      <c r="BJ20"/>
      <c r="BK20"/>
      <c r="BL20"/>
      <c r="BM20"/>
      <c r="BN20"/>
      <c r="BO20"/>
      <c r="BP20"/>
      <c r="BQ20"/>
      <c r="BR20"/>
      <c r="BS20"/>
      <c r="BT20"/>
      <c r="BU20"/>
      <c r="BV20"/>
      <c r="BW20"/>
      <c r="BX20"/>
      <c r="BY20"/>
      <c r="BZ20"/>
      <c r="CA20"/>
      <c r="CB20"/>
      <c r="CC20"/>
      <c r="CD20"/>
      <c r="CE20"/>
      <c r="CF20"/>
      <c r="CG20"/>
    </row>
    <row r="21" spans="1:85" s="50" customFormat="1" hidden="1">
      <c r="A21" s="50">
        <v>13047716</v>
      </c>
      <c r="W21" s="50">
        <v>2</v>
      </c>
      <c r="X21" s="50">
        <v>2</v>
      </c>
      <c r="Z21" s="52">
        <v>13117151</v>
      </c>
      <c r="AF21" s="50">
        <v>1</v>
      </c>
      <c r="BI21" s="50">
        <v>1</v>
      </c>
      <c r="BJ21"/>
      <c r="BK21"/>
      <c r="BL21"/>
      <c r="BM21"/>
      <c r="BN21"/>
      <c r="BO21"/>
      <c r="BP21"/>
      <c r="BQ21"/>
      <c r="BR21"/>
      <c r="BS21"/>
      <c r="BT21"/>
      <c r="BU21"/>
      <c r="BV21"/>
      <c r="BW21"/>
      <c r="BX21"/>
      <c r="BY21"/>
      <c r="BZ21"/>
      <c r="CA21"/>
      <c r="CB21"/>
      <c r="CC21"/>
      <c r="CD21"/>
      <c r="CE21"/>
      <c r="CF21"/>
      <c r="CG21"/>
    </row>
    <row r="22" spans="1:85" s="50" customFormat="1" hidden="1">
      <c r="A22" s="50">
        <v>13064164</v>
      </c>
      <c r="W22" s="50">
        <v>2</v>
      </c>
      <c r="X22" s="50">
        <v>2</v>
      </c>
      <c r="Z22" s="52">
        <v>13148021</v>
      </c>
      <c r="BC22" s="50">
        <v>1</v>
      </c>
      <c r="BI22" s="50">
        <v>1</v>
      </c>
      <c r="BJ22"/>
      <c r="BK22"/>
      <c r="BL22"/>
      <c r="BM22"/>
      <c r="BN22"/>
      <c r="BO22"/>
      <c r="BP22"/>
      <c r="BQ22"/>
      <c r="BR22"/>
      <c r="BS22"/>
      <c r="BT22"/>
      <c r="BU22"/>
      <c r="BV22"/>
      <c r="BW22"/>
      <c r="BX22"/>
      <c r="BY22"/>
      <c r="BZ22"/>
      <c r="CA22"/>
      <c r="CB22"/>
      <c r="CC22"/>
      <c r="CD22"/>
      <c r="CE22"/>
      <c r="CF22"/>
      <c r="CG22"/>
    </row>
    <row r="23" spans="1:85" s="50" customFormat="1" hidden="1">
      <c r="A23" s="50">
        <v>13066431</v>
      </c>
      <c r="W23" s="50">
        <v>2</v>
      </c>
      <c r="X23" s="50">
        <v>2</v>
      </c>
      <c r="Z23" s="52">
        <v>13148104</v>
      </c>
      <c r="BH23" s="50">
        <v>1</v>
      </c>
      <c r="BI23" s="50">
        <v>1</v>
      </c>
      <c r="BJ23"/>
      <c r="BK23"/>
      <c r="BL23"/>
      <c r="BM23"/>
      <c r="BN23"/>
      <c r="BO23"/>
      <c r="BP23"/>
      <c r="BQ23"/>
      <c r="BR23"/>
      <c r="BS23"/>
      <c r="BT23"/>
      <c r="BU23"/>
      <c r="BV23"/>
      <c r="BW23"/>
      <c r="BX23"/>
      <c r="BY23"/>
      <c r="BZ23"/>
      <c r="CA23"/>
      <c r="CB23"/>
      <c r="CC23"/>
      <c r="CD23"/>
      <c r="CE23"/>
      <c r="CF23"/>
      <c r="CG23"/>
    </row>
    <row r="24" spans="1:85" s="50" customFormat="1" hidden="1">
      <c r="A24" s="50">
        <v>13088591</v>
      </c>
      <c r="W24" s="50">
        <v>2</v>
      </c>
      <c r="X24" s="50">
        <v>2</v>
      </c>
      <c r="Z24" s="52">
        <v>13151029</v>
      </c>
      <c r="AL24" s="50">
        <v>1</v>
      </c>
      <c r="BI24" s="50">
        <v>1</v>
      </c>
      <c r="BJ24"/>
      <c r="BK24"/>
      <c r="BL24"/>
      <c r="BM24"/>
      <c r="BN24"/>
      <c r="BO24"/>
      <c r="BP24"/>
      <c r="BQ24"/>
      <c r="BR24"/>
      <c r="BS24"/>
      <c r="BT24"/>
      <c r="BU24"/>
      <c r="BV24"/>
      <c r="BW24"/>
      <c r="BX24"/>
      <c r="BY24"/>
      <c r="BZ24"/>
      <c r="CA24"/>
      <c r="CB24"/>
      <c r="CC24"/>
      <c r="CD24"/>
      <c r="CE24"/>
      <c r="CF24"/>
      <c r="CG24"/>
    </row>
    <row r="25" spans="1:85" s="50" customFormat="1" hidden="1">
      <c r="A25" s="50">
        <v>13117151</v>
      </c>
      <c r="W25" s="50">
        <v>2</v>
      </c>
      <c r="X25" s="50">
        <v>2</v>
      </c>
      <c r="Z25" s="52">
        <v>13153843</v>
      </c>
      <c r="BC25" s="50">
        <v>1</v>
      </c>
      <c r="BI25" s="50">
        <v>1</v>
      </c>
      <c r="BJ25"/>
      <c r="BK25"/>
      <c r="BL25"/>
      <c r="BM25"/>
      <c r="BN25"/>
      <c r="BO25"/>
      <c r="BP25"/>
      <c r="BQ25"/>
      <c r="BR25"/>
      <c r="BS25"/>
      <c r="BT25"/>
      <c r="BU25"/>
      <c r="BV25"/>
      <c r="BW25"/>
      <c r="BX25"/>
      <c r="BY25"/>
      <c r="BZ25"/>
      <c r="CA25"/>
      <c r="CB25"/>
      <c r="CC25"/>
      <c r="CD25"/>
      <c r="CE25"/>
      <c r="CF25"/>
      <c r="CG25"/>
    </row>
    <row r="26" spans="1:85" s="50" customFormat="1" hidden="1">
      <c r="A26" s="50">
        <v>13147882</v>
      </c>
      <c r="W26" s="50">
        <v>2</v>
      </c>
      <c r="X26" s="50">
        <v>2</v>
      </c>
      <c r="Z26" s="52">
        <v>13153851</v>
      </c>
      <c r="BC26" s="50">
        <v>1</v>
      </c>
      <c r="BI26" s="50">
        <v>1</v>
      </c>
      <c r="BJ26"/>
      <c r="BK26"/>
      <c r="BL26"/>
      <c r="BM26"/>
      <c r="BN26"/>
      <c r="BO26"/>
      <c r="BP26"/>
      <c r="BQ26"/>
      <c r="BR26"/>
      <c r="BS26"/>
      <c r="BT26"/>
      <c r="BU26"/>
      <c r="BV26"/>
      <c r="BW26"/>
      <c r="BX26"/>
      <c r="BY26"/>
      <c r="BZ26"/>
      <c r="CA26"/>
      <c r="CB26"/>
      <c r="CC26"/>
      <c r="CD26"/>
      <c r="CE26"/>
      <c r="CF26"/>
      <c r="CG26"/>
    </row>
    <row r="27" spans="1:85" s="50" customFormat="1" hidden="1">
      <c r="A27" s="50">
        <v>13148021</v>
      </c>
      <c r="W27" s="50">
        <v>2</v>
      </c>
      <c r="X27" s="50">
        <v>2</v>
      </c>
      <c r="Z27" s="52">
        <v>13153857</v>
      </c>
      <c r="AL27" s="50">
        <v>1</v>
      </c>
      <c r="BI27" s="50">
        <v>1</v>
      </c>
      <c r="BJ27"/>
      <c r="BK27"/>
      <c r="BL27"/>
      <c r="BM27"/>
      <c r="BN27"/>
      <c r="BO27"/>
      <c r="BP27"/>
      <c r="BQ27"/>
      <c r="BR27"/>
      <c r="BS27"/>
      <c r="BT27"/>
      <c r="BU27"/>
      <c r="BV27"/>
      <c r="BW27"/>
      <c r="BX27"/>
      <c r="BY27"/>
      <c r="BZ27"/>
      <c r="CA27"/>
      <c r="CB27"/>
      <c r="CC27"/>
      <c r="CD27"/>
      <c r="CE27"/>
      <c r="CF27"/>
      <c r="CG27"/>
    </row>
    <row r="28" spans="1:85" s="50" customFormat="1" hidden="1">
      <c r="A28" s="50">
        <v>13148104</v>
      </c>
      <c r="W28" s="50">
        <v>2</v>
      </c>
      <c r="X28" s="50">
        <v>2</v>
      </c>
      <c r="Z28" s="52">
        <v>13153883</v>
      </c>
      <c r="AL28" s="50">
        <v>1</v>
      </c>
      <c r="BI28" s="50">
        <v>1</v>
      </c>
      <c r="BJ28"/>
      <c r="BK28"/>
      <c r="BL28"/>
      <c r="BM28"/>
      <c r="BN28"/>
      <c r="BO28"/>
      <c r="BP28"/>
      <c r="BQ28"/>
      <c r="BR28"/>
      <c r="BS28"/>
      <c r="BT28"/>
      <c r="BU28"/>
      <c r="BV28"/>
      <c r="BW28"/>
      <c r="BX28"/>
      <c r="BY28"/>
      <c r="BZ28"/>
      <c r="CA28"/>
      <c r="CB28"/>
      <c r="CC28"/>
      <c r="CD28"/>
      <c r="CE28"/>
      <c r="CF28"/>
      <c r="CG28"/>
    </row>
    <row r="29" spans="1:85" s="50" customFormat="1" hidden="1">
      <c r="A29" s="50">
        <v>13151029</v>
      </c>
      <c r="M29" s="50">
        <v>1</v>
      </c>
      <c r="W29" s="50">
        <v>1</v>
      </c>
      <c r="X29" s="50">
        <v>2</v>
      </c>
      <c r="Z29" s="52">
        <v>13153903</v>
      </c>
      <c r="AX29" s="50">
        <v>1</v>
      </c>
      <c r="BI29" s="50">
        <v>1</v>
      </c>
      <c r="BJ29"/>
      <c r="BK29"/>
      <c r="BL29"/>
      <c r="BM29"/>
      <c r="BN29"/>
      <c r="BO29"/>
      <c r="BP29"/>
      <c r="BQ29"/>
      <c r="BR29"/>
      <c r="BS29"/>
      <c r="BT29"/>
      <c r="BU29"/>
      <c r="BV29"/>
      <c r="BW29"/>
      <c r="BX29"/>
      <c r="BY29"/>
      <c r="BZ29"/>
      <c r="CA29"/>
      <c r="CB29"/>
      <c r="CC29"/>
      <c r="CD29"/>
      <c r="CE29"/>
      <c r="CF29"/>
      <c r="CG29"/>
    </row>
    <row r="30" spans="1:85" s="50" customFormat="1" hidden="1">
      <c r="A30" s="50">
        <v>13151293</v>
      </c>
      <c r="W30" s="50">
        <v>2</v>
      </c>
      <c r="X30" s="50">
        <v>2</v>
      </c>
      <c r="Z30" s="52">
        <v>13208634</v>
      </c>
      <c r="AX30" s="50">
        <v>1</v>
      </c>
      <c r="BI30" s="50">
        <v>1</v>
      </c>
      <c r="BJ30"/>
      <c r="BK30"/>
      <c r="BL30"/>
      <c r="BM30"/>
      <c r="BN30"/>
      <c r="BO30"/>
      <c r="BP30"/>
      <c r="BQ30"/>
      <c r="BR30"/>
      <c r="BS30"/>
      <c r="BT30"/>
      <c r="BU30"/>
      <c r="BV30"/>
      <c r="BW30"/>
      <c r="BX30"/>
      <c r="BY30"/>
      <c r="BZ30"/>
      <c r="CA30"/>
      <c r="CB30"/>
      <c r="CC30"/>
      <c r="CD30"/>
      <c r="CE30"/>
      <c r="CF30"/>
      <c r="CG30"/>
    </row>
    <row r="31" spans="1:85" s="50" customFormat="1" hidden="1">
      <c r="A31" s="50">
        <v>13153843</v>
      </c>
      <c r="W31" s="50">
        <v>2</v>
      </c>
      <c r="X31" s="50">
        <v>2</v>
      </c>
      <c r="Z31" s="52">
        <v>13334991</v>
      </c>
      <c r="BH31" s="50">
        <v>1</v>
      </c>
      <c r="BI31" s="50">
        <v>1</v>
      </c>
      <c r="BJ31"/>
      <c r="BK31"/>
      <c r="BL31"/>
      <c r="BM31"/>
      <c r="BN31"/>
      <c r="BO31"/>
      <c r="BP31"/>
      <c r="BQ31"/>
      <c r="BR31"/>
      <c r="BS31"/>
      <c r="BT31"/>
      <c r="BU31"/>
      <c r="BV31"/>
      <c r="BW31"/>
      <c r="BX31"/>
      <c r="BY31"/>
      <c r="BZ31"/>
      <c r="CA31"/>
      <c r="CB31"/>
      <c r="CC31"/>
      <c r="CD31"/>
      <c r="CE31"/>
      <c r="CF31"/>
      <c r="CG31"/>
    </row>
    <row r="32" spans="1:85" s="50" customFormat="1" hidden="1">
      <c r="A32" s="50">
        <v>13153851</v>
      </c>
      <c r="W32" s="50">
        <v>2</v>
      </c>
      <c r="X32" s="50">
        <v>2</v>
      </c>
      <c r="Z32" s="52">
        <v>13337002</v>
      </c>
      <c r="AQ32" s="50">
        <v>1</v>
      </c>
      <c r="BI32" s="50">
        <v>1</v>
      </c>
      <c r="BJ32"/>
      <c r="BK32"/>
      <c r="BL32"/>
      <c r="BM32"/>
      <c r="BN32"/>
      <c r="BO32"/>
      <c r="BP32"/>
      <c r="BQ32"/>
      <c r="BR32"/>
      <c r="BS32"/>
      <c r="BT32"/>
      <c r="BU32"/>
      <c r="BV32"/>
      <c r="BW32"/>
      <c r="BX32"/>
      <c r="BY32"/>
      <c r="BZ32"/>
      <c r="CA32"/>
      <c r="CB32"/>
      <c r="CC32"/>
      <c r="CD32"/>
      <c r="CE32"/>
      <c r="CF32"/>
      <c r="CG32"/>
    </row>
    <row r="33" spans="1:85" s="50" customFormat="1" hidden="1">
      <c r="A33" s="50">
        <v>13153857</v>
      </c>
      <c r="M33" s="50">
        <v>1</v>
      </c>
      <c r="W33" s="50">
        <v>1</v>
      </c>
      <c r="X33" s="50">
        <v>2</v>
      </c>
      <c r="Z33" s="52">
        <v>13370665</v>
      </c>
      <c r="AM33" s="50">
        <v>1</v>
      </c>
      <c r="AX33" s="50">
        <v>1</v>
      </c>
      <c r="BI33" s="50">
        <v>2</v>
      </c>
      <c r="BJ33"/>
      <c r="BK33"/>
      <c r="BL33"/>
      <c r="BM33"/>
      <c r="BN33"/>
      <c r="BO33"/>
      <c r="BP33"/>
      <c r="BQ33"/>
      <c r="BR33"/>
      <c r="BS33"/>
      <c r="BT33"/>
      <c r="BU33"/>
      <c r="BV33"/>
      <c r="BW33"/>
      <c r="BX33"/>
      <c r="BY33"/>
      <c r="BZ33"/>
      <c r="CA33"/>
      <c r="CB33"/>
      <c r="CC33"/>
      <c r="CD33"/>
      <c r="CE33"/>
      <c r="CF33"/>
      <c r="CG33"/>
    </row>
    <row r="34" spans="1:85" s="50" customFormat="1" hidden="1">
      <c r="A34" s="50">
        <v>13153883</v>
      </c>
      <c r="M34" s="50">
        <v>1</v>
      </c>
      <c r="W34" s="50">
        <v>1</v>
      </c>
      <c r="X34" s="50">
        <v>2</v>
      </c>
      <c r="Z34" s="52">
        <v>13371135</v>
      </c>
      <c r="AX34" s="50">
        <v>1</v>
      </c>
      <c r="BI34" s="50">
        <v>1</v>
      </c>
      <c r="BJ34"/>
      <c r="BK34"/>
      <c r="BL34"/>
      <c r="BM34"/>
      <c r="BN34"/>
      <c r="BO34"/>
      <c r="BP34"/>
      <c r="BQ34"/>
      <c r="BR34"/>
      <c r="BS34"/>
      <c r="BT34"/>
      <c r="BU34"/>
      <c r="BV34"/>
      <c r="BW34"/>
      <c r="BX34"/>
      <c r="BY34"/>
      <c r="BZ34"/>
      <c r="CA34"/>
      <c r="CB34"/>
      <c r="CC34"/>
      <c r="CD34"/>
      <c r="CE34"/>
      <c r="CF34"/>
      <c r="CG34"/>
    </row>
    <row r="35" spans="1:85" s="50" customFormat="1" hidden="1">
      <c r="A35" s="50">
        <v>13153903</v>
      </c>
      <c r="V35" s="50">
        <v>1</v>
      </c>
      <c r="W35" s="50">
        <v>1</v>
      </c>
      <c r="X35" s="50">
        <v>2</v>
      </c>
      <c r="Z35" s="52">
        <v>13377818</v>
      </c>
      <c r="AL35" s="50">
        <v>1</v>
      </c>
      <c r="BI35" s="50">
        <v>1</v>
      </c>
      <c r="BJ35"/>
      <c r="BK35"/>
      <c r="BL35"/>
      <c r="BM35"/>
      <c r="BN35"/>
      <c r="BO35"/>
      <c r="BP35"/>
      <c r="BQ35"/>
      <c r="BR35"/>
      <c r="BS35"/>
      <c r="BT35"/>
      <c r="BU35"/>
      <c r="BV35"/>
      <c r="BW35"/>
      <c r="BX35"/>
      <c r="BY35"/>
      <c r="BZ35"/>
      <c r="CA35"/>
      <c r="CB35"/>
      <c r="CC35"/>
      <c r="CD35"/>
      <c r="CE35"/>
      <c r="CF35"/>
      <c r="CG35"/>
    </row>
    <row r="36" spans="1:85" s="50" customFormat="1" hidden="1">
      <c r="A36" s="50">
        <v>13186012</v>
      </c>
      <c r="R36" s="50">
        <v>2</v>
      </c>
      <c r="X36" s="50">
        <v>2</v>
      </c>
      <c r="Z36" s="52">
        <v>13389252</v>
      </c>
      <c r="BB36" s="50">
        <v>1</v>
      </c>
      <c r="BI36" s="50">
        <v>1</v>
      </c>
      <c r="BJ36"/>
      <c r="BK36"/>
      <c r="BL36"/>
      <c r="BM36"/>
      <c r="BN36"/>
      <c r="BO36"/>
      <c r="BP36"/>
      <c r="BQ36"/>
      <c r="BR36"/>
      <c r="BS36"/>
      <c r="BT36"/>
      <c r="BU36"/>
      <c r="BV36"/>
      <c r="BW36"/>
      <c r="BX36"/>
      <c r="BY36"/>
      <c r="BZ36"/>
      <c r="CA36"/>
      <c r="CB36"/>
      <c r="CC36"/>
      <c r="CD36"/>
      <c r="CE36"/>
      <c r="CF36"/>
      <c r="CG36"/>
    </row>
    <row r="37" spans="1:85" s="50" customFormat="1" hidden="1">
      <c r="A37" s="50">
        <v>13208634</v>
      </c>
      <c r="V37" s="50">
        <v>1</v>
      </c>
      <c r="W37" s="50">
        <v>1</v>
      </c>
      <c r="X37" s="50">
        <v>2</v>
      </c>
      <c r="Z37" s="52">
        <v>13389810</v>
      </c>
      <c r="BB37" s="50">
        <v>1</v>
      </c>
      <c r="BI37" s="50">
        <v>1</v>
      </c>
      <c r="BJ37"/>
      <c r="BK37"/>
      <c r="BL37"/>
      <c r="BM37"/>
      <c r="BN37"/>
      <c r="BO37"/>
      <c r="BP37"/>
      <c r="BQ37"/>
      <c r="BR37"/>
      <c r="BS37"/>
      <c r="BT37"/>
      <c r="BU37"/>
      <c r="BV37"/>
      <c r="BW37"/>
      <c r="BX37"/>
      <c r="BY37"/>
      <c r="BZ37"/>
      <c r="CA37"/>
      <c r="CB37"/>
      <c r="CC37"/>
      <c r="CD37"/>
      <c r="CE37"/>
      <c r="CF37"/>
      <c r="CG37"/>
    </row>
    <row r="38" spans="1:85" s="50" customFormat="1" hidden="1">
      <c r="A38" s="50">
        <v>13274796</v>
      </c>
      <c r="N38" s="50">
        <v>1</v>
      </c>
      <c r="P38" s="50">
        <v>1</v>
      </c>
      <c r="X38" s="50">
        <v>2</v>
      </c>
      <c r="Z38" s="52">
        <v>13444612</v>
      </c>
      <c r="BE38" s="50">
        <v>1</v>
      </c>
      <c r="BI38" s="50">
        <v>1</v>
      </c>
      <c r="BJ38"/>
      <c r="BK38"/>
      <c r="BL38"/>
      <c r="BM38"/>
      <c r="BN38"/>
      <c r="BO38"/>
      <c r="BP38"/>
      <c r="BQ38"/>
      <c r="BR38"/>
      <c r="BS38"/>
      <c r="BT38"/>
      <c r="BU38"/>
      <c r="BV38"/>
      <c r="BW38"/>
      <c r="BX38"/>
      <c r="BY38"/>
      <c r="BZ38"/>
      <c r="CA38"/>
      <c r="CB38"/>
      <c r="CC38"/>
      <c r="CD38"/>
      <c r="CE38"/>
      <c r="CF38"/>
      <c r="CG38"/>
    </row>
    <row r="39" spans="1:85" s="50" customFormat="1" hidden="1">
      <c r="A39" s="50">
        <v>13334991</v>
      </c>
      <c r="W39" s="50">
        <v>2</v>
      </c>
      <c r="X39" s="50">
        <v>2</v>
      </c>
      <c r="Z39" s="52">
        <v>13471498</v>
      </c>
      <c r="AT39" s="50">
        <v>1</v>
      </c>
      <c r="BI39" s="50">
        <v>1</v>
      </c>
      <c r="BJ39"/>
      <c r="BK39"/>
      <c r="BL39"/>
      <c r="BM39"/>
      <c r="BN39"/>
      <c r="BO39"/>
      <c r="BP39"/>
      <c r="BQ39"/>
      <c r="BR39"/>
      <c r="BS39"/>
      <c r="BT39"/>
      <c r="BU39"/>
      <c r="BV39"/>
      <c r="BW39"/>
      <c r="BX39"/>
      <c r="BY39"/>
      <c r="BZ39"/>
      <c r="CA39"/>
      <c r="CB39"/>
      <c r="CC39"/>
      <c r="CD39"/>
      <c r="CE39"/>
      <c r="CF39"/>
      <c r="CG39"/>
    </row>
    <row r="40" spans="1:85" s="50" customFormat="1" hidden="1">
      <c r="A40" s="50">
        <v>13337002</v>
      </c>
      <c r="B40" s="50">
        <v>1</v>
      </c>
      <c r="W40" s="50">
        <v>1</v>
      </c>
      <c r="X40" s="50">
        <v>2</v>
      </c>
      <c r="Z40" s="52">
        <v>13514281</v>
      </c>
      <c r="AH40" s="50">
        <v>1</v>
      </c>
      <c r="BI40" s="50">
        <v>1</v>
      </c>
      <c r="BJ40"/>
      <c r="BK40"/>
      <c r="BL40"/>
      <c r="BM40"/>
      <c r="BN40"/>
      <c r="BO40"/>
      <c r="BP40"/>
      <c r="BQ40"/>
      <c r="BR40"/>
      <c r="BS40"/>
      <c r="BT40"/>
      <c r="BU40"/>
      <c r="BV40"/>
      <c r="BW40"/>
      <c r="BX40"/>
      <c r="BY40"/>
      <c r="BZ40"/>
      <c r="CA40"/>
      <c r="CB40"/>
      <c r="CC40"/>
      <c r="CD40"/>
      <c r="CE40"/>
      <c r="CF40"/>
      <c r="CG40"/>
    </row>
    <row r="41" spans="1:85" s="50" customFormat="1" hidden="1">
      <c r="A41" s="50">
        <v>13370665</v>
      </c>
      <c r="W41" s="50">
        <v>2</v>
      </c>
      <c r="X41" s="50">
        <v>2</v>
      </c>
      <c r="Z41" s="52">
        <v>13530028</v>
      </c>
      <c r="AM41" s="50">
        <v>1</v>
      </c>
      <c r="BI41" s="50">
        <v>1</v>
      </c>
      <c r="BJ41"/>
      <c r="BK41"/>
      <c r="BL41"/>
      <c r="BM41"/>
      <c r="BN41"/>
      <c r="BO41"/>
      <c r="BP41"/>
      <c r="BQ41"/>
      <c r="BR41"/>
      <c r="BS41"/>
      <c r="BT41"/>
      <c r="BU41"/>
      <c r="BV41"/>
      <c r="BW41"/>
      <c r="BX41"/>
      <c r="BY41"/>
      <c r="BZ41"/>
      <c r="CA41"/>
      <c r="CB41"/>
      <c r="CC41"/>
      <c r="CD41"/>
      <c r="CE41"/>
      <c r="CF41"/>
      <c r="CG41"/>
    </row>
    <row r="42" spans="1:85" s="50" customFormat="1" hidden="1">
      <c r="A42" s="50">
        <v>13371135</v>
      </c>
      <c r="W42" s="50">
        <v>2</v>
      </c>
      <c r="X42" s="50">
        <v>2</v>
      </c>
      <c r="Z42" s="52">
        <v>13532541</v>
      </c>
      <c r="AX42" s="50">
        <v>1</v>
      </c>
      <c r="BI42" s="50">
        <v>1</v>
      </c>
      <c r="BJ42"/>
      <c r="BK42"/>
      <c r="BL42"/>
      <c r="BM42"/>
      <c r="BN42"/>
      <c r="BO42"/>
      <c r="BP42"/>
      <c r="BQ42"/>
      <c r="BR42"/>
      <c r="BS42"/>
      <c r="BT42"/>
      <c r="BU42"/>
      <c r="BV42"/>
      <c r="BW42"/>
      <c r="BX42"/>
      <c r="BY42"/>
      <c r="BZ42"/>
      <c r="CA42"/>
      <c r="CB42"/>
      <c r="CC42"/>
      <c r="CD42"/>
      <c r="CE42"/>
      <c r="CF42"/>
      <c r="CG42"/>
    </row>
    <row r="43" spans="1:85" s="50" customFormat="1" hidden="1">
      <c r="A43" s="50">
        <v>13377807</v>
      </c>
      <c r="W43" s="50">
        <v>2</v>
      </c>
      <c r="X43" s="50">
        <v>2</v>
      </c>
      <c r="Z43" s="52">
        <v>13543919</v>
      </c>
      <c r="AT43" s="50">
        <v>1</v>
      </c>
      <c r="BI43" s="50">
        <v>1</v>
      </c>
      <c r="BJ43"/>
      <c r="BK43"/>
      <c r="BL43"/>
      <c r="BM43"/>
      <c r="BN43"/>
      <c r="BO43"/>
      <c r="BP43"/>
      <c r="BQ43"/>
      <c r="BR43"/>
      <c r="BS43"/>
      <c r="BT43"/>
      <c r="BU43"/>
      <c r="BV43"/>
      <c r="BW43"/>
      <c r="BX43"/>
      <c r="BY43"/>
      <c r="BZ43"/>
      <c r="CA43"/>
      <c r="CB43"/>
      <c r="CC43"/>
      <c r="CD43"/>
      <c r="CE43"/>
      <c r="CF43"/>
      <c r="CG43"/>
    </row>
    <row r="44" spans="1:85" s="50" customFormat="1" hidden="1">
      <c r="A44" s="50">
        <v>13377818</v>
      </c>
      <c r="M44" s="50">
        <v>1</v>
      </c>
      <c r="W44" s="50">
        <v>1</v>
      </c>
      <c r="X44" s="50">
        <v>2</v>
      </c>
      <c r="Z44" s="52">
        <v>13543932</v>
      </c>
      <c r="AQ44" s="50">
        <v>1</v>
      </c>
      <c r="BI44" s="50">
        <v>1</v>
      </c>
      <c r="BJ44"/>
      <c r="BK44"/>
      <c r="BL44"/>
      <c r="BM44"/>
      <c r="BN44"/>
      <c r="BO44"/>
      <c r="BP44"/>
      <c r="BQ44"/>
      <c r="BR44"/>
      <c r="BS44"/>
      <c r="BT44"/>
      <c r="BU44"/>
      <c r="BV44"/>
      <c r="BW44"/>
      <c r="BX44"/>
      <c r="BY44"/>
      <c r="BZ44"/>
      <c r="CA44"/>
      <c r="CB44"/>
      <c r="CC44"/>
      <c r="CD44"/>
      <c r="CE44"/>
      <c r="CF44"/>
      <c r="CG44"/>
    </row>
    <row r="45" spans="1:85" s="50" customFormat="1" hidden="1">
      <c r="A45" s="50">
        <v>13377821</v>
      </c>
      <c r="W45" s="50">
        <v>2</v>
      </c>
      <c r="X45" s="50">
        <v>2</v>
      </c>
      <c r="Z45" s="52">
        <v>13590634</v>
      </c>
      <c r="BF45" s="50">
        <v>1</v>
      </c>
      <c r="BI45" s="50">
        <v>1</v>
      </c>
      <c r="BJ45"/>
      <c r="BK45"/>
      <c r="BL45"/>
      <c r="BM45"/>
      <c r="BN45"/>
      <c r="BO45"/>
      <c r="BP45"/>
      <c r="BQ45"/>
      <c r="BR45"/>
      <c r="BS45"/>
      <c r="BT45"/>
      <c r="BU45"/>
      <c r="BV45"/>
      <c r="BW45"/>
      <c r="BX45"/>
      <c r="BY45"/>
      <c r="BZ45"/>
      <c r="CA45"/>
      <c r="CB45"/>
      <c r="CC45"/>
      <c r="CD45"/>
      <c r="CE45"/>
      <c r="CF45"/>
      <c r="CG45"/>
    </row>
    <row r="46" spans="1:85" s="50" customFormat="1" hidden="1">
      <c r="A46" s="50">
        <v>13389252</v>
      </c>
      <c r="W46" s="50">
        <v>2</v>
      </c>
      <c r="X46" s="50">
        <v>2</v>
      </c>
      <c r="Z46" s="52">
        <v>13608762</v>
      </c>
      <c r="BC46" s="50">
        <v>1</v>
      </c>
      <c r="BI46" s="50">
        <v>1</v>
      </c>
      <c r="BJ46"/>
      <c r="BK46"/>
      <c r="BL46"/>
      <c r="BM46"/>
      <c r="BN46"/>
      <c r="BO46"/>
      <c r="BP46"/>
      <c r="BQ46"/>
      <c r="BR46"/>
      <c r="BS46"/>
      <c r="BT46"/>
      <c r="BU46"/>
      <c r="BV46"/>
      <c r="BW46"/>
      <c r="BX46"/>
      <c r="BY46"/>
      <c r="BZ46"/>
      <c r="CA46"/>
      <c r="CB46"/>
      <c r="CC46"/>
      <c r="CD46"/>
      <c r="CE46"/>
      <c r="CF46"/>
      <c r="CG46"/>
    </row>
    <row r="47" spans="1:85" s="50" customFormat="1" hidden="1">
      <c r="A47" s="50">
        <v>13389810</v>
      </c>
      <c r="R47" s="50">
        <v>1</v>
      </c>
      <c r="W47" s="50">
        <v>1</v>
      </c>
      <c r="X47" s="50">
        <v>2</v>
      </c>
      <c r="Z47" s="52">
        <v>13665891</v>
      </c>
      <c r="AO47" s="50">
        <v>1</v>
      </c>
      <c r="BI47" s="50">
        <v>1</v>
      </c>
      <c r="BJ47"/>
      <c r="BK47"/>
      <c r="BL47"/>
      <c r="BM47"/>
      <c r="BN47"/>
      <c r="BO47"/>
      <c r="BP47"/>
      <c r="BQ47"/>
      <c r="BR47"/>
      <c r="BS47"/>
      <c r="BT47"/>
      <c r="BU47"/>
      <c r="BV47"/>
      <c r="BW47"/>
      <c r="BX47"/>
      <c r="BY47"/>
      <c r="BZ47"/>
      <c r="CA47"/>
      <c r="CB47"/>
      <c r="CC47"/>
      <c r="CD47"/>
      <c r="CE47"/>
      <c r="CF47"/>
      <c r="CG47"/>
    </row>
    <row r="48" spans="1:85" s="50" customFormat="1" hidden="1">
      <c r="A48" s="50">
        <v>13404939</v>
      </c>
      <c r="W48" s="50">
        <v>2</v>
      </c>
      <c r="X48" s="50">
        <v>2</v>
      </c>
      <c r="Z48" s="52">
        <v>13665944</v>
      </c>
      <c r="BA48" s="50">
        <v>1</v>
      </c>
      <c r="BI48" s="50">
        <v>1</v>
      </c>
      <c r="BJ48"/>
      <c r="BK48"/>
      <c r="BL48"/>
      <c r="BM48"/>
      <c r="BN48"/>
      <c r="BO48"/>
      <c r="BP48"/>
      <c r="BQ48"/>
      <c r="BR48"/>
      <c r="BS48"/>
      <c r="BT48"/>
      <c r="BU48"/>
      <c r="BV48"/>
      <c r="BW48"/>
      <c r="BX48"/>
      <c r="BY48"/>
      <c r="BZ48"/>
      <c r="CA48"/>
      <c r="CB48"/>
      <c r="CC48"/>
      <c r="CD48"/>
      <c r="CE48"/>
      <c r="CF48"/>
      <c r="CG48"/>
    </row>
    <row r="49" spans="1:85" s="50" customFormat="1" hidden="1">
      <c r="A49" s="50">
        <v>13414130</v>
      </c>
      <c r="G49" s="50">
        <v>1</v>
      </c>
      <c r="R49" s="50">
        <v>1</v>
      </c>
      <c r="X49" s="50">
        <v>2</v>
      </c>
      <c r="Z49" s="52">
        <v>13665988</v>
      </c>
      <c r="AR49" s="50">
        <v>1</v>
      </c>
      <c r="BI49" s="50">
        <v>1</v>
      </c>
      <c r="BJ49"/>
      <c r="BK49"/>
      <c r="BL49"/>
      <c r="BM49"/>
      <c r="BN49"/>
      <c r="BO49"/>
      <c r="BP49"/>
      <c r="BQ49"/>
      <c r="BR49"/>
      <c r="BS49"/>
      <c r="BT49"/>
      <c r="BU49"/>
      <c r="BV49"/>
      <c r="BW49"/>
      <c r="BX49"/>
      <c r="BY49"/>
      <c r="BZ49"/>
      <c r="CA49"/>
      <c r="CB49"/>
      <c r="CC49"/>
      <c r="CD49"/>
      <c r="CE49"/>
      <c r="CF49"/>
      <c r="CG49"/>
    </row>
    <row r="50" spans="1:85" s="50" customFormat="1" hidden="1">
      <c r="A50" s="50">
        <v>13424248</v>
      </c>
      <c r="D50" s="50">
        <v>1</v>
      </c>
      <c r="N50" s="50">
        <v>1</v>
      </c>
      <c r="X50" s="50">
        <v>2</v>
      </c>
      <c r="Z50" s="52">
        <v>13718960</v>
      </c>
      <c r="AY50" s="50">
        <v>1</v>
      </c>
      <c r="BI50" s="50">
        <v>1</v>
      </c>
      <c r="BJ50"/>
      <c r="BK50"/>
      <c r="BL50"/>
      <c r="BM50"/>
      <c r="BN50"/>
      <c r="BO50"/>
      <c r="BP50"/>
      <c r="BQ50"/>
      <c r="BR50"/>
      <c r="BS50"/>
      <c r="BT50"/>
      <c r="BU50"/>
      <c r="BV50"/>
      <c r="BW50"/>
      <c r="BX50"/>
      <c r="BY50"/>
      <c r="BZ50"/>
      <c r="CA50"/>
      <c r="CB50"/>
      <c r="CC50"/>
      <c r="CD50"/>
      <c r="CE50"/>
      <c r="CF50"/>
      <c r="CG50"/>
    </row>
    <row r="51" spans="1:85" s="50" customFormat="1" hidden="1">
      <c r="A51" s="50">
        <v>13444612</v>
      </c>
      <c r="W51" s="50">
        <v>2</v>
      </c>
      <c r="X51" s="50">
        <v>2</v>
      </c>
      <c r="Z51" s="52">
        <v>13743222</v>
      </c>
      <c r="AD51" s="50">
        <v>1</v>
      </c>
      <c r="BI51" s="50">
        <v>1</v>
      </c>
      <c r="BJ51"/>
      <c r="BK51"/>
      <c r="BL51"/>
      <c r="BM51"/>
      <c r="BN51"/>
      <c r="BO51"/>
      <c r="BP51"/>
      <c r="BQ51"/>
      <c r="BR51"/>
      <c r="BS51"/>
      <c r="BT51"/>
      <c r="BU51"/>
      <c r="BV51"/>
      <c r="BW51"/>
      <c r="BX51"/>
      <c r="BY51"/>
      <c r="BZ51"/>
      <c r="CA51"/>
      <c r="CB51"/>
      <c r="CC51"/>
      <c r="CD51"/>
      <c r="CE51"/>
      <c r="CF51"/>
      <c r="CG51"/>
    </row>
    <row r="52" spans="1:85" s="50" customFormat="1" hidden="1">
      <c r="A52" s="50">
        <v>13471498</v>
      </c>
      <c r="W52" s="50">
        <v>2</v>
      </c>
      <c r="X52" s="50">
        <v>2</v>
      </c>
      <c r="Z52" s="52">
        <v>13751560</v>
      </c>
      <c r="BD52" s="50">
        <v>1</v>
      </c>
      <c r="BH52" s="50">
        <v>1</v>
      </c>
      <c r="BI52" s="50">
        <v>2</v>
      </c>
      <c r="BJ52"/>
      <c r="BK52"/>
      <c r="BL52"/>
      <c r="BM52"/>
      <c r="BN52"/>
      <c r="BO52"/>
      <c r="BP52"/>
      <c r="BQ52"/>
      <c r="BR52"/>
      <c r="BS52"/>
      <c r="BT52"/>
      <c r="BU52"/>
      <c r="BV52"/>
      <c r="BW52"/>
      <c r="BX52"/>
      <c r="BY52"/>
      <c r="BZ52"/>
      <c r="CA52"/>
      <c r="CB52"/>
      <c r="CC52"/>
      <c r="CD52"/>
      <c r="CE52"/>
      <c r="CF52"/>
      <c r="CG52"/>
    </row>
    <row r="53" spans="1:85" s="50" customFormat="1" hidden="1">
      <c r="A53" s="50">
        <v>13471500</v>
      </c>
      <c r="L53" s="50">
        <v>1</v>
      </c>
      <c r="X53" s="50">
        <v>1</v>
      </c>
      <c r="Z53" s="52">
        <v>13779220</v>
      </c>
      <c r="BG53" s="50">
        <v>1</v>
      </c>
      <c r="BI53" s="50">
        <v>1</v>
      </c>
      <c r="BJ53"/>
      <c r="BK53"/>
      <c r="BL53"/>
      <c r="BM53"/>
      <c r="BN53"/>
      <c r="BO53"/>
      <c r="BP53"/>
      <c r="BQ53"/>
      <c r="BR53"/>
      <c r="BS53"/>
      <c r="BT53"/>
      <c r="BU53"/>
      <c r="BV53"/>
      <c r="BW53"/>
      <c r="BX53"/>
      <c r="BY53"/>
      <c r="BZ53"/>
      <c r="CA53"/>
      <c r="CB53"/>
      <c r="CC53"/>
      <c r="CD53"/>
      <c r="CE53"/>
      <c r="CF53"/>
      <c r="CG53"/>
    </row>
    <row r="54" spans="1:85" s="50" customFormat="1" hidden="1">
      <c r="A54" s="50">
        <v>13477734</v>
      </c>
      <c r="R54" s="50">
        <v>2</v>
      </c>
      <c r="X54" s="50">
        <v>2</v>
      </c>
      <c r="Z54" s="52">
        <v>13850037</v>
      </c>
      <c r="AT54" s="50">
        <v>1</v>
      </c>
      <c r="BI54" s="50">
        <v>1</v>
      </c>
      <c r="BJ54"/>
      <c r="BK54"/>
      <c r="BL54"/>
      <c r="BM54"/>
      <c r="BN54"/>
      <c r="BO54"/>
      <c r="BP54"/>
      <c r="BQ54"/>
      <c r="BR54"/>
      <c r="BS54"/>
      <c r="BT54"/>
      <c r="BU54"/>
      <c r="BV54"/>
      <c r="BW54"/>
      <c r="BX54"/>
      <c r="BY54"/>
      <c r="BZ54"/>
      <c r="CA54"/>
      <c r="CB54"/>
      <c r="CC54"/>
      <c r="CD54"/>
      <c r="CE54"/>
      <c r="CF54"/>
      <c r="CG54"/>
    </row>
    <row r="55" spans="1:85" s="50" customFormat="1" hidden="1">
      <c r="A55" s="50">
        <v>13480513</v>
      </c>
      <c r="B55" s="50">
        <v>2</v>
      </c>
      <c r="X55" s="50">
        <v>2</v>
      </c>
      <c r="Z55" s="52">
        <v>13895158</v>
      </c>
      <c r="AX55" s="50">
        <v>1</v>
      </c>
      <c r="BI55" s="50">
        <v>1</v>
      </c>
      <c r="BJ55"/>
      <c r="BK55"/>
      <c r="BL55"/>
      <c r="BM55"/>
      <c r="BN55"/>
      <c r="BO55"/>
      <c r="BP55"/>
      <c r="BQ55"/>
      <c r="BR55"/>
      <c r="BS55"/>
      <c r="BT55"/>
      <c r="BU55"/>
      <c r="BV55"/>
      <c r="BW55"/>
      <c r="BX55"/>
      <c r="BY55"/>
      <c r="BZ55"/>
      <c r="CA55"/>
      <c r="CB55"/>
      <c r="CC55"/>
      <c r="CD55"/>
      <c r="CE55"/>
      <c r="CF55"/>
      <c r="CG55"/>
    </row>
    <row r="56" spans="1:85" s="50" customFormat="1" hidden="1">
      <c r="A56" s="50">
        <v>13514281</v>
      </c>
      <c r="R56" s="50">
        <v>1</v>
      </c>
      <c r="W56" s="50">
        <v>1</v>
      </c>
      <c r="X56" s="50">
        <v>2</v>
      </c>
      <c r="Z56" s="52">
        <v>14026935</v>
      </c>
      <c r="BD56" s="50">
        <v>1</v>
      </c>
      <c r="BH56" s="50">
        <v>1</v>
      </c>
      <c r="BI56" s="50">
        <v>2</v>
      </c>
      <c r="BJ56"/>
      <c r="BK56"/>
      <c r="BL56"/>
      <c r="BM56"/>
      <c r="BN56"/>
      <c r="BO56"/>
      <c r="BP56"/>
      <c r="BQ56"/>
      <c r="BR56"/>
      <c r="BS56"/>
      <c r="BT56"/>
      <c r="BU56"/>
      <c r="BV56"/>
      <c r="BW56"/>
      <c r="BX56"/>
      <c r="BY56"/>
      <c r="BZ56"/>
      <c r="CA56"/>
      <c r="CB56"/>
      <c r="CC56"/>
      <c r="CD56"/>
      <c r="CE56"/>
      <c r="CF56"/>
      <c r="CG56"/>
    </row>
    <row r="57" spans="1:85" s="50" customFormat="1" hidden="1">
      <c r="A57" s="50">
        <v>13530028</v>
      </c>
      <c r="W57" s="50">
        <v>2</v>
      </c>
      <c r="X57" s="50">
        <v>2</v>
      </c>
      <c r="Z57" s="52">
        <v>14063837</v>
      </c>
      <c r="BF57" s="50">
        <v>1</v>
      </c>
      <c r="BI57" s="50">
        <v>1</v>
      </c>
      <c r="BJ57"/>
      <c r="BK57"/>
      <c r="BL57"/>
      <c r="BM57"/>
      <c r="BN57"/>
      <c r="BO57"/>
      <c r="BP57"/>
      <c r="BQ57"/>
      <c r="BR57"/>
      <c r="BS57"/>
      <c r="BT57"/>
      <c r="BU57"/>
      <c r="BV57"/>
      <c r="BW57"/>
      <c r="BX57"/>
      <c r="BY57"/>
      <c r="BZ57"/>
      <c r="CA57"/>
      <c r="CB57"/>
      <c r="CC57"/>
      <c r="CD57"/>
      <c r="CE57"/>
      <c r="CF57"/>
      <c r="CG57"/>
    </row>
    <row r="58" spans="1:85" s="50" customFormat="1" hidden="1">
      <c r="A58" s="50">
        <v>13532541</v>
      </c>
      <c r="W58" s="50">
        <v>2</v>
      </c>
      <c r="X58" s="50">
        <v>2</v>
      </c>
      <c r="Z58" s="52">
        <v>14114589</v>
      </c>
      <c r="AE58" s="50">
        <v>1</v>
      </c>
      <c r="BI58" s="50">
        <v>1</v>
      </c>
      <c r="BJ58"/>
      <c r="BK58"/>
      <c r="BL58"/>
      <c r="BM58"/>
      <c r="BN58"/>
      <c r="BO58"/>
      <c r="BP58"/>
      <c r="BQ58"/>
      <c r="BR58"/>
      <c r="BS58"/>
      <c r="BT58"/>
      <c r="BU58"/>
      <c r="BV58"/>
      <c r="BW58"/>
      <c r="BX58"/>
      <c r="BY58"/>
      <c r="BZ58"/>
      <c r="CA58"/>
      <c r="CB58"/>
      <c r="CC58"/>
      <c r="CD58"/>
      <c r="CE58"/>
      <c r="CF58"/>
      <c r="CG58"/>
    </row>
    <row r="59" spans="1:85" s="50" customFormat="1" hidden="1">
      <c r="A59" s="50">
        <v>13543919</v>
      </c>
      <c r="W59" s="50">
        <v>2</v>
      </c>
      <c r="X59" s="50">
        <v>2</v>
      </c>
      <c r="Z59" s="52">
        <v>14127834</v>
      </c>
      <c r="AT59" s="50">
        <v>1</v>
      </c>
      <c r="BI59" s="50">
        <v>1</v>
      </c>
      <c r="BJ59"/>
      <c r="BK59"/>
      <c r="BL59"/>
      <c r="BM59"/>
      <c r="BN59"/>
      <c r="BO59"/>
      <c r="BP59"/>
      <c r="BQ59"/>
      <c r="BR59"/>
      <c r="BS59"/>
      <c r="BT59"/>
      <c r="BU59"/>
      <c r="BV59"/>
      <c r="BW59"/>
      <c r="BX59"/>
      <c r="BY59"/>
      <c r="BZ59"/>
      <c r="CA59"/>
      <c r="CB59"/>
      <c r="CC59"/>
      <c r="CD59"/>
      <c r="CE59"/>
      <c r="CF59"/>
      <c r="CG59"/>
    </row>
    <row r="60" spans="1:85" s="50" customFormat="1" hidden="1">
      <c r="A60" s="50">
        <v>13543932</v>
      </c>
      <c r="B60" s="50">
        <v>1</v>
      </c>
      <c r="W60" s="50">
        <v>1</v>
      </c>
      <c r="X60" s="50">
        <v>2</v>
      </c>
      <c r="Z60" s="52">
        <v>14135946</v>
      </c>
      <c r="AX60" s="50">
        <v>1</v>
      </c>
      <c r="BI60" s="50">
        <v>1</v>
      </c>
      <c r="BJ60"/>
      <c r="BK60"/>
      <c r="BL60"/>
      <c r="BM60"/>
      <c r="BN60"/>
      <c r="BO60"/>
      <c r="BP60"/>
      <c r="BQ60"/>
      <c r="BR60"/>
      <c r="BS60"/>
      <c r="BT60"/>
      <c r="BU60"/>
      <c r="BV60"/>
      <c r="BW60"/>
      <c r="BX60"/>
      <c r="BY60"/>
      <c r="BZ60"/>
      <c r="CA60"/>
      <c r="CB60"/>
      <c r="CC60"/>
      <c r="CD60"/>
      <c r="CE60"/>
      <c r="CF60"/>
      <c r="CG60"/>
    </row>
    <row r="61" spans="1:85" s="50" customFormat="1" hidden="1">
      <c r="A61" s="50">
        <v>13579065</v>
      </c>
      <c r="R61" s="50">
        <v>1</v>
      </c>
      <c r="W61" s="50">
        <v>1</v>
      </c>
      <c r="X61" s="50">
        <v>2</v>
      </c>
      <c r="Z61" s="52">
        <v>14135947</v>
      </c>
      <c r="AX61" s="50">
        <v>1</v>
      </c>
      <c r="BI61" s="50">
        <v>1</v>
      </c>
      <c r="BJ61"/>
      <c r="BK61"/>
      <c r="BL61"/>
      <c r="BM61"/>
      <c r="BN61"/>
      <c r="BO61"/>
      <c r="BP61"/>
      <c r="BQ61"/>
      <c r="BR61"/>
      <c r="BS61"/>
      <c r="BT61"/>
      <c r="BU61"/>
      <c r="BV61"/>
      <c r="BW61"/>
      <c r="BX61"/>
      <c r="BY61"/>
      <c r="BZ61"/>
      <c r="CA61"/>
      <c r="CB61"/>
      <c r="CC61"/>
      <c r="CD61"/>
      <c r="CE61"/>
      <c r="CF61"/>
      <c r="CG61"/>
    </row>
    <row r="62" spans="1:85" s="50" customFormat="1" hidden="1">
      <c r="A62" s="50">
        <v>13590592</v>
      </c>
      <c r="R62" s="50">
        <v>2</v>
      </c>
      <c r="X62" s="50">
        <v>2</v>
      </c>
      <c r="Z62" s="52">
        <v>14135953</v>
      </c>
      <c r="AF62" s="50">
        <v>1</v>
      </c>
      <c r="BI62" s="50">
        <v>1</v>
      </c>
      <c r="BJ62"/>
      <c r="BK62"/>
      <c r="BL62"/>
      <c r="BM62"/>
      <c r="BN62"/>
      <c r="BO62"/>
      <c r="BP62"/>
      <c r="BQ62"/>
      <c r="BR62"/>
      <c r="BS62"/>
      <c r="BT62"/>
      <c r="BU62"/>
      <c r="BV62"/>
      <c r="BW62"/>
      <c r="BX62"/>
      <c r="BY62"/>
      <c r="BZ62"/>
      <c r="CA62"/>
      <c r="CB62"/>
      <c r="CC62"/>
      <c r="CD62"/>
      <c r="CE62"/>
      <c r="CF62"/>
      <c r="CG62"/>
    </row>
    <row r="63" spans="1:85" s="50" customFormat="1" hidden="1">
      <c r="A63" s="50">
        <v>13590634</v>
      </c>
      <c r="W63" s="50">
        <v>1</v>
      </c>
      <c r="X63" s="50">
        <v>1</v>
      </c>
      <c r="Z63" s="52">
        <v>14160848</v>
      </c>
      <c r="AQ63" s="50">
        <v>1</v>
      </c>
      <c r="BI63" s="50">
        <v>1</v>
      </c>
      <c r="BJ63"/>
      <c r="BK63"/>
      <c r="BL63"/>
      <c r="BM63"/>
      <c r="BN63"/>
      <c r="BO63"/>
      <c r="BP63"/>
      <c r="BQ63"/>
      <c r="BR63"/>
      <c r="BS63"/>
      <c r="BT63"/>
      <c r="BU63"/>
      <c r="BV63"/>
      <c r="BW63"/>
      <c r="BX63"/>
      <c r="BY63"/>
      <c r="BZ63"/>
      <c r="CA63"/>
      <c r="CB63"/>
      <c r="CC63"/>
      <c r="CD63"/>
      <c r="CE63"/>
      <c r="CF63"/>
      <c r="CG63"/>
    </row>
    <row r="64" spans="1:85" s="50" customFormat="1" hidden="1">
      <c r="A64" s="50">
        <v>13608762</v>
      </c>
      <c r="Q64" s="50">
        <v>1</v>
      </c>
      <c r="W64" s="50">
        <v>1</v>
      </c>
      <c r="X64" s="50">
        <v>2</v>
      </c>
      <c r="Z64" s="52">
        <v>14186735</v>
      </c>
      <c r="AS64" s="50">
        <v>1</v>
      </c>
      <c r="BI64" s="50">
        <v>1</v>
      </c>
      <c r="BJ64"/>
      <c r="BK64"/>
      <c r="BL64"/>
      <c r="BM64"/>
      <c r="BN64"/>
      <c r="BO64"/>
      <c r="BP64"/>
      <c r="BQ64"/>
      <c r="BR64"/>
      <c r="BS64"/>
      <c r="BT64"/>
      <c r="BU64"/>
      <c r="BV64"/>
      <c r="BW64"/>
      <c r="BX64"/>
      <c r="BY64"/>
      <c r="BZ64"/>
      <c r="CA64"/>
      <c r="CB64"/>
      <c r="CC64"/>
      <c r="CD64"/>
      <c r="CE64"/>
      <c r="CF64"/>
      <c r="CG64"/>
    </row>
    <row r="65" spans="1:85" s="50" customFormat="1" hidden="1">
      <c r="A65" s="50">
        <v>13665891</v>
      </c>
      <c r="W65" s="50">
        <v>2</v>
      </c>
      <c r="X65" s="50">
        <v>2</v>
      </c>
      <c r="Z65" s="52">
        <v>14218829</v>
      </c>
      <c r="AX65" s="50">
        <v>1</v>
      </c>
      <c r="BI65" s="50">
        <v>1</v>
      </c>
      <c r="BJ65"/>
      <c r="BK65"/>
      <c r="BL65"/>
      <c r="BM65"/>
      <c r="BN65"/>
      <c r="BO65"/>
      <c r="BP65"/>
      <c r="BQ65"/>
      <c r="BR65"/>
      <c r="BS65"/>
      <c r="BT65"/>
      <c r="BU65"/>
      <c r="BV65"/>
      <c r="BW65"/>
      <c r="BX65"/>
      <c r="BY65"/>
      <c r="BZ65"/>
      <c r="CA65"/>
      <c r="CB65"/>
      <c r="CC65"/>
      <c r="CD65"/>
      <c r="CE65"/>
      <c r="CF65"/>
      <c r="CG65"/>
    </row>
    <row r="66" spans="1:85" s="50" customFormat="1" hidden="1">
      <c r="A66" s="50">
        <v>13665944</v>
      </c>
      <c r="W66" s="50">
        <v>2</v>
      </c>
      <c r="X66" s="50">
        <v>2</v>
      </c>
      <c r="Z66" s="52">
        <v>14328642</v>
      </c>
      <c r="AS66" s="50">
        <v>1</v>
      </c>
      <c r="BI66" s="50">
        <v>1</v>
      </c>
      <c r="BJ66"/>
      <c r="BK66"/>
      <c r="BL66"/>
      <c r="BM66"/>
      <c r="BN66"/>
      <c r="BO66"/>
      <c r="BP66"/>
      <c r="BQ66"/>
      <c r="BR66"/>
      <c r="BS66"/>
      <c r="BT66"/>
      <c r="BU66"/>
      <c r="BV66"/>
      <c r="BW66"/>
      <c r="BX66"/>
      <c r="BY66"/>
      <c r="BZ66"/>
      <c r="CA66"/>
      <c r="CB66"/>
      <c r="CC66"/>
      <c r="CD66"/>
      <c r="CE66"/>
      <c r="CF66"/>
      <c r="CG66"/>
    </row>
    <row r="67" spans="1:85" s="50" customFormat="1" hidden="1">
      <c r="A67" s="50">
        <v>13665988</v>
      </c>
      <c r="W67" s="50">
        <v>2</v>
      </c>
      <c r="X67" s="50">
        <v>2</v>
      </c>
      <c r="Z67" s="52">
        <v>14364545</v>
      </c>
      <c r="AF67" s="50">
        <v>1</v>
      </c>
      <c r="BI67" s="50">
        <v>1</v>
      </c>
      <c r="BJ67"/>
      <c r="BK67"/>
      <c r="BL67"/>
      <c r="BM67"/>
      <c r="BN67"/>
      <c r="BO67"/>
      <c r="BP67"/>
      <c r="BQ67"/>
      <c r="BR67"/>
      <c r="BS67"/>
      <c r="BT67"/>
      <c r="BU67"/>
      <c r="BV67"/>
      <c r="BW67"/>
      <c r="BX67"/>
      <c r="BY67"/>
      <c r="BZ67"/>
      <c r="CA67"/>
      <c r="CB67"/>
      <c r="CC67"/>
      <c r="CD67"/>
      <c r="CE67"/>
      <c r="CF67"/>
      <c r="CG67"/>
    </row>
    <row r="68" spans="1:85" s="50" customFormat="1" hidden="1">
      <c r="A68" s="50">
        <v>13718960</v>
      </c>
      <c r="W68" s="50">
        <v>2</v>
      </c>
      <c r="X68" s="50">
        <v>2</v>
      </c>
      <c r="Z68" s="52">
        <v>14364578</v>
      </c>
      <c r="AF68" s="50">
        <v>1</v>
      </c>
      <c r="BI68" s="50">
        <v>1</v>
      </c>
      <c r="BJ68"/>
      <c r="BK68"/>
      <c r="BL68"/>
      <c r="BM68"/>
      <c r="BN68"/>
      <c r="BO68"/>
      <c r="BP68"/>
      <c r="BQ68"/>
      <c r="BR68"/>
      <c r="BS68"/>
      <c r="BT68"/>
      <c r="BU68"/>
      <c r="BV68"/>
      <c r="BW68"/>
      <c r="BX68"/>
      <c r="BY68"/>
      <c r="BZ68"/>
      <c r="CA68"/>
      <c r="CB68"/>
      <c r="CC68"/>
      <c r="CD68"/>
      <c r="CE68"/>
      <c r="CF68"/>
      <c r="CG68"/>
    </row>
    <row r="69" spans="1:85" s="50" customFormat="1" hidden="1">
      <c r="A69" s="50">
        <v>13743222</v>
      </c>
      <c r="R69" s="50">
        <v>1</v>
      </c>
      <c r="W69" s="50">
        <v>1</v>
      </c>
      <c r="X69" s="50">
        <v>2</v>
      </c>
      <c r="Z69" s="52">
        <v>14370434</v>
      </c>
      <c r="AT69" s="50">
        <v>1</v>
      </c>
      <c r="BI69" s="50">
        <v>1</v>
      </c>
      <c r="BJ69"/>
      <c r="BK69"/>
      <c r="BL69"/>
      <c r="BM69"/>
      <c r="BN69"/>
      <c r="BO69"/>
      <c r="BP69"/>
      <c r="BQ69"/>
      <c r="BR69"/>
      <c r="BS69"/>
      <c r="BT69"/>
      <c r="BU69"/>
      <c r="BV69"/>
      <c r="BW69"/>
      <c r="BX69"/>
      <c r="BY69"/>
      <c r="BZ69"/>
      <c r="CA69"/>
      <c r="CB69"/>
      <c r="CC69"/>
      <c r="CD69"/>
      <c r="CE69"/>
      <c r="CF69"/>
      <c r="CG69"/>
    </row>
    <row r="70" spans="1:85" s="50" customFormat="1" hidden="1">
      <c r="A70" s="50">
        <v>13751560</v>
      </c>
      <c r="W70" s="50">
        <v>4</v>
      </c>
      <c r="X70" s="50">
        <v>4</v>
      </c>
      <c r="Z70" s="52">
        <v>14395198</v>
      </c>
      <c r="AZ70" s="50">
        <v>1</v>
      </c>
      <c r="BI70" s="50">
        <v>1</v>
      </c>
      <c r="BJ70"/>
      <c r="BK70"/>
      <c r="BL70"/>
      <c r="BM70"/>
      <c r="BN70"/>
      <c r="BO70"/>
      <c r="BP70"/>
      <c r="BQ70"/>
      <c r="BR70"/>
      <c r="BS70"/>
      <c r="BT70"/>
      <c r="BU70"/>
      <c r="BV70"/>
      <c r="BW70"/>
      <c r="BX70"/>
      <c r="BY70"/>
      <c r="BZ70"/>
      <c r="CA70"/>
      <c r="CB70"/>
      <c r="CC70"/>
      <c r="CD70"/>
      <c r="CE70"/>
      <c r="CF70"/>
      <c r="CG70"/>
    </row>
    <row r="71" spans="1:85" s="50" customFormat="1" hidden="1">
      <c r="A71" s="50">
        <v>13779220</v>
      </c>
      <c r="W71" s="50">
        <v>2</v>
      </c>
      <c r="X71" s="50">
        <v>2</v>
      </c>
      <c r="Z71" s="52">
        <v>14428693</v>
      </c>
      <c r="AZ71" s="50">
        <v>1</v>
      </c>
      <c r="BI71" s="50">
        <v>1</v>
      </c>
      <c r="BJ71"/>
      <c r="BK71"/>
      <c r="BL71"/>
      <c r="BM71"/>
      <c r="BN71"/>
      <c r="BO71"/>
      <c r="BP71"/>
      <c r="BQ71"/>
      <c r="BR71"/>
      <c r="BS71"/>
      <c r="BT71"/>
      <c r="BU71"/>
      <c r="BV71"/>
      <c r="BW71"/>
      <c r="BX71"/>
      <c r="BY71"/>
      <c r="BZ71"/>
      <c r="CA71"/>
      <c r="CB71"/>
      <c r="CC71"/>
      <c r="CD71"/>
      <c r="CE71"/>
      <c r="CF71"/>
      <c r="CG71"/>
    </row>
    <row r="72" spans="1:85" s="50" customFormat="1" hidden="1">
      <c r="A72" s="50">
        <v>13850037</v>
      </c>
      <c r="W72" s="50">
        <v>2</v>
      </c>
      <c r="X72" s="50">
        <v>2</v>
      </c>
      <c r="Z72" s="52">
        <v>14433401</v>
      </c>
      <c r="BF72" s="50">
        <v>1</v>
      </c>
      <c r="BI72" s="50">
        <v>1</v>
      </c>
      <c r="BJ72"/>
      <c r="BK72"/>
      <c r="BL72"/>
      <c r="BM72"/>
      <c r="BN72"/>
      <c r="BO72"/>
      <c r="BP72"/>
      <c r="BQ72"/>
      <c r="BR72"/>
      <c r="BS72"/>
      <c r="BT72"/>
      <c r="BU72"/>
      <c r="BV72"/>
      <c r="BW72"/>
      <c r="BX72"/>
      <c r="BY72"/>
      <c r="BZ72"/>
      <c r="CA72"/>
      <c r="CB72"/>
      <c r="CC72"/>
      <c r="CD72"/>
      <c r="CE72"/>
      <c r="CF72"/>
      <c r="CG72"/>
    </row>
    <row r="73" spans="1:85" s="50" customFormat="1" hidden="1">
      <c r="A73" s="50">
        <v>13868570</v>
      </c>
      <c r="W73" s="50">
        <v>2</v>
      </c>
      <c r="X73" s="50">
        <v>2</v>
      </c>
      <c r="Z73" s="52">
        <v>14433414</v>
      </c>
      <c r="BF73" s="50">
        <v>1</v>
      </c>
      <c r="BI73" s="50">
        <v>1</v>
      </c>
      <c r="BJ73"/>
      <c r="BK73"/>
      <c r="BL73"/>
      <c r="BM73"/>
      <c r="BN73"/>
      <c r="BO73"/>
      <c r="BP73"/>
      <c r="BQ73"/>
      <c r="BR73"/>
      <c r="BS73"/>
      <c r="BT73"/>
      <c r="BU73"/>
      <c r="BV73"/>
      <c r="BW73"/>
      <c r="BX73"/>
      <c r="BY73"/>
      <c r="BZ73"/>
      <c r="CA73"/>
      <c r="CB73"/>
      <c r="CC73"/>
      <c r="CD73"/>
      <c r="CE73"/>
      <c r="CF73"/>
      <c r="CG73"/>
    </row>
    <row r="74" spans="1:85" s="50" customFormat="1" hidden="1">
      <c r="A74" s="50">
        <v>13895158</v>
      </c>
      <c r="W74" s="50">
        <v>2</v>
      </c>
      <c r="X74" s="50">
        <v>2</v>
      </c>
      <c r="Z74" s="52">
        <v>14447515</v>
      </c>
      <c r="AR74" s="50">
        <v>1</v>
      </c>
      <c r="BI74" s="50">
        <v>1</v>
      </c>
      <c r="BJ74"/>
      <c r="BK74"/>
      <c r="BL74"/>
      <c r="BM74"/>
      <c r="BN74"/>
      <c r="BO74"/>
      <c r="BP74"/>
      <c r="BQ74"/>
      <c r="BR74"/>
      <c r="BS74"/>
      <c r="BT74"/>
      <c r="BU74"/>
      <c r="BV74"/>
      <c r="BW74"/>
      <c r="BX74"/>
      <c r="BY74"/>
      <c r="BZ74"/>
      <c r="CA74"/>
      <c r="CB74"/>
      <c r="CC74"/>
      <c r="CD74"/>
      <c r="CE74"/>
      <c r="CF74"/>
      <c r="CG74"/>
    </row>
    <row r="75" spans="1:85" s="50" customFormat="1" hidden="1">
      <c r="A75" s="50">
        <v>14026238</v>
      </c>
      <c r="R75" s="50">
        <v>2</v>
      </c>
      <c r="X75" s="50">
        <v>2</v>
      </c>
      <c r="Z75" s="52">
        <v>14447518</v>
      </c>
      <c r="AS75" s="50">
        <v>1</v>
      </c>
      <c r="BI75" s="50">
        <v>1</v>
      </c>
      <c r="BJ75"/>
      <c r="BK75"/>
      <c r="BL75"/>
      <c r="BM75"/>
      <c r="BN75"/>
      <c r="BO75"/>
      <c r="BP75"/>
      <c r="BQ75"/>
      <c r="BR75"/>
      <c r="BS75"/>
      <c r="BT75"/>
      <c r="BU75"/>
      <c r="BV75"/>
      <c r="BW75"/>
      <c r="BX75"/>
      <c r="BY75"/>
      <c r="BZ75"/>
      <c r="CA75"/>
      <c r="CB75"/>
      <c r="CC75"/>
      <c r="CD75"/>
      <c r="CE75"/>
      <c r="CF75"/>
      <c r="CG75"/>
    </row>
    <row r="76" spans="1:85" s="50" customFormat="1" hidden="1">
      <c r="A76" s="50">
        <v>14026935</v>
      </c>
      <c r="W76" s="50">
        <v>3</v>
      </c>
      <c r="X76" s="50">
        <v>3</v>
      </c>
      <c r="Z76" s="52">
        <v>14447583</v>
      </c>
      <c r="AK76" s="50">
        <v>1</v>
      </c>
      <c r="BI76" s="50">
        <v>1</v>
      </c>
      <c r="BJ76"/>
      <c r="BK76"/>
      <c r="BL76"/>
      <c r="BM76"/>
      <c r="BN76"/>
      <c r="BO76"/>
      <c r="BP76"/>
      <c r="BQ76"/>
      <c r="BR76"/>
      <c r="BS76"/>
      <c r="BT76"/>
      <c r="BU76"/>
      <c r="BV76"/>
      <c r="BW76"/>
      <c r="BX76"/>
      <c r="BY76"/>
      <c r="BZ76"/>
      <c r="CA76"/>
      <c r="CB76"/>
      <c r="CC76"/>
      <c r="CD76"/>
      <c r="CE76"/>
      <c r="CF76"/>
      <c r="CG76"/>
    </row>
    <row r="77" spans="1:85" s="50" customFormat="1" hidden="1">
      <c r="A77" s="50">
        <v>14042361</v>
      </c>
      <c r="B77" s="50">
        <v>2</v>
      </c>
      <c r="X77" s="50">
        <v>2</v>
      </c>
      <c r="Z77" s="52">
        <v>14447586</v>
      </c>
      <c r="AL77" s="50">
        <v>1</v>
      </c>
      <c r="BI77" s="50">
        <v>1</v>
      </c>
      <c r="BJ77"/>
      <c r="BK77"/>
      <c r="BL77"/>
      <c r="BM77"/>
      <c r="BN77"/>
      <c r="BO77"/>
      <c r="BP77"/>
      <c r="BQ77"/>
      <c r="BR77"/>
      <c r="BS77"/>
      <c r="BT77"/>
      <c r="BU77"/>
      <c r="BV77"/>
      <c r="BW77"/>
      <c r="BX77"/>
      <c r="BY77"/>
      <c r="BZ77"/>
      <c r="CA77"/>
      <c r="CB77"/>
      <c r="CC77"/>
      <c r="CD77"/>
      <c r="CE77"/>
      <c r="CF77"/>
      <c r="CG77"/>
    </row>
    <row r="78" spans="1:85" s="50" customFormat="1" hidden="1">
      <c r="A78" s="50">
        <v>14063837</v>
      </c>
      <c r="W78" s="50">
        <v>2</v>
      </c>
      <c r="X78" s="50">
        <v>2</v>
      </c>
      <c r="Z78" s="52">
        <v>14447590</v>
      </c>
      <c r="AU78" s="50">
        <v>1</v>
      </c>
      <c r="BI78" s="50">
        <v>1</v>
      </c>
      <c r="BJ78"/>
      <c r="BK78"/>
      <c r="BL78"/>
      <c r="BM78"/>
      <c r="BN78"/>
      <c r="BO78"/>
      <c r="BP78"/>
      <c r="BQ78"/>
      <c r="BR78"/>
      <c r="BS78"/>
      <c r="BT78"/>
      <c r="BU78"/>
      <c r="BV78"/>
      <c r="BW78"/>
      <c r="BX78"/>
      <c r="BY78"/>
      <c r="BZ78"/>
      <c r="CA78"/>
      <c r="CB78"/>
      <c r="CC78"/>
      <c r="CD78"/>
      <c r="CE78"/>
      <c r="CF78"/>
      <c r="CG78"/>
    </row>
    <row r="79" spans="1:85" s="50" customFormat="1" hidden="1">
      <c r="A79" s="50">
        <v>14106681</v>
      </c>
      <c r="N79" s="50">
        <v>1</v>
      </c>
      <c r="R79" s="50">
        <v>1</v>
      </c>
      <c r="X79" s="50">
        <v>2</v>
      </c>
      <c r="Z79" s="52">
        <v>14447593</v>
      </c>
      <c r="AN79" s="50">
        <v>1</v>
      </c>
      <c r="BI79" s="50">
        <v>1</v>
      </c>
      <c r="BJ79"/>
      <c r="BK79"/>
      <c r="BL79"/>
      <c r="BM79"/>
      <c r="BN79"/>
      <c r="BO79"/>
      <c r="BP79"/>
      <c r="BQ79"/>
      <c r="BR79"/>
      <c r="BS79"/>
      <c r="BT79"/>
      <c r="BU79"/>
      <c r="BV79"/>
      <c r="BW79"/>
      <c r="BX79"/>
      <c r="BY79"/>
      <c r="BZ79"/>
      <c r="CA79"/>
      <c r="CB79"/>
      <c r="CC79"/>
      <c r="CD79"/>
      <c r="CE79"/>
      <c r="CF79"/>
      <c r="CG79"/>
    </row>
    <row r="80" spans="1:85" s="50" customFormat="1" hidden="1">
      <c r="A80" s="50">
        <v>14114528</v>
      </c>
      <c r="W80" s="50">
        <v>2</v>
      </c>
      <c r="X80" s="50">
        <v>2</v>
      </c>
      <c r="Z80" s="52">
        <v>14447594</v>
      </c>
      <c r="AL80" s="50">
        <v>1</v>
      </c>
      <c r="BI80" s="50">
        <v>1</v>
      </c>
      <c r="BJ80"/>
      <c r="BK80"/>
      <c r="BL80"/>
      <c r="BM80"/>
      <c r="BN80"/>
      <c r="BO80"/>
      <c r="BP80"/>
      <c r="BQ80"/>
      <c r="BR80"/>
      <c r="BS80"/>
      <c r="BT80"/>
      <c r="BU80"/>
      <c r="BV80"/>
      <c r="BW80"/>
      <c r="BX80"/>
      <c r="BY80"/>
      <c r="BZ80"/>
      <c r="CA80"/>
      <c r="CB80"/>
      <c r="CC80"/>
      <c r="CD80"/>
      <c r="CE80"/>
      <c r="CF80"/>
      <c r="CG80"/>
    </row>
    <row r="81" spans="1:85" s="50" customFormat="1" hidden="1">
      <c r="A81" s="50">
        <v>14114589</v>
      </c>
      <c r="W81" s="50">
        <v>2</v>
      </c>
      <c r="X81" s="50">
        <v>2</v>
      </c>
      <c r="Z81" s="52">
        <v>14528143</v>
      </c>
      <c r="AT81" s="50">
        <v>1</v>
      </c>
      <c r="BI81" s="50">
        <v>1</v>
      </c>
      <c r="BJ81"/>
      <c r="BK81"/>
      <c r="BL81"/>
      <c r="BM81"/>
      <c r="BN81"/>
      <c r="BO81"/>
      <c r="BP81"/>
      <c r="BQ81"/>
      <c r="BR81"/>
      <c r="BS81"/>
      <c r="BT81"/>
      <c r="BU81"/>
      <c r="BV81"/>
      <c r="BW81"/>
      <c r="BX81"/>
      <c r="BY81"/>
      <c r="BZ81"/>
      <c r="CA81"/>
      <c r="CB81"/>
      <c r="CC81"/>
      <c r="CD81"/>
      <c r="CE81"/>
      <c r="CF81"/>
      <c r="CG81"/>
    </row>
    <row r="82" spans="1:85" s="50" customFormat="1" hidden="1">
      <c r="A82" s="50">
        <v>14114621</v>
      </c>
      <c r="W82" s="50">
        <v>2</v>
      </c>
      <c r="X82" s="50">
        <v>2</v>
      </c>
      <c r="Z82" s="52">
        <v>14578099</v>
      </c>
      <c r="AI82" s="50">
        <v>1</v>
      </c>
      <c r="BI82" s="50">
        <v>1</v>
      </c>
      <c r="BJ82"/>
      <c r="BK82"/>
      <c r="BL82"/>
      <c r="BM82"/>
      <c r="BN82"/>
      <c r="BO82"/>
      <c r="BP82"/>
      <c r="BQ82"/>
      <c r="BR82"/>
      <c r="BS82"/>
      <c r="BT82"/>
      <c r="BU82"/>
      <c r="BV82"/>
      <c r="BW82"/>
      <c r="BX82"/>
      <c r="BY82"/>
      <c r="BZ82"/>
      <c r="CA82"/>
      <c r="CB82"/>
      <c r="CC82"/>
      <c r="CD82"/>
      <c r="CE82"/>
      <c r="CF82"/>
      <c r="CG82"/>
    </row>
    <row r="83" spans="1:85" s="50" customFormat="1" hidden="1">
      <c r="A83" s="50">
        <v>14118970</v>
      </c>
      <c r="R83" s="50">
        <v>1</v>
      </c>
      <c r="U83" s="50">
        <v>1</v>
      </c>
      <c r="X83" s="50">
        <v>2</v>
      </c>
      <c r="Z83" s="52">
        <v>14578102</v>
      </c>
      <c r="AA83" s="50">
        <v>1</v>
      </c>
      <c r="BI83" s="50">
        <v>1</v>
      </c>
      <c r="BJ83"/>
      <c r="BK83"/>
      <c r="BL83"/>
      <c r="BM83"/>
      <c r="BN83"/>
      <c r="BO83"/>
      <c r="BP83"/>
      <c r="BQ83"/>
      <c r="BR83"/>
      <c r="BS83"/>
      <c r="BT83"/>
      <c r="BU83"/>
      <c r="BV83"/>
      <c r="BW83"/>
      <c r="BX83"/>
      <c r="BY83"/>
      <c r="BZ83"/>
      <c r="CA83"/>
      <c r="CB83"/>
      <c r="CC83"/>
      <c r="CD83"/>
      <c r="CE83"/>
      <c r="CF83"/>
      <c r="CG83"/>
    </row>
    <row r="84" spans="1:85" s="50" customFormat="1" hidden="1">
      <c r="A84" s="50">
        <v>14118978</v>
      </c>
      <c r="R84" s="50">
        <v>2</v>
      </c>
      <c r="X84" s="50">
        <v>2</v>
      </c>
      <c r="Z84" s="52">
        <v>14578104</v>
      </c>
      <c r="AH84" s="50">
        <v>1</v>
      </c>
      <c r="BI84" s="50">
        <v>1</v>
      </c>
      <c r="BJ84"/>
      <c r="BK84"/>
      <c r="BL84"/>
      <c r="BM84"/>
      <c r="BN84"/>
      <c r="BO84"/>
      <c r="BP84"/>
      <c r="BQ84"/>
      <c r="BR84"/>
      <c r="BS84"/>
      <c r="BT84"/>
      <c r="BU84"/>
      <c r="BV84"/>
      <c r="BW84"/>
      <c r="BX84"/>
      <c r="BY84"/>
      <c r="BZ84"/>
      <c r="CA84"/>
      <c r="CB84"/>
      <c r="CC84"/>
      <c r="CD84"/>
      <c r="CE84"/>
      <c r="CF84"/>
      <c r="CG84"/>
    </row>
    <row r="85" spans="1:85" s="50" customFormat="1" hidden="1">
      <c r="A85" s="50">
        <v>14119014</v>
      </c>
      <c r="R85" s="50">
        <v>2</v>
      </c>
      <c r="X85" s="50">
        <v>2</v>
      </c>
      <c r="Z85" s="52">
        <v>14578879</v>
      </c>
      <c r="AJ85" s="50">
        <v>1</v>
      </c>
      <c r="BI85" s="50">
        <v>1</v>
      </c>
      <c r="BJ85"/>
      <c r="BK85"/>
      <c r="BL85"/>
      <c r="BM85"/>
      <c r="BN85"/>
      <c r="BO85"/>
      <c r="BP85"/>
      <c r="BQ85"/>
      <c r="BR85"/>
      <c r="BS85"/>
      <c r="BT85"/>
      <c r="BU85"/>
      <c r="BV85"/>
      <c r="BW85"/>
      <c r="BX85"/>
      <c r="BY85"/>
      <c r="BZ85"/>
      <c r="CA85"/>
      <c r="CB85"/>
      <c r="CC85"/>
      <c r="CD85"/>
      <c r="CE85"/>
      <c r="CF85"/>
      <c r="CG85"/>
    </row>
    <row r="86" spans="1:85" s="50" customFormat="1" hidden="1">
      <c r="A86" s="50">
        <v>14127834</v>
      </c>
      <c r="W86" s="50">
        <v>2</v>
      </c>
      <c r="X86" s="50">
        <v>2</v>
      </c>
      <c r="Z86" s="52">
        <v>14579642</v>
      </c>
      <c r="AI86" s="50">
        <v>1</v>
      </c>
      <c r="BI86" s="50">
        <v>1</v>
      </c>
      <c r="BJ86"/>
      <c r="BK86"/>
      <c r="BL86"/>
      <c r="BM86"/>
      <c r="BN86"/>
      <c r="BO86"/>
      <c r="BP86"/>
      <c r="BQ86"/>
      <c r="BR86"/>
      <c r="BS86"/>
      <c r="BT86"/>
      <c r="BU86"/>
      <c r="BV86"/>
      <c r="BW86"/>
      <c r="BX86"/>
      <c r="BY86"/>
      <c r="BZ86"/>
      <c r="CA86"/>
      <c r="CB86"/>
      <c r="CC86"/>
      <c r="CD86"/>
      <c r="CE86"/>
      <c r="CF86"/>
      <c r="CG86"/>
    </row>
    <row r="87" spans="1:85" s="50" customFormat="1" hidden="1">
      <c r="A87" s="50">
        <v>14135946</v>
      </c>
      <c r="W87" s="50">
        <v>2</v>
      </c>
      <c r="X87" s="50">
        <v>2</v>
      </c>
      <c r="Z87" s="52">
        <v>14581908</v>
      </c>
      <c r="AO87" s="50">
        <v>1</v>
      </c>
      <c r="BI87" s="50">
        <v>1</v>
      </c>
      <c r="BJ87"/>
      <c r="BK87"/>
      <c r="BL87"/>
      <c r="BM87"/>
      <c r="BN87"/>
      <c r="BO87"/>
      <c r="BP87"/>
      <c r="BQ87"/>
      <c r="BR87"/>
      <c r="BS87"/>
      <c r="BT87"/>
      <c r="BU87"/>
      <c r="BV87"/>
      <c r="BW87"/>
      <c r="BX87"/>
      <c r="BY87"/>
      <c r="BZ87"/>
      <c r="CA87"/>
      <c r="CB87"/>
      <c r="CC87"/>
      <c r="CD87"/>
      <c r="CE87"/>
      <c r="CF87"/>
      <c r="CG87"/>
    </row>
    <row r="88" spans="1:85" s="50" customFormat="1" hidden="1">
      <c r="A88" s="50">
        <v>14135947</v>
      </c>
      <c r="W88" s="50">
        <v>2</v>
      </c>
      <c r="X88" s="50">
        <v>2</v>
      </c>
      <c r="Z88" s="52">
        <v>14581909</v>
      </c>
      <c r="AL88" s="50">
        <v>1</v>
      </c>
      <c r="BI88" s="50">
        <v>1</v>
      </c>
      <c r="BJ88"/>
      <c r="BK88"/>
      <c r="BL88"/>
      <c r="BM88"/>
      <c r="BN88"/>
      <c r="BO88"/>
      <c r="BP88"/>
      <c r="BQ88"/>
      <c r="BR88"/>
      <c r="BS88"/>
      <c r="BT88"/>
      <c r="BU88"/>
      <c r="BV88"/>
      <c r="BW88"/>
      <c r="BX88"/>
      <c r="BY88"/>
      <c r="BZ88"/>
      <c r="CA88"/>
      <c r="CB88"/>
      <c r="CC88"/>
      <c r="CD88"/>
      <c r="CE88"/>
      <c r="CF88"/>
      <c r="CG88"/>
    </row>
    <row r="89" spans="1:85" s="50" customFormat="1" hidden="1">
      <c r="A89" s="50">
        <v>14135953</v>
      </c>
      <c r="W89" s="50">
        <v>1</v>
      </c>
      <c r="X89" s="50">
        <v>1</v>
      </c>
      <c r="Z89" s="52">
        <v>14581916</v>
      </c>
      <c r="AP89" s="50">
        <v>1</v>
      </c>
      <c r="BI89" s="50">
        <v>1</v>
      </c>
      <c r="BJ89"/>
      <c r="BK89"/>
      <c r="BL89"/>
      <c r="BM89"/>
      <c r="BN89"/>
      <c r="BO89"/>
      <c r="BP89"/>
      <c r="BQ89"/>
      <c r="BR89"/>
      <c r="BS89"/>
      <c r="BT89"/>
      <c r="BU89"/>
      <c r="BV89"/>
      <c r="BW89"/>
      <c r="BX89"/>
      <c r="BY89"/>
      <c r="BZ89"/>
      <c r="CA89"/>
      <c r="CB89"/>
      <c r="CC89"/>
      <c r="CD89"/>
      <c r="CE89"/>
      <c r="CF89"/>
      <c r="CG89"/>
    </row>
    <row r="90" spans="1:85" s="50" customFormat="1" hidden="1">
      <c r="A90" s="50">
        <v>14160848</v>
      </c>
      <c r="B90" s="50">
        <v>1</v>
      </c>
      <c r="W90" s="50">
        <v>1</v>
      </c>
      <c r="X90" s="50">
        <v>2</v>
      </c>
      <c r="Z90" s="52">
        <v>14584870</v>
      </c>
      <c r="AC90" s="50">
        <v>1</v>
      </c>
      <c r="BI90" s="50">
        <v>1</v>
      </c>
      <c r="BJ90"/>
      <c r="BK90"/>
      <c r="BL90"/>
      <c r="BM90"/>
      <c r="BN90"/>
      <c r="BO90"/>
      <c r="BP90"/>
      <c r="BQ90"/>
      <c r="BR90"/>
      <c r="BS90"/>
      <c r="BT90"/>
      <c r="BU90"/>
      <c r="BV90"/>
      <c r="BW90"/>
      <c r="BX90"/>
      <c r="BY90"/>
      <c r="BZ90"/>
      <c r="CA90"/>
      <c r="CB90"/>
      <c r="CC90"/>
      <c r="CD90"/>
      <c r="CE90"/>
      <c r="CF90"/>
      <c r="CG90"/>
    </row>
    <row r="91" spans="1:85" s="50" customFormat="1" hidden="1">
      <c r="A91" s="50">
        <v>14186651</v>
      </c>
      <c r="B91" s="50">
        <v>1</v>
      </c>
      <c r="M91" s="50">
        <v>1</v>
      </c>
      <c r="X91" s="50">
        <v>2</v>
      </c>
      <c r="Z91" s="52">
        <v>14655991</v>
      </c>
      <c r="BH91" s="50">
        <v>1</v>
      </c>
      <c r="BI91" s="50">
        <v>1</v>
      </c>
      <c r="BJ91"/>
      <c r="BK91"/>
      <c r="BL91"/>
      <c r="BM91"/>
      <c r="BN91"/>
      <c r="BO91"/>
      <c r="BP91"/>
      <c r="BQ91"/>
      <c r="BR91"/>
      <c r="BS91"/>
      <c r="BT91"/>
      <c r="BU91"/>
      <c r="BV91"/>
      <c r="BW91"/>
      <c r="BX91"/>
      <c r="BY91"/>
      <c r="BZ91"/>
      <c r="CA91"/>
      <c r="CB91"/>
      <c r="CC91"/>
      <c r="CD91"/>
      <c r="CE91"/>
      <c r="CF91"/>
      <c r="CG91"/>
    </row>
    <row r="92" spans="1:85" s="50" customFormat="1" hidden="1">
      <c r="A92" s="50">
        <v>14186735</v>
      </c>
      <c r="W92" s="50">
        <v>2</v>
      </c>
      <c r="X92" s="50">
        <v>2</v>
      </c>
      <c r="Z92" s="52">
        <v>14672943</v>
      </c>
      <c r="BB92" s="50">
        <v>1</v>
      </c>
      <c r="BI92" s="50">
        <v>1</v>
      </c>
      <c r="BJ92"/>
      <c r="BK92"/>
      <c r="BL92"/>
      <c r="BM92"/>
      <c r="BN92"/>
      <c r="BO92"/>
      <c r="BP92"/>
      <c r="BQ92"/>
      <c r="BR92"/>
      <c r="BS92"/>
      <c r="BT92"/>
      <c r="BU92"/>
      <c r="BV92"/>
      <c r="BW92"/>
      <c r="BX92"/>
      <c r="BY92"/>
      <c r="BZ92"/>
      <c r="CA92"/>
      <c r="CB92"/>
      <c r="CC92"/>
      <c r="CD92"/>
      <c r="CE92"/>
      <c r="CF92"/>
      <c r="CG92"/>
    </row>
    <row r="93" spans="1:85" s="50" customFormat="1" hidden="1">
      <c r="A93" s="50">
        <v>14218829</v>
      </c>
      <c r="W93" s="50">
        <v>2</v>
      </c>
      <c r="X93" s="50">
        <v>2</v>
      </c>
      <c r="Z93" s="52">
        <v>14721405</v>
      </c>
      <c r="AB93" s="50">
        <v>1</v>
      </c>
      <c r="BI93" s="50">
        <v>1</v>
      </c>
      <c r="BJ93"/>
      <c r="BK93"/>
      <c r="BL93"/>
      <c r="BM93"/>
      <c r="BN93"/>
      <c r="BO93"/>
      <c r="BP93"/>
      <c r="BQ93"/>
      <c r="BR93"/>
      <c r="BS93"/>
      <c r="BT93"/>
      <c r="BU93"/>
      <c r="BV93"/>
      <c r="BW93"/>
      <c r="BX93"/>
      <c r="BY93"/>
      <c r="BZ93"/>
      <c r="CA93"/>
      <c r="CB93"/>
      <c r="CC93"/>
      <c r="CD93"/>
      <c r="CE93"/>
      <c r="CF93"/>
      <c r="CG93"/>
    </row>
    <row r="94" spans="1:85" s="50" customFormat="1" hidden="1">
      <c r="A94" s="50">
        <v>14328635</v>
      </c>
      <c r="W94" s="50">
        <v>2</v>
      </c>
      <c r="X94" s="50">
        <v>2</v>
      </c>
      <c r="Z94" s="52">
        <v>14721663</v>
      </c>
      <c r="AB94" s="50">
        <v>1</v>
      </c>
      <c r="BI94" s="50">
        <v>1</v>
      </c>
      <c r="BJ94"/>
      <c r="BK94"/>
      <c r="BL94"/>
      <c r="BM94"/>
      <c r="BN94"/>
      <c r="BO94"/>
      <c r="BP94"/>
      <c r="BQ94"/>
      <c r="BR94"/>
      <c r="BS94"/>
      <c r="BT94"/>
      <c r="BU94"/>
      <c r="BV94"/>
      <c r="BW94"/>
      <c r="BX94"/>
      <c r="BY94"/>
      <c r="BZ94"/>
      <c r="CA94"/>
      <c r="CB94"/>
      <c r="CC94"/>
      <c r="CD94"/>
      <c r="CE94"/>
      <c r="CF94"/>
      <c r="CG94"/>
    </row>
    <row r="95" spans="1:85" s="50" customFormat="1" hidden="1">
      <c r="A95" s="50">
        <v>14328642</v>
      </c>
      <c r="W95" s="50">
        <v>2</v>
      </c>
      <c r="X95" s="50">
        <v>2</v>
      </c>
      <c r="Z95" s="52">
        <v>14737918</v>
      </c>
      <c r="BH95" s="50">
        <v>1</v>
      </c>
      <c r="BI95" s="50">
        <v>1</v>
      </c>
      <c r="BJ95"/>
      <c r="BK95"/>
      <c r="BL95"/>
      <c r="BM95"/>
      <c r="BN95"/>
      <c r="BO95"/>
      <c r="BP95"/>
      <c r="BQ95"/>
      <c r="BR95"/>
      <c r="BS95"/>
      <c r="BT95"/>
      <c r="BU95"/>
      <c r="BV95"/>
      <c r="BW95"/>
      <c r="BX95"/>
      <c r="BY95"/>
      <c r="BZ95"/>
      <c r="CA95"/>
      <c r="CB95"/>
      <c r="CC95"/>
      <c r="CD95"/>
      <c r="CE95"/>
      <c r="CF95"/>
      <c r="CG95"/>
    </row>
    <row r="96" spans="1:85" s="50" customFormat="1" hidden="1">
      <c r="A96" s="50">
        <v>14329073</v>
      </c>
      <c r="W96" s="50">
        <v>2</v>
      </c>
      <c r="X96" s="50">
        <v>2</v>
      </c>
      <c r="Z96" s="52">
        <v>14753799</v>
      </c>
      <c r="AM96" s="50">
        <v>1</v>
      </c>
      <c r="BI96" s="50">
        <v>1</v>
      </c>
      <c r="BJ96"/>
      <c r="BK96"/>
      <c r="BL96"/>
      <c r="BM96"/>
      <c r="BN96"/>
      <c r="BO96"/>
      <c r="BP96"/>
      <c r="BQ96"/>
      <c r="BR96"/>
      <c r="BS96"/>
      <c r="BT96"/>
      <c r="BU96"/>
      <c r="BV96"/>
      <c r="BW96"/>
      <c r="BX96"/>
      <c r="BY96"/>
      <c r="BZ96"/>
      <c r="CA96"/>
      <c r="CB96"/>
      <c r="CC96"/>
      <c r="CD96"/>
      <c r="CE96"/>
      <c r="CF96"/>
      <c r="CG96"/>
    </row>
    <row r="97" spans="1:85" s="50" customFormat="1" hidden="1">
      <c r="A97" s="50">
        <v>14329077</v>
      </c>
      <c r="W97" s="50">
        <v>2</v>
      </c>
      <c r="X97" s="50">
        <v>2</v>
      </c>
      <c r="Z97" s="52" t="s">
        <v>1599</v>
      </c>
      <c r="AA97" s="50">
        <v>1</v>
      </c>
      <c r="AB97" s="50">
        <v>2</v>
      </c>
      <c r="AC97" s="50">
        <v>1</v>
      </c>
      <c r="AD97" s="50">
        <v>1</v>
      </c>
      <c r="AE97" s="50">
        <v>1</v>
      </c>
      <c r="AF97" s="50">
        <v>4</v>
      </c>
      <c r="AG97" s="50">
        <v>1</v>
      </c>
      <c r="AH97" s="50">
        <v>2</v>
      </c>
      <c r="AI97" s="50">
        <v>2</v>
      </c>
      <c r="AJ97" s="50">
        <v>1</v>
      </c>
      <c r="AK97" s="50">
        <v>1</v>
      </c>
      <c r="AL97" s="50">
        <v>7</v>
      </c>
      <c r="AM97" s="50">
        <v>3</v>
      </c>
      <c r="AN97" s="50">
        <v>1</v>
      </c>
      <c r="AO97" s="50">
        <v>2</v>
      </c>
      <c r="AP97" s="50">
        <v>1</v>
      </c>
      <c r="AQ97" s="50">
        <v>3</v>
      </c>
      <c r="AR97" s="50">
        <v>3</v>
      </c>
      <c r="AS97" s="50">
        <v>3</v>
      </c>
      <c r="AT97" s="50">
        <v>7</v>
      </c>
      <c r="AU97" s="50">
        <v>1</v>
      </c>
      <c r="AV97" s="50">
        <v>2</v>
      </c>
      <c r="AW97" s="50">
        <v>1</v>
      </c>
      <c r="AX97" s="50">
        <v>12</v>
      </c>
      <c r="AY97" s="50">
        <v>1</v>
      </c>
      <c r="AZ97" s="50">
        <v>4</v>
      </c>
      <c r="BA97" s="50">
        <v>1</v>
      </c>
      <c r="BB97" s="50">
        <v>4</v>
      </c>
      <c r="BC97" s="50">
        <v>4</v>
      </c>
      <c r="BD97" s="50">
        <v>2</v>
      </c>
      <c r="BE97" s="50">
        <v>1</v>
      </c>
      <c r="BF97" s="50">
        <v>6</v>
      </c>
      <c r="BG97" s="50">
        <v>2</v>
      </c>
      <c r="BH97" s="50">
        <v>6</v>
      </c>
      <c r="BI97" s="50">
        <v>94</v>
      </c>
      <c r="BJ97"/>
      <c r="BK97"/>
      <c r="BL97"/>
      <c r="BM97"/>
      <c r="BN97"/>
      <c r="BO97"/>
      <c r="BP97"/>
      <c r="BQ97"/>
      <c r="BR97"/>
      <c r="BS97"/>
      <c r="BT97"/>
      <c r="BU97"/>
      <c r="BV97"/>
      <c r="BW97"/>
      <c r="BX97"/>
      <c r="BY97"/>
      <c r="BZ97"/>
      <c r="CA97"/>
      <c r="CB97"/>
      <c r="CC97"/>
      <c r="CD97"/>
      <c r="CE97"/>
      <c r="CF97"/>
      <c r="CG97"/>
    </row>
    <row r="98" spans="1:85" s="50" customFormat="1" hidden="1">
      <c r="A98" s="50">
        <v>14345946</v>
      </c>
      <c r="W98" s="50">
        <v>2</v>
      </c>
      <c r="X98" s="50">
        <v>2</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row>
    <row r="99" spans="1:85" s="50" customFormat="1" hidden="1">
      <c r="A99" s="50">
        <v>14363879</v>
      </c>
      <c r="W99" s="50">
        <v>2</v>
      </c>
      <c r="X99" s="50">
        <v>2</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row>
    <row r="100" spans="1:85" s="50" customFormat="1" hidden="1">
      <c r="A100" s="50">
        <v>14364440</v>
      </c>
      <c r="W100" s="50">
        <v>2</v>
      </c>
      <c r="X100" s="50">
        <v>2</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row>
    <row r="101" spans="1:85" s="50" customFormat="1" hidden="1">
      <c r="A101" s="50">
        <v>14364545</v>
      </c>
      <c r="W101" s="50">
        <v>2</v>
      </c>
      <c r="X101" s="50">
        <v>2</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row>
    <row r="102" spans="1:85" s="50" customFormat="1" hidden="1">
      <c r="A102" s="50">
        <v>14364578</v>
      </c>
      <c r="W102" s="50">
        <v>2</v>
      </c>
      <c r="X102" s="50">
        <v>2</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row>
    <row r="103" spans="1:85" s="50" customFormat="1" hidden="1">
      <c r="A103" s="50">
        <v>14369529</v>
      </c>
      <c r="R103" s="50">
        <v>2</v>
      </c>
      <c r="X103" s="50">
        <v>2</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row>
    <row r="104" spans="1:85" s="50" customFormat="1" hidden="1">
      <c r="A104" s="50">
        <v>14370434</v>
      </c>
      <c r="W104" s="50">
        <v>2</v>
      </c>
      <c r="X104" s="50">
        <v>2</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row>
    <row r="105" spans="1:85" s="50" customFormat="1" hidden="1">
      <c r="A105" s="50">
        <v>14395198</v>
      </c>
      <c r="W105" s="50">
        <v>2</v>
      </c>
      <c r="X105" s="50">
        <v>2</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row>
    <row r="106" spans="1:85" s="50" customFormat="1" hidden="1">
      <c r="A106" s="50">
        <v>14415486</v>
      </c>
      <c r="R106" s="50">
        <v>2</v>
      </c>
      <c r="X106" s="50">
        <v>2</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row>
    <row r="107" spans="1:85" s="50" customFormat="1" hidden="1">
      <c r="A107" s="50">
        <v>14428693</v>
      </c>
      <c r="W107" s="50">
        <v>2</v>
      </c>
      <c r="X107" s="50">
        <v>2</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row>
    <row r="108" spans="1:85" s="50" customFormat="1" hidden="1">
      <c r="A108" s="50">
        <v>14433401</v>
      </c>
      <c r="W108" s="50">
        <v>2</v>
      </c>
      <c r="X108" s="50">
        <v>2</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row>
    <row r="109" spans="1:85" s="50" customFormat="1" hidden="1">
      <c r="A109" s="50">
        <v>14433414</v>
      </c>
      <c r="W109" s="50">
        <v>2</v>
      </c>
      <c r="X109" s="50">
        <v>2</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row>
    <row r="110" spans="1:85" s="50" customFormat="1" hidden="1">
      <c r="A110" s="50">
        <v>14447513</v>
      </c>
      <c r="W110" s="50">
        <v>2</v>
      </c>
      <c r="X110" s="50">
        <v>2</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row>
    <row r="111" spans="1:85" s="50" customFormat="1" hidden="1">
      <c r="A111" s="50">
        <v>14447515</v>
      </c>
      <c r="W111" s="50">
        <v>2</v>
      </c>
      <c r="X111" s="50">
        <v>2</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row>
    <row r="112" spans="1:85" s="50" customFormat="1" hidden="1">
      <c r="A112" s="50">
        <v>14447516</v>
      </c>
      <c r="W112" s="50">
        <v>2</v>
      </c>
      <c r="X112" s="50">
        <v>2</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row>
    <row r="113" spans="1:85" s="50" customFormat="1" hidden="1">
      <c r="A113" s="50">
        <v>14447518</v>
      </c>
      <c r="W113" s="50">
        <v>2</v>
      </c>
      <c r="X113" s="50">
        <v>2</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row>
    <row r="114" spans="1:85" s="50" customFormat="1" hidden="1">
      <c r="A114" s="50">
        <v>14447525</v>
      </c>
      <c r="W114" s="50">
        <v>2</v>
      </c>
      <c r="X114" s="50">
        <v>2</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row>
    <row r="115" spans="1:85" s="50" customFormat="1" hidden="1">
      <c r="A115" s="50">
        <v>14447583</v>
      </c>
      <c r="W115" s="50">
        <v>2</v>
      </c>
      <c r="X115" s="50">
        <v>2</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row>
    <row r="116" spans="1:85" s="50" customFormat="1" hidden="1">
      <c r="A116" s="50">
        <v>14447585</v>
      </c>
      <c r="W116" s="50">
        <v>2</v>
      </c>
      <c r="X116" s="50">
        <v>2</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row>
    <row r="117" spans="1:85" s="50" customFormat="1" hidden="1">
      <c r="A117" s="50">
        <v>14447586</v>
      </c>
      <c r="W117" s="50">
        <v>2</v>
      </c>
      <c r="X117" s="50">
        <v>2</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row>
    <row r="118" spans="1:85" s="50" customFormat="1" hidden="1">
      <c r="A118" s="50">
        <v>14447587</v>
      </c>
      <c r="W118" s="50">
        <v>2</v>
      </c>
      <c r="X118" s="50">
        <v>2</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row>
    <row r="119" spans="1:85" s="50" customFormat="1" hidden="1">
      <c r="A119" s="50">
        <v>14447590</v>
      </c>
      <c r="W119" s="50">
        <v>2</v>
      </c>
      <c r="X119" s="50">
        <v>2</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row>
    <row r="120" spans="1:85" s="50" customFormat="1" hidden="1">
      <c r="A120" s="50">
        <v>14447593</v>
      </c>
      <c r="W120" s="50">
        <v>2</v>
      </c>
      <c r="X120" s="50">
        <v>2</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row>
    <row r="121" spans="1:85" s="50" customFormat="1" hidden="1">
      <c r="A121" s="50">
        <v>14447594</v>
      </c>
      <c r="W121" s="50">
        <v>2</v>
      </c>
      <c r="X121" s="50">
        <v>2</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row>
    <row r="122" spans="1:85" s="50" customFormat="1" hidden="1">
      <c r="A122" s="50">
        <v>14471704</v>
      </c>
      <c r="C122" s="50">
        <v>1</v>
      </c>
      <c r="E122" s="50">
        <v>1</v>
      </c>
      <c r="X122" s="50">
        <v>2</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row>
    <row r="123" spans="1:85" s="50" customFormat="1" hidden="1">
      <c r="A123" s="50">
        <v>14521000</v>
      </c>
      <c r="W123" s="50">
        <v>2</v>
      </c>
      <c r="X123" s="50">
        <v>2</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row>
    <row r="124" spans="1:85" s="50" customFormat="1" hidden="1">
      <c r="A124" s="50">
        <v>14528143</v>
      </c>
      <c r="W124" s="50">
        <v>2</v>
      </c>
      <c r="X124" s="50">
        <v>2</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row>
    <row r="125" spans="1:85" s="50" customFormat="1" hidden="1">
      <c r="A125" s="50">
        <v>14578077</v>
      </c>
      <c r="F125" s="50">
        <v>1</v>
      </c>
      <c r="W125" s="50">
        <v>1</v>
      </c>
      <c r="X125" s="50">
        <v>2</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row>
    <row r="126" spans="1:85" s="50" customFormat="1" hidden="1">
      <c r="A126" s="50">
        <v>14578099</v>
      </c>
      <c r="P126" s="50">
        <v>1</v>
      </c>
      <c r="W126" s="50">
        <v>1</v>
      </c>
      <c r="X126" s="50">
        <v>2</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row>
    <row r="127" spans="1:85" s="50" customFormat="1" hidden="1">
      <c r="A127" s="50">
        <v>14578102</v>
      </c>
      <c r="I127" s="50">
        <v>1</v>
      </c>
      <c r="W127" s="50">
        <v>1</v>
      </c>
      <c r="X127" s="50">
        <v>2</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row>
    <row r="128" spans="1:85" s="50" customFormat="1" hidden="1">
      <c r="A128" s="50">
        <v>14578104</v>
      </c>
      <c r="H128" s="50">
        <v>1</v>
      </c>
      <c r="W128" s="50">
        <v>1</v>
      </c>
      <c r="X128" s="50">
        <v>2</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row>
    <row r="129" spans="1:85" s="50" customFormat="1" hidden="1">
      <c r="A129" s="50">
        <v>14578879</v>
      </c>
      <c r="K129" s="50">
        <v>1</v>
      </c>
      <c r="W129" s="50">
        <v>1</v>
      </c>
      <c r="X129" s="50">
        <v>2</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row>
    <row r="130" spans="1:85" s="50" customFormat="1" hidden="1">
      <c r="A130" s="50">
        <v>14579642</v>
      </c>
      <c r="K130" s="50">
        <v>1</v>
      </c>
      <c r="V130" s="50">
        <v>1</v>
      </c>
      <c r="X130" s="50">
        <v>2</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row>
    <row r="131" spans="1:85" s="50" customFormat="1" hidden="1">
      <c r="A131" s="50">
        <v>14581908</v>
      </c>
      <c r="V131" s="50">
        <v>1</v>
      </c>
      <c r="W131" s="50">
        <v>1</v>
      </c>
      <c r="X131" s="50">
        <v>2</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row>
    <row r="132" spans="1:85" s="50" customFormat="1">
      <c r="A132" s="50">
        <v>14581909</v>
      </c>
      <c r="N132" s="50">
        <v>1</v>
      </c>
      <c r="W132" s="50">
        <v>1</v>
      </c>
      <c r="X132" s="50">
        <v>2</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row>
    <row r="133" spans="1:85" s="50" customFormat="1">
      <c r="A133" s="50">
        <v>14581916</v>
      </c>
      <c r="N133" s="50">
        <v>1</v>
      </c>
      <c r="W133" s="50">
        <v>1</v>
      </c>
      <c r="X133" s="50">
        <v>2</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row>
    <row r="134" spans="1:85" s="50" customFormat="1">
      <c r="A134" s="50">
        <v>14581923</v>
      </c>
      <c r="J134" s="50">
        <v>1</v>
      </c>
      <c r="V134" s="50">
        <v>1</v>
      </c>
      <c r="X134" s="50">
        <v>2</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row>
    <row r="135" spans="1:85" s="50" customFormat="1">
      <c r="A135" s="50">
        <v>14584870</v>
      </c>
      <c r="T135" s="50">
        <v>1</v>
      </c>
      <c r="W135" s="50">
        <v>1</v>
      </c>
      <c r="X135" s="50">
        <v>2</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row>
    <row r="136" spans="1:85" s="50" customFormat="1">
      <c r="A136" s="50">
        <v>14632279</v>
      </c>
      <c r="S136" s="50">
        <v>1</v>
      </c>
      <c r="X136" s="50">
        <v>1</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row>
    <row r="137" spans="1:85" s="50" customFormat="1">
      <c r="A137" s="50">
        <v>14655991</v>
      </c>
      <c r="W137" s="50">
        <v>1</v>
      </c>
      <c r="X137" s="50">
        <v>1</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row>
    <row r="138" spans="1:85" s="50" customFormat="1">
      <c r="A138" s="50">
        <v>14658135</v>
      </c>
      <c r="W138" s="50">
        <v>1</v>
      </c>
      <c r="X138" s="50">
        <v>1</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row>
    <row r="139" spans="1:85" s="50" customFormat="1">
      <c r="A139" s="50">
        <v>14672943</v>
      </c>
      <c r="W139" s="50">
        <v>2</v>
      </c>
      <c r="X139" s="50">
        <v>2</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row>
    <row r="140" spans="1:85" s="50" customFormat="1">
      <c r="A140" s="50">
        <v>14704682</v>
      </c>
      <c r="W140" s="50">
        <v>1</v>
      </c>
      <c r="X140" s="50">
        <v>1</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row>
    <row r="141" spans="1:85" s="50" customFormat="1">
      <c r="A141" s="50">
        <v>14721405</v>
      </c>
      <c r="W141" s="50">
        <v>1</v>
      </c>
      <c r="X141" s="50">
        <v>1</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row>
    <row r="142" spans="1:85" s="50" customFormat="1">
      <c r="A142" s="50">
        <v>14721663</v>
      </c>
      <c r="W142" s="50">
        <v>1</v>
      </c>
      <c r="X142" s="50">
        <v>1</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row>
    <row r="143" spans="1:85" s="50" customFormat="1">
      <c r="A143" s="50">
        <v>14737918</v>
      </c>
      <c r="W143" s="50">
        <v>2</v>
      </c>
      <c r="X143" s="50">
        <v>2</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row>
    <row r="144" spans="1:85" s="50" customFormat="1">
      <c r="A144" s="50">
        <v>14753799</v>
      </c>
      <c r="W144" s="50">
        <v>1</v>
      </c>
      <c r="X144" s="50">
        <v>1</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row>
    <row r="145" spans="1:24">
      <c r="A145" s="50" t="s">
        <v>1599</v>
      </c>
      <c r="B145" s="50">
        <v>8</v>
      </c>
      <c r="C145" s="50">
        <v>1</v>
      </c>
      <c r="D145" s="50">
        <v>1</v>
      </c>
      <c r="E145" s="50">
        <v>1</v>
      </c>
      <c r="F145" s="50">
        <v>1</v>
      </c>
      <c r="G145" s="50">
        <v>2</v>
      </c>
      <c r="H145" s="50">
        <v>1</v>
      </c>
      <c r="I145" s="50">
        <v>1</v>
      </c>
      <c r="J145" s="50">
        <v>1</v>
      </c>
      <c r="K145" s="50">
        <v>2</v>
      </c>
      <c r="L145" s="50">
        <v>2</v>
      </c>
      <c r="M145" s="50">
        <v>5</v>
      </c>
      <c r="N145" s="50">
        <v>5</v>
      </c>
      <c r="O145" s="50">
        <v>1</v>
      </c>
      <c r="P145" s="50">
        <v>2</v>
      </c>
      <c r="Q145" s="50">
        <v>1</v>
      </c>
      <c r="R145" s="50">
        <v>23</v>
      </c>
      <c r="S145" s="50">
        <v>2</v>
      </c>
      <c r="T145" s="50">
        <v>1</v>
      </c>
      <c r="U145" s="50">
        <v>1</v>
      </c>
      <c r="V145" s="50">
        <v>6</v>
      </c>
      <c r="W145" s="50">
        <v>202</v>
      </c>
      <c r="X145" s="50">
        <v>270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74ED8-569B-48A6-886E-1644BC4FAD80}">
  <sheetPr codeName="Sheet13"/>
  <dimension ref="A1:U129"/>
  <sheetViews>
    <sheetView workbookViewId="0"/>
  </sheetViews>
  <sheetFormatPr defaultRowHeight="14.45"/>
  <cols>
    <col min="1" max="1" width="26" bestFit="1" customWidth="1"/>
    <col min="3" max="5" width="8.7109375" style="50"/>
    <col min="9" max="9" width="11.28515625" bestFit="1" customWidth="1"/>
  </cols>
  <sheetData>
    <row r="1" spans="1:21">
      <c r="A1" s="55" t="s">
        <v>0</v>
      </c>
      <c r="B1" s="55" t="s">
        <v>1629</v>
      </c>
      <c r="C1" s="55" t="s">
        <v>1</v>
      </c>
      <c r="D1" s="55" t="s">
        <v>2</v>
      </c>
      <c r="E1" s="55" t="s">
        <v>3</v>
      </c>
      <c r="F1" s="55" t="s">
        <v>1433</v>
      </c>
      <c r="G1" s="55" t="s">
        <v>5</v>
      </c>
      <c r="H1" s="55" t="s">
        <v>6</v>
      </c>
      <c r="I1" s="55" t="s">
        <v>7</v>
      </c>
      <c r="J1" s="55" t="s">
        <v>1630</v>
      </c>
      <c r="K1" s="55" t="s">
        <v>9</v>
      </c>
      <c r="L1" s="55" t="s">
        <v>1600</v>
      </c>
      <c r="M1" s="55" t="s">
        <v>11</v>
      </c>
      <c r="N1" s="55" t="s">
        <v>12</v>
      </c>
      <c r="O1" s="55" t="s">
        <v>13</v>
      </c>
      <c r="P1" s="55" t="s">
        <v>1601</v>
      </c>
      <c r="Q1" s="55" t="s">
        <v>26</v>
      </c>
      <c r="R1" s="55" t="s">
        <v>31</v>
      </c>
      <c r="S1" s="55" t="s">
        <v>39</v>
      </c>
      <c r="T1" s="55" t="s">
        <v>40</v>
      </c>
      <c r="U1" s="55" t="s">
        <v>44</v>
      </c>
    </row>
    <row r="2" spans="1:21">
      <c r="A2" t="s">
        <v>551</v>
      </c>
      <c r="B2" t="s">
        <v>1631</v>
      </c>
      <c r="C2" s="50">
        <v>131</v>
      </c>
      <c r="D2" s="50">
        <v>170</v>
      </c>
      <c r="E2" s="50">
        <v>39</v>
      </c>
      <c r="G2" t="s">
        <v>1632</v>
      </c>
      <c r="I2" s="50">
        <v>11000230</v>
      </c>
      <c r="K2" t="s">
        <v>1633</v>
      </c>
      <c r="L2" t="s">
        <v>104</v>
      </c>
      <c r="O2" t="s">
        <v>1634</v>
      </c>
      <c r="P2" t="s">
        <v>14</v>
      </c>
      <c r="Q2" t="s">
        <v>344</v>
      </c>
      <c r="T2">
        <v>45552</v>
      </c>
    </row>
    <row r="3" spans="1:21">
      <c r="A3" t="s">
        <v>1605</v>
      </c>
      <c r="B3" t="s">
        <v>1631</v>
      </c>
      <c r="C3" s="50">
        <v>0</v>
      </c>
      <c r="D3" s="50">
        <v>40</v>
      </c>
      <c r="E3" s="50">
        <v>40</v>
      </c>
      <c r="I3" s="50">
        <v>11094346</v>
      </c>
      <c r="K3" t="s">
        <v>1635</v>
      </c>
      <c r="L3" t="s">
        <v>104</v>
      </c>
      <c r="P3" t="s">
        <v>122</v>
      </c>
      <c r="Q3" t="s">
        <v>1636</v>
      </c>
      <c r="T3">
        <v>45593</v>
      </c>
    </row>
    <row r="4" spans="1:21">
      <c r="A4" t="s">
        <v>171</v>
      </c>
      <c r="B4" t="s">
        <v>1637</v>
      </c>
      <c r="C4" s="50">
        <v>37</v>
      </c>
      <c r="D4" s="50">
        <v>76</v>
      </c>
      <c r="E4" s="50">
        <v>39</v>
      </c>
      <c r="G4" t="s">
        <v>1632</v>
      </c>
      <c r="I4" s="50">
        <v>12295210</v>
      </c>
      <c r="K4" t="s">
        <v>1638</v>
      </c>
      <c r="L4" t="s">
        <v>104</v>
      </c>
      <c r="O4" t="s">
        <v>1639</v>
      </c>
      <c r="P4" t="s">
        <v>115</v>
      </c>
      <c r="Q4" t="s">
        <v>344</v>
      </c>
      <c r="T4">
        <v>45568</v>
      </c>
    </row>
    <row r="5" spans="1:21">
      <c r="A5" t="s">
        <v>1606</v>
      </c>
      <c r="B5" t="s">
        <v>1637</v>
      </c>
      <c r="C5" s="50">
        <v>3</v>
      </c>
      <c r="D5" s="50">
        <v>10</v>
      </c>
      <c r="E5" s="50">
        <v>7</v>
      </c>
      <c r="G5" t="s">
        <v>1632</v>
      </c>
      <c r="I5" s="50">
        <v>12450880</v>
      </c>
      <c r="K5" t="s">
        <v>1640</v>
      </c>
      <c r="L5" t="s">
        <v>104</v>
      </c>
      <c r="O5" t="s">
        <v>1641</v>
      </c>
      <c r="P5" t="s">
        <v>115</v>
      </c>
      <c r="Q5" t="s">
        <v>344</v>
      </c>
      <c r="T5">
        <v>45562</v>
      </c>
    </row>
    <row r="6" spans="1:21">
      <c r="A6" t="s">
        <v>1607</v>
      </c>
      <c r="B6" t="s">
        <v>1637</v>
      </c>
      <c r="C6" s="50">
        <v>20</v>
      </c>
      <c r="D6" s="50">
        <v>58</v>
      </c>
      <c r="E6" s="50">
        <v>38</v>
      </c>
      <c r="G6" t="s">
        <v>1632</v>
      </c>
      <c r="I6" s="50">
        <v>12541182</v>
      </c>
      <c r="K6" t="s">
        <v>1642</v>
      </c>
      <c r="L6" t="s">
        <v>104</v>
      </c>
      <c r="O6" t="s">
        <v>1643</v>
      </c>
      <c r="P6" t="s">
        <v>106</v>
      </c>
      <c r="Q6" t="s">
        <v>344</v>
      </c>
      <c r="T6">
        <v>45547</v>
      </c>
      <c r="U6">
        <v>45553</v>
      </c>
    </row>
    <row r="7" spans="1:21">
      <c r="A7" t="s">
        <v>1380</v>
      </c>
      <c r="B7" t="s">
        <v>1637</v>
      </c>
      <c r="C7" s="50">
        <v>3</v>
      </c>
      <c r="D7" s="50">
        <v>24</v>
      </c>
      <c r="E7" s="50">
        <v>21</v>
      </c>
      <c r="G7" t="s">
        <v>1632</v>
      </c>
      <c r="I7" s="50">
        <v>12582027</v>
      </c>
      <c r="K7" t="s">
        <v>1644</v>
      </c>
      <c r="L7" t="s">
        <v>104</v>
      </c>
      <c r="O7" t="s">
        <v>1645</v>
      </c>
      <c r="P7" t="s">
        <v>201</v>
      </c>
      <c r="Q7" t="s">
        <v>344</v>
      </c>
      <c r="T7">
        <v>45561</v>
      </c>
    </row>
    <row r="8" spans="1:21">
      <c r="A8" t="s">
        <v>1380</v>
      </c>
      <c r="B8" t="s">
        <v>1637</v>
      </c>
      <c r="C8" s="50">
        <v>4</v>
      </c>
      <c r="D8" s="50">
        <v>44</v>
      </c>
      <c r="E8" s="50">
        <v>40</v>
      </c>
      <c r="G8" t="s">
        <v>1632</v>
      </c>
      <c r="I8" s="50">
        <v>12734184</v>
      </c>
      <c r="K8" t="s">
        <v>1646</v>
      </c>
      <c r="L8" t="s">
        <v>104</v>
      </c>
      <c r="O8" t="s">
        <v>1647</v>
      </c>
      <c r="P8" t="s">
        <v>201</v>
      </c>
      <c r="Q8" t="s">
        <v>344</v>
      </c>
      <c r="T8">
        <v>45560</v>
      </c>
    </row>
    <row r="9" spans="1:21">
      <c r="A9" t="s">
        <v>1606</v>
      </c>
      <c r="B9" t="s">
        <v>1637</v>
      </c>
      <c r="C9" s="50">
        <v>8</v>
      </c>
      <c r="D9" s="50">
        <v>10</v>
      </c>
      <c r="E9" s="50">
        <v>2</v>
      </c>
      <c r="G9" t="s">
        <v>1632</v>
      </c>
      <c r="I9" s="50">
        <v>12748925</v>
      </c>
      <c r="K9" t="s">
        <v>1648</v>
      </c>
      <c r="L9" t="s">
        <v>104</v>
      </c>
      <c r="O9" t="s">
        <v>1649</v>
      </c>
      <c r="P9" t="s">
        <v>115</v>
      </c>
      <c r="Q9" t="s">
        <v>344</v>
      </c>
      <c r="T9">
        <v>45565</v>
      </c>
    </row>
    <row r="10" spans="1:21">
      <c r="A10" t="s">
        <v>183</v>
      </c>
      <c r="B10" t="s">
        <v>1650</v>
      </c>
      <c r="C10" s="50">
        <v>0</v>
      </c>
      <c r="E10" s="50">
        <v>0</v>
      </c>
      <c r="I10" s="50">
        <v>12778031</v>
      </c>
      <c r="K10" t="s">
        <v>1651</v>
      </c>
      <c r="L10" t="s">
        <v>104</v>
      </c>
      <c r="O10" t="s">
        <v>1652</v>
      </c>
      <c r="P10" t="s">
        <v>207</v>
      </c>
    </row>
    <row r="11" spans="1:21">
      <c r="A11" t="s">
        <v>1606</v>
      </c>
      <c r="B11" t="s">
        <v>1637</v>
      </c>
      <c r="C11" s="50">
        <v>0</v>
      </c>
      <c r="D11" s="50">
        <v>0</v>
      </c>
      <c r="E11" s="50">
        <v>0</v>
      </c>
      <c r="G11" t="s">
        <v>1632</v>
      </c>
      <c r="I11" s="50">
        <v>12878180</v>
      </c>
      <c r="K11" t="s">
        <v>1653</v>
      </c>
      <c r="L11" t="s">
        <v>104</v>
      </c>
      <c r="O11" t="s">
        <v>1654</v>
      </c>
      <c r="P11" t="s">
        <v>201</v>
      </c>
      <c r="Q11" t="s">
        <v>344</v>
      </c>
      <c r="T11">
        <v>45562</v>
      </c>
    </row>
    <row r="12" spans="1:21">
      <c r="A12" t="s">
        <v>183</v>
      </c>
      <c r="B12" t="s">
        <v>1650</v>
      </c>
      <c r="C12" s="50">
        <v>0</v>
      </c>
      <c r="E12" s="50">
        <v>0</v>
      </c>
      <c r="I12" s="50">
        <v>12942266</v>
      </c>
      <c r="K12" t="s">
        <v>1655</v>
      </c>
      <c r="L12" t="s">
        <v>104</v>
      </c>
      <c r="M12" t="s">
        <v>332</v>
      </c>
      <c r="O12" t="s">
        <v>1656</v>
      </c>
      <c r="P12" t="s">
        <v>207</v>
      </c>
      <c r="U12">
        <v>45545</v>
      </c>
    </row>
    <row r="13" spans="1:21">
      <c r="A13" t="s">
        <v>183</v>
      </c>
      <c r="B13" t="s">
        <v>1650</v>
      </c>
      <c r="C13" s="50">
        <v>0</v>
      </c>
      <c r="E13" s="50">
        <v>0</v>
      </c>
      <c r="I13" s="50">
        <v>12942271</v>
      </c>
      <c r="K13" t="s">
        <v>1657</v>
      </c>
      <c r="L13" t="s">
        <v>104</v>
      </c>
      <c r="M13" t="s">
        <v>332</v>
      </c>
      <c r="O13" t="s">
        <v>1656</v>
      </c>
      <c r="P13" t="s">
        <v>207</v>
      </c>
    </row>
    <row r="14" spans="1:21">
      <c r="A14" t="s">
        <v>260</v>
      </c>
      <c r="B14" t="s">
        <v>1631</v>
      </c>
      <c r="C14" s="50">
        <v>14</v>
      </c>
      <c r="D14" s="50">
        <v>15</v>
      </c>
      <c r="E14" s="50">
        <v>1</v>
      </c>
      <c r="G14" t="s">
        <v>1632</v>
      </c>
      <c r="I14" s="50">
        <v>13066431</v>
      </c>
      <c r="K14" t="s">
        <v>1658</v>
      </c>
      <c r="L14" t="s">
        <v>104</v>
      </c>
      <c r="M14" t="s">
        <v>332</v>
      </c>
      <c r="O14" t="s">
        <v>1659</v>
      </c>
      <c r="P14" t="s">
        <v>115</v>
      </c>
      <c r="Q14" t="s">
        <v>344</v>
      </c>
      <c r="T14" t="s">
        <v>1583</v>
      </c>
    </row>
    <row r="15" spans="1:21">
      <c r="A15" t="s">
        <v>171</v>
      </c>
      <c r="B15" t="s">
        <v>1637</v>
      </c>
      <c r="C15" s="50">
        <v>0</v>
      </c>
      <c r="D15" s="50">
        <v>76</v>
      </c>
      <c r="E15" s="50">
        <v>76</v>
      </c>
      <c r="G15" t="s">
        <v>1632</v>
      </c>
      <c r="I15" s="50">
        <v>13088591</v>
      </c>
      <c r="K15" t="s">
        <v>1660</v>
      </c>
      <c r="L15" t="s">
        <v>104</v>
      </c>
      <c r="M15" t="s">
        <v>332</v>
      </c>
      <c r="O15" t="s">
        <v>1661</v>
      </c>
      <c r="P15" t="s">
        <v>115</v>
      </c>
      <c r="Q15" t="s">
        <v>344</v>
      </c>
      <c r="T15">
        <v>45568</v>
      </c>
    </row>
    <row r="16" spans="1:21">
      <c r="A16" t="s">
        <v>623</v>
      </c>
      <c r="B16" t="s">
        <v>1631</v>
      </c>
      <c r="C16" s="50">
        <v>0</v>
      </c>
      <c r="D16" s="50">
        <v>250</v>
      </c>
      <c r="E16" s="50">
        <v>250</v>
      </c>
      <c r="I16" s="50">
        <v>13117151</v>
      </c>
      <c r="K16" t="s">
        <v>1662</v>
      </c>
      <c r="L16" t="s">
        <v>104</v>
      </c>
      <c r="O16" t="s">
        <v>1663</v>
      </c>
      <c r="P16" t="s">
        <v>201</v>
      </c>
      <c r="Q16" t="s">
        <v>344</v>
      </c>
      <c r="R16">
        <v>45526</v>
      </c>
      <c r="T16" t="s">
        <v>270</v>
      </c>
    </row>
    <row r="17" spans="1:21">
      <c r="A17" t="s">
        <v>1608</v>
      </c>
      <c r="B17" t="s">
        <v>1631</v>
      </c>
      <c r="C17" s="50">
        <v>0</v>
      </c>
      <c r="E17" s="50">
        <v>0</v>
      </c>
      <c r="I17" s="50">
        <v>13147882</v>
      </c>
      <c r="K17" t="s">
        <v>1664</v>
      </c>
      <c r="L17" t="s">
        <v>104</v>
      </c>
      <c r="M17" t="s">
        <v>332</v>
      </c>
      <c r="O17" t="s">
        <v>1665</v>
      </c>
      <c r="P17" t="s">
        <v>207</v>
      </c>
    </row>
    <row r="18" spans="1:21">
      <c r="A18" t="s">
        <v>1609</v>
      </c>
      <c r="B18" t="s">
        <v>1637</v>
      </c>
      <c r="C18" s="50">
        <v>33</v>
      </c>
      <c r="D18" s="50">
        <v>69</v>
      </c>
      <c r="E18" s="50">
        <v>36</v>
      </c>
      <c r="G18" t="s">
        <v>1632</v>
      </c>
      <c r="I18" s="50">
        <v>13148021</v>
      </c>
      <c r="K18" t="s">
        <v>1666</v>
      </c>
      <c r="L18" t="s">
        <v>104</v>
      </c>
      <c r="M18" t="s">
        <v>332</v>
      </c>
      <c r="O18" t="s">
        <v>1667</v>
      </c>
      <c r="P18" t="s">
        <v>115</v>
      </c>
      <c r="Q18" t="s">
        <v>344</v>
      </c>
      <c r="T18">
        <v>45554</v>
      </c>
    </row>
    <row r="19" spans="1:21">
      <c r="A19" t="s">
        <v>1610</v>
      </c>
      <c r="B19" t="s">
        <v>1637</v>
      </c>
      <c r="C19" s="50">
        <v>0</v>
      </c>
      <c r="D19" s="50">
        <v>20</v>
      </c>
      <c r="E19" s="50">
        <v>20</v>
      </c>
      <c r="I19" s="50">
        <v>13148104</v>
      </c>
      <c r="K19" t="s">
        <v>1668</v>
      </c>
      <c r="L19" t="s">
        <v>104</v>
      </c>
      <c r="M19" t="s">
        <v>332</v>
      </c>
      <c r="O19" t="s">
        <v>1669</v>
      </c>
      <c r="P19" t="s">
        <v>201</v>
      </c>
    </row>
    <row r="20" spans="1:21">
      <c r="A20" t="s">
        <v>1611</v>
      </c>
      <c r="B20" t="s">
        <v>1637</v>
      </c>
      <c r="C20" s="50">
        <v>0</v>
      </c>
      <c r="D20" s="50">
        <v>0</v>
      </c>
      <c r="E20" s="50">
        <v>0</v>
      </c>
      <c r="G20" t="s">
        <v>1632</v>
      </c>
      <c r="H20" t="s">
        <v>1632</v>
      </c>
      <c r="I20" s="50">
        <v>13151029</v>
      </c>
      <c r="K20" t="s">
        <v>1670</v>
      </c>
      <c r="L20" t="s">
        <v>104</v>
      </c>
      <c r="M20" t="s">
        <v>332</v>
      </c>
      <c r="O20" t="s">
        <v>1671</v>
      </c>
      <c r="P20" t="s">
        <v>106</v>
      </c>
      <c r="Q20" t="s">
        <v>1672</v>
      </c>
      <c r="R20">
        <v>45512</v>
      </c>
      <c r="U20">
        <v>45533</v>
      </c>
    </row>
    <row r="21" spans="1:21">
      <c r="A21" t="s">
        <v>577</v>
      </c>
      <c r="B21" t="s">
        <v>1631</v>
      </c>
      <c r="C21" s="50">
        <v>0</v>
      </c>
      <c r="D21" s="50">
        <v>60</v>
      </c>
      <c r="E21" s="50">
        <v>60</v>
      </c>
      <c r="I21" s="50">
        <v>13151293</v>
      </c>
      <c r="K21" t="s">
        <v>1673</v>
      </c>
      <c r="L21" t="s">
        <v>104</v>
      </c>
      <c r="M21" t="s">
        <v>332</v>
      </c>
      <c r="O21" t="s">
        <v>1674</v>
      </c>
      <c r="P21" t="s">
        <v>207</v>
      </c>
      <c r="T21">
        <v>45562</v>
      </c>
    </row>
    <row r="22" spans="1:21">
      <c r="A22" t="s">
        <v>1609</v>
      </c>
      <c r="B22" t="s">
        <v>1637</v>
      </c>
      <c r="C22" s="50">
        <v>0</v>
      </c>
      <c r="D22" s="50">
        <v>69</v>
      </c>
      <c r="E22" s="50">
        <v>69</v>
      </c>
      <c r="G22" t="s">
        <v>1632</v>
      </c>
      <c r="I22" s="50">
        <v>13153843</v>
      </c>
      <c r="K22" t="s">
        <v>336</v>
      </c>
      <c r="L22" t="s">
        <v>104</v>
      </c>
      <c r="M22" t="s">
        <v>332</v>
      </c>
      <c r="O22" t="s">
        <v>1675</v>
      </c>
      <c r="P22" t="s">
        <v>201</v>
      </c>
      <c r="Q22" t="s">
        <v>344</v>
      </c>
      <c r="T22">
        <v>45554</v>
      </c>
    </row>
    <row r="23" spans="1:21">
      <c r="A23" t="s">
        <v>1609</v>
      </c>
      <c r="B23" t="s">
        <v>1637</v>
      </c>
      <c r="C23" s="50">
        <v>0</v>
      </c>
      <c r="D23" s="50">
        <v>69</v>
      </c>
      <c r="E23" s="50">
        <v>69</v>
      </c>
      <c r="G23" t="s">
        <v>1632</v>
      </c>
      <c r="I23" s="50">
        <v>13153851</v>
      </c>
      <c r="K23" t="s">
        <v>1676</v>
      </c>
      <c r="L23" t="s">
        <v>104</v>
      </c>
      <c r="M23" t="s">
        <v>332</v>
      </c>
      <c r="O23" t="s">
        <v>1675</v>
      </c>
      <c r="P23" t="s">
        <v>201</v>
      </c>
      <c r="Q23" t="s">
        <v>344</v>
      </c>
      <c r="T23">
        <v>45554</v>
      </c>
    </row>
    <row r="24" spans="1:21">
      <c r="A24" t="s">
        <v>1611</v>
      </c>
      <c r="B24" t="s">
        <v>1637</v>
      </c>
      <c r="C24" s="50">
        <v>0</v>
      </c>
      <c r="D24" s="50">
        <v>0</v>
      </c>
      <c r="E24" s="50">
        <v>0</v>
      </c>
      <c r="G24" t="s">
        <v>1632</v>
      </c>
      <c r="H24" t="s">
        <v>1632</v>
      </c>
      <c r="I24" s="50">
        <v>13153857</v>
      </c>
      <c r="K24" t="s">
        <v>1677</v>
      </c>
      <c r="L24" t="s">
        <v>104</v>
      </c>
      <c r="M24" t="s">
        <v>332</v>
      </c>
      <c r="O24" t="s">
        <v>1671</v>
      </c>
      <c r="P24" t="s">
        <v>106</v>
      </c>
      <c r="Q24" t="s">
        <v>1672</v>
      </c>
      <c r="R24">
        <v>45512</v>
      </c>
      <c r="T24" t="s">
        <v>125</v>
      </c>
      <c r="U24">
        <v>45533</v>
      </c>
    </row>
    <row r="25" spans="1:21">
      <c r="A25" t="s">
        <v>1611</v>
      </c>
      <c r="B25" t="s">
        <v>1637</v>
      </c>
      <c r="C25" s="50">
        <v>0</v>
      </c>
      <c r="D25" s="50">
        <v>0</v>
      </c>
      <c r="E25" s="50">
        <v>0</v>
      </c>
      <c r="G25" t="s">
        <v>1632</v>
      </c>
      <c r="H25" t="s">
        <v>1632</v>
      </c>
      <c r="I25" s="50">
        <v>13153883</v>
      </c>
      <c r="K25" t="s">
        <v>1678</v>
      </c>
      <c r="L25" t="s">
        <v>104</v>
      </c>
      <c r="M25" t="s">
        <v>332</v>
      </c>
      <c r="O25" t="s">
        <v>1671</v>
      </c>
      <c r="P25" t="s">
        <v>106</v>
      </c>
      <c r="Q25" t="s">
        <v>1672</v>
      </c>
      <c r="R25">
        <v>45512</v>
      </c>
      <c r="T25" t="s">
        <v>125</v>
      </c>
      <c r="U25">
        <v>45533</v>
      </c>
    </row>
    <row r="26" spans="1:21">
      <c r="A26" t="s">
        <v>1607</v>
      </c>
      <c r="B26" t="s">
        <v>1637</v>
      </c>
      <c r="C26" s="50">
        <v>0</v>
      </c>
      <c r="D26" s="50">
        <v>0</v>
      </c>
      <c r="E26" s="50">
        <v>0</v>
      </c>
      <c r="G26" t="s">
        <v>1632</v>
      </c>
      <c r="I26" s="50">
        <v>13153903</v>
      </c>
      <c r="K26" t="s">
        <v>1679</v>
      </c>
      <c r="L26" t="s">
        <v>104</v>
      </c>
      <c r="M26" t="s">
        <v>332</v>
      </c>
      <c r="O26" t="s">
        <v>1680</v>
      </c>
      <c r="P26" t="s">
        <v>106</v>
      </c>
      <c r="Q26" t="s">
        <v>344</v>
      </c>
      <c r="T26">
        <v>45547</v>
      </c>
      <c r="U26">
        <v>45553</v>
      </c>
    </row>
    <row r="27" spans="1:21">
      <c r="A27" t="s">
        <v>1607</v>
      </c>
      <c r="B27" t="s">
        <v>1637</v>
      </c>
      <c r="C27" s="50">
        <v>24</v>
      </c>
      <c r="D27" s="50">
        <v>58</v>
      </c>
      <c r="E27" s="50">
        <v>34</v>
      </c>
      <c r="G27" t="s">
        <v>1632</v>
      </c>
      <c r="I27" s="50">
        <v>13208634</v>
      </c>
      <c r="K27" t="s">
        <v>1681</v>
      </c>
      <c r="L27" t="s">
        <v>104</v>
      </c>
      <c r="M27" t="s">
        <v>332</v>
      </c>
      <c r="O27" t="s">
        <v>1682</v>
      </c>
      <c r="P27" t="s">
        <v>106</v>
      </c>
      <c r="Q27" t="s">
        <v>344</v>
      </c>
      <c r="T27">
        <v>45547</v>
      </c>
      <c r="U27">
        <v>45553</v>
      </c>
    </row>
    <row r="28" spans="1:21">
      <c r="A28" t="s">
        <v>1612</v>
      </c>
      <c r="B28" t="s">
        <v>1631</v>
      </c>
      <c r="C28" s="50">
        <v>0</v>
      </c>
      <c r="D28" s="50">
        <v>30</v>
      </c>
      <c r="E28" s="50">
        <v>30</v>
      </c>
      <c r="I28" s="50">
        <v>13334991</v>
      </c>
      <c r="K28" t="s">
        <v>1683</v>
      </c>
      <c r="L28" t="s">
        <v>104</v>
      </c>
      <c r="O28" t="s">
        <v>1684</v>
      </c>
      <c r="P28" t="s">
        <v>201</v>
      </c>
      <c r="Q28" t="s">
        <v>1685</v>
      </c>
    </row>
    <row r="29" spans="1:21">
      <c r="A29" t="s">
        <v>1612</v>
      </c>
      <c r="B29" t="s">
        <v>1631</v>
      </c>
      <c r="C29" s="50">
        <v>31.5</v>
      </c>
      <c r="D29" s="50">
        <v>100</v>
      </c>
      <c r="I29" s="50">
        <v>14737918</v>
      </c>
      <c r="K29" t="s">
        <v>1686</v>
      </c>
      <c r="L29" t="s">
        <v>104</v>
      </c>
      <c r="O29" t="s">
        <v>1687</v>
      </c>
      <c r="P29" t="s">
        <v>115</v>
      </c>
      <c r="T29">
        <v>45559</v>
      </c>
    </row>
    <row r="30" spans="1:21">
      <c r="A30" t="s">
        <v>577</v>
      </c>
      <c r="B30" t="s">
        <v>1631</v>
      </c>
      <c r="C30" s="50">
        <v>0</v>
      </c>
      <c r="E30" s="50">
        <v>0</v>
      </c>
      <c r="I30" s="50">
        <v>13371135</v>
      </c>
      <c r="K30" t="s">
        <v>1688</v>
      </c>
      <c r="L30" t="s">
        <v>104</v>
      </c>
      <c r="P30" t="s">
        <v>201</v>
      </c>
      <c r="T30">
        <v>45590</v>
      </c>
    </row>
    <row r="31" spans="1:21">
      <c r="A31" t="s">
        <v>1610</v>
      </c>
      <c r="B31" t="s">
        <v>1637</v>
      </c>
      <c r="C31" s="50">
        <v>0</v>
      </c>
      <c r="D31" s="50">
        <v>0</v>
      </c>
      <c r="E31" s="50">
        <v>0</v>
      </c>
      <c r="G31" t="s">
        <v>1632</v>
      </c>
      <c r="I31" s="50">
        <v>13377807</v>
      </c>
      <c r="K31" t="s">
        <v>1689</v>
      </c>
      <c r="L31" t="s">
        <v>104</v>
      </c>
      <c r="O31" t="s">
        <v>1690</v>
      </c>
      <c r="P31" t="s">
        <v>231</v>
      </c>
      <c r="Q31" t="s">
        <v>344</v>
      </c>
    </row>
    <row r="32" spans="1:21">
      <c r="A32" t="s">
        <v>1611</v>
      </c>
      <c r="B32" t="s">
        <v>1637</v>
      </c>
      <c r="C32" s="50">
        <v>0</v>
      </c>
      <c r="D32" s="50">
        <v>0</v>
      </c>
      <c r="G32" t="s">
        <v>1632</v>
      </c>
      <c r="H32" t="s">
        <v>1632</v>
      </c>
      <c r="I32" s="50">
        <v>13377818</v>
      </c>
      <c r="K32" t="s">
        <v>1691</v>
      </c>
      <c r="L32" t="s">
        <v>104</v>
      </c>
      <c r="O32" t="s">
        <v>1671</v>
      </c>
      <c r="P32" t="s">
        <v>106</v>
      </c>
      <c r="Q32" t="s">
        <v>1672</v>
      </c>
      <c r="R32">
        <v>45512</v>
      </c>
      <c r="T32" t="s">
        <v>125</v>
      </c>
      <c r="U32">
        <v>45533</v>
      </c>
    </row>
    <row r="33" spans="1:21">
      <c r="A33" t="s">
        <v>1602</v>
      </c>
      <c r="B33" t="s">
        <v>1631</v>
      </c>
      <c r="C33" s="50">
        <v>30</v>
      </c>
      <c r="D33" s="50">
        <v>30</v>
      </c>
      <c r="E33" s="50">
        <v>0</v>
      </c>
      <c r="G33" t="s">
        <v>1632</v>
      </c>
      <c r="I33" s="50">
        <v>13389252</v>
      </c>
      <c r="K33" t="s">
        <v>1692</v>
      </c>
      <c r="L33" t="s">
        <v>104</v>
      </c>
      <c r="M33" t="s">
        <v>1693</v>
      </c>
      <c r="O33" t="s">
        <v>1694</v>
      </c>
      <c r="P33" t="s">
        <v>115</v>
      </c>
      <c r="Q33" t="s">
        <v>344</v>
      </c>
      <c r="T33">
        <v>45535</v>
      </c>
    </row>
    <row r="34" spans="1:21">
      <c r="A34" t="s">
        <v>1602</v>
      </c>
      <c r="B34" t="s">
        <v>1631</v>
      </c>
      <c r="C34" s="50">
        <v>37</v>
      </c>
      <c r="D34" s="50">
        <v>40</v>
      </c>
      <c r="E34" s="50">
        <v>3</v>
      </c>
      <c r="G34" t="s">
        <v>1632</v>
      </c>
      <c r="H34" t="s">
        <v>1632</v>
      </c>
      <c r="I34" s="50">
        <v>14578077</v>
      </c>
      <c r="K34" t="s">
        <v>1695</v>
      </c>
      <c r="L34" t="s">
        <v>104</v>
      </c>
      <c r="O34" t="s">
        <v>1696</v>
      </c>
      <c r="P34" t="s">
        <v>106</v>
      </c>
      <c r="Q34" t="s">
        <v>1672</v>
      </c>
      <c r="R34">
        <v>45512</v>
      </c>
      <c r="T34">
        <v>45533</v>
      </c>
      <c r="U34">
        <v>45525</v>
      </c>
    </row>
    <row r="35" spans="1:21">
      <c r="A35" t="s">
        <v>1607</v>
      </c>
      <c r="B35" t="s">
        <v>1637</v>
      </c>
      <c r="C35" s="50">
        <v>38</v>
      </c>
      <c r="D35" s="50">
        <v>140</v>
      </c>
      <c r="E35" s="50">
        <v>102</v>
      </c>
      <c r="G35" t="s">
        <v>1632</v>
      </c>
      <c r="I35" s="50">
        <v>13389810</v>
      </c>
      <c r="K35" t="s">
        <v>1697</v>
      </c>
      <c r="L35" t="s">
        <v>104</v>
      </c>
      <c r="O35" t="s">
        <v>1698</v>
      </c>
      <c r="P35" t="s">
        <v>106</v>
      </c>
      <c r="Q35" t="s">
        <v>344</v>
      </c>
      <c r="T35">
        <v>45596</v>
      </c>
      <c r="U35">
        <v>45544</v>
      </c>
    </row>
    <row r="36" spans="1:21">
      <c r="A36" t="s">
        <v>1612</v>
      </c>
      <c r="B36" t="s">
        <v>1631</v>
      </c>
      <c r="C36" s="50">
        <v>0</v>
      </c>
      <c r="E36" s="50">
        <v>0</v>
      </c>
      <c r="G36" t="s">
        <v>1632</v>
      </c>
      <c r="H36" t="s">
        <v>1632</v>
      </c>
      <c r="I36" s="50">
        <v>13424248</v>
      </c>
      <c r="K36" t="s">
        <v>1699</v>
      </c>
      <c r="L36" t="s">
        <v>104</v>
      </c>
      <c r="P36" t="s">
        <v>106</v>
      </c>
      <c r="Q36" t="s">
        <v>1672</v>
      </c>
      <c r="R36">
        <v>45516</v>
      </c>
      <c r="U36">
        <v>45509</v>
      </c>
    </row>
    <row r="37" spans="1:21">
      <c r="A37" t="s">
        <v>1611</v>
      </c>
      <c r="B37" t="s">
        <v>1637</v>
      </c>
      <c r="C37" s="50">
        <v>99</v>
      </c>
      <c r="D37" s="50">
        <v>36</v>
      </c>
      <c r="E37" s="50">
        <v>-63</v>
      </c>
      <c r="G37" t="s">
        <v>1632</v>
      </c>
      <c r="I37" s="50">
        <v>13444612</v>
      </c>
      <c r="K37" t="s">
        <v>1700</v>
      </c>
      <c r="L37" t="s">
        <v>104</v>
      </c>
      <c r="M37" t="s">
        <v>1701</v>
      </c>
      <c r="O37" t="s">
        <v>1702</v>
      </c>
      <c r="P37" t="s">
        <v>14</v>
      </c>
      <c r="Q37" t="s">
        <v>344</v>
      </c>
      <c r="T37">
        <v>45562</v>
      </c>
    </row>
    <row r="38" spans="1:21">
      <c r="A38" t="s">
        <v>1605</v>
      </c>
      <c r="B38" t="s">
        <v>1631</v>
      </c>
      <c r="C38" s="50">
        <v>0</v>
      </c>
      <c r="D38" s="50">
        <v>40</v>
      </c>
      <c r="E38" s="50">
        <v>40</v>
      </c>
      <c r="G38" t="s">
        <v>1632</v>
      </c>
      <c r="I38" s="50">
        <v>13530028</v>
      </c>
      <c r="K38" t="s">
        <v>1703</v>
      </c>
      <c r="L38" t="s">
        <v>104</v>
      </c>
      <c r="M38" t="s">
        <v>1704</v>
      </c>
      <c r="O38" t="s">
        <v>1705</v>
      </c>
      <c r="P38" t="s">
        <v>14</v>
      </c>
      <c r="Q38" t="s">
        <v>344</v>
      </c>
      <c r="T38">
        <v>45565</v>
      </c>
    </row>
    <row r="39" spans="1:21">
      <c r="A39" t="s">
        <v>612</v>
      </c>
      <c r="B39" t="s">
        <v>1631</v>
      </c>
      <c r="C39" s="50">
        <v>0</v>
      </c>
      <c r="D39" s="50">
        <v>50</v>
      </c>
      <c r="E39" s="50">
        <v>50</v>
      </c>
      <c r="I39" s="50">
        <v>13532541</v>
      </c>
      <c r="K39" t="s">
        <v>1706</v>
      </c>
      <c r="L39" t="s">
        <v>104</v>
      </c>
      <c r="P39" t="s">
        <v>122</v>
      </c>
      <c r="T39">
        <v>45590</v>
      </c>
    </row>
    <row r="40" spans="1:21">
      <c r="A40" t="s">
        <v>389</v>
      </c>
      <c r="B40" t="s">
        <v>1631</v>
      </c>
      <c r="C40" s="50">
        <v>4</v>
      </c>
      <c r="D40" s="50">
        <v>45</v>
      </c>
      <c r="E40" s="50">
        <v>41</v>
      </c>
      <c r="I40" s="50">
        <v>14118978</v>
      </c>
      <c r="K40" t="s">
        <v>1707</v>
      </c>
      <c r="L40" t="s">
        <v>904</v>
      </c>
      <c r="O40" t="s">
        <v>1708</v>
      </c>
      <c r="P40" t="s">
        <v>106</v>
      </c>
      <c r="U40">
        <v>45544</v>
      </c>
    </row>
    <row r="41" spans="1:21">
      <c r="A41" t="s">
        <v>389</v>
      </c>
      <c r="B41" t="s">
        <v>1631</v>
      </c>
      <c r="C41" s="50">
        <v>28</v>
      </c>
      <c r="D41" s="50">
        <v>50</v>
      </c>
      <c r="E41" s="50">
        <v>22</v>
      </c>
      <c r="G41" t="s">
        <v>1632</v>
      </c>
      <c r="I41" s="50">
        <v>13543919</v>
      </c>
      <c r="K41" t="s">
        <v>1709</v>
      </c>
      <c r="L41" t="s">
        <v>104</v>
      </c>
      <c r="O41" t="s">
        <v>1710</v>
      </c>
      <c r="P41" t="s">
        <v>115</v>
      </c>
      <c r="Q41" t="s">
        <v>344</v>
      </c>
      <c r="T41">
        <v>45560</v>
      </c>
    </row>
    <row r="42" spans="1:21">
      <c r="A42" t="s">
        <v>1610</v>
      </c>
      <c r="B42" t="s">
        <v>1637</v>
      </c>
      <c r="C42" s="50">
        <v>10</v>
      </c>
      <c r="D42" s="50">
        <v>10</v>
      </c>
      <c r="E42" s="50">
        <v>0</v>
      </c>
      <c r="G42" t="s">
        <v>1632</v>
      </c>
      <c r="I42" s="50">
        <v>13579065</v>
      </c>
      <c r="K42" t="s">
        <v>1711</v>
      </c>
      <c r="L42" t="s">
        <v>104</v>
      </c>
      <c r="O42" t="s">
        <v>1712</v>
      </c>
      <c r="P42" t="s">
        <v>231</v>
      </c>
      <c r="Q42" t="s">
        <v>344</v>
      </c>
      <c r="T42">
        <v>45575</v>
      </c>
      <c r="U42">
        <v>45544</v>
      </c>
    </row>
    <row r="43" spans="1:21">
      <c r="A43" t="s">
        <v>1609</v>
      </c>
      <c r="B43" t="s">
        <v>1637</v>
      </c>
      <c r="C43" s="50">
        <v>0</v>
      </c>
      <c r="D43" s="50">
        <v>69</v>
      </c>
      <c r="E43" s="50">
        <v>69</v>
      </c>
      <c r="G43" t="s">
        <v>1632</v>
      </c>
      <c r="I43" s="50">
        <v>13608762</v>
      </c>
      <c r="K43" t="s">
        <v>1713</v>
      </c>
      <c r="L43" t="s">
        <v>104</v>
      </c>
      <c r="O43" t="s">
        <v>1675</v>
      </c>
      <c r="P43" t="s">
        <v>201</v>
      </c>
      <c r="Q43" t="s">
        <v>344</v>
      </c>
      <c r="T43">
        <v>45554</v>
      </c>
    </row>
    <row r="44" spans="1:21">
      <c r="A44" t="s">
        <v>212</v>
      </c>
      <c r="B44" t="s">
        <v>1637</v>
      </c>
      <c r="C44" s="50">
        <v>0</v>
      </c>
      <c r="D44" s="50">
        <v>16</v>
      </c>
      <c r="E44" s="50">
        <v>16</v>
      </c>
      <c r="I44" s="50">
        <v>13665891</v>
      </c>
      <c r="K44" t="s">
        <v>1714</v>
      </c>
      <c r="L44" t="s">
        <v>104</v>
      </c>
      <c r="O44" t="s">
        <v>1715</v>
      </c>
      <c r="P44" t="s">
        <v>115</v>
      </c>
      <c r="T44">
        <v>45569</v>
      </c>
    </row>
    <row r="45" spans="1:21">
      <c r="A45" t="s">
        <v>1608</v>
      </c>
      <c r="B45" t="s">
        <v>1631</v>
      </c>
      <c r="C45" s="50">
        <v>0</v>
      </c>
      <c r="E45" s="50">
        <v>0</v>
      </c>
      <c r="I45" s="50">
        <v>13665944</v>
      </c>
      <c r="K45" t="s">
        <v>1716</v>
      </c>
      <c r="L45" t="s">
        <v>104</v>
      </c>
      <c r="O45" t="s">
        <v>1717</v>
      </c>
      <c r="P45" t="s">
        <v>106</v>
      </c>
    </row>
    <row r="46" spans="1:21">
      <c r="A46" t="s">
        <v>260</v>
      </c>
      <c r="B46" t="s">
        <v>1631</v>
      </c>
      <c r="C46" s="50">
        <v>35</v>
      </c>
      <c r="D46" s="50">
        <v>100</v>
      </c>
      <c r="E46" s="50">
        <v>65</v>
      </c>
      <c r="G46" t="s">
        <v>1632</v>
      </c>
      <c r="I46" s="50">
        <v>13665988</v>
      </c>
      <c r="K46" t="s">
        <v>1718</v>
      </c>
      <c r="L46" t="s">
        <v>104</v>
      </c>
      <c r="O46" t="s">
        <v>1719</v>
      </c>
      <c r="P46" t="s">
        <v>115</v>
      </c>
      <c r="Q46" t="s">
        <v>344</v>
      </c>
      <c r="T46">
        <v>45545</v>
      </c>
    </row>
    <row r="47" spans="1:21">
      <c r="A47" t="s">
        <v>212</v>
      </c>
      <c r="B47" t="s">
        <v>1637</v>
      </c>
      <c r="C47" s="50">
        <v>14</v>
      </c>
      <c r="D47" s="50">
        <v>16</v>
      </c>
      <c r="E47" s="50">
        <v>2</v>
      </c>
      <c r="I47" s="50">
        <v>13718960</v>
      </c>
      <c r="K47" t="s">
        <v>1720</v>
      </c>
      <c r="L47" t="s">
        <v>104</v>
      </c>
      <c r="M47" t="s">
        <v>1721</v>
      </c>
      <c r="O47" t="s">
        <v>1722</v>
      </c>
      <c r="P47" t="s">
        <v>201</v>
      </c>
      <c r="Q47" t="s">
        <v>344</v>
      </c>
      <c r="T47">
        <v>45569</v>
      </c>
    </row>
    <row r="48" spans="1:21">
      <c r="A48" t="s">
        <v>577</v>
      </c>
      <c r="B48" t="s">
        <v>1631</v>
      </c>
      <c r="C48" s="50">
        <v>30</v>
      </c>
      <c r="D48" s="50">
        <v>30</v>
      </c>
      <c r="E48" s="50">
        <v>0</v>
      </c>
      <c r="G48" t="s">
        <v>1632</v>
      </c>
      <c r="I48" s="50">
        <v>13743222</v>
      </c>
      <c r="K48" t="s">
        <v>1723</v>
      </c>
      <c r="L48" t="s">
        <v>904</v>
      </c>
      <c r="O48" t="s">
        <v>1724</v>
      </c>
      <c r="P48" t="s">
        <v>106</v>
      </c>
      <c r="Q48" t="s">
        <v>344</v>
      </c>
      <c r="T48" t="s">
        <v>1598</v>
      </c>
      <c r="U48">
        <v>45544</v>
      </c>
    </row>
    <row r="49" spans="1:20">
      <c r="A49" t="s">
        <v>171</v>
      </c>
      <c r="B49" t="s">
        <v>1637</v>
      </c>
      <c r="C49" s="50">
        <v>0</v>
      </c>
      <c r="D49" s="50">
        <v>21</v>
      </c>
      <c r="E49" s="50">
        <v>21</v>
      </c>
      <c r="G49" t="s">
        <v>1632</v>
      </c>
      <c r="I49" s="50">
        <v>13751560</v>
      </c>
      <c r="K49" t="s">
        <v>1725</v>
      </c>
      <c r="L49" t="s">
        <v>104</v>
      </c>
      <c r="O49" t="s">
        <v>122</v>
      </c>
      <c r="P49" t="s">
        <v>122</v>
      </c>
      <c r="Q49" t="s">
        <v>344</v>
      </c>
      <c r="S49">
        <v>45562</v>
      </c>
      <c r="T49">
        <v>45574</v>
      </c>
    </row>
    <row r="50" spans="1:20">
      <c r="A50" t="s">
        <v>551</v>
      </c>
      <c r="B50" t="s">
        <v>1631</v>
      </c>
      <c r="D50" s="50">
        <v>24</v>
      </c>
      <c r="E50" s="50">
        <v>24</v>
      </c>
      <c r="I50" s="50">
        <v>13779220</v>
      </c>
      <c r="K50" t="s">
        <v>1726</v>
      </c>
      <c r="L50" t="s">
        <v>104</v>
      </c>
      <c r="O50" t="s">
        <v>1727</v>
      </c>
      <c r="P50" t="s">
        <v>14</v>
      </c>
      <c r="Q50" t="s">
        <v>344</v>
      </c>
      <c r="T50">
        <v>45611</v>
      </c>
    </row>
    <row r="51" spans="1:20">
      <c r="A51" t="s">
        <v>389</v>
      </c>
      <c r="B51" t="s">
        <v>1631</v>
      </c>
      <c r="C51" s="50">
        <v>0</v>
      </c>
      <c r="D51" s="50">
        <v>0</v>
      </c>
      <c r="E51" s="50">
        <v>0</v>
      </c>
      <c r="G51" t="s">
        <v>1632</v>
      </c>
      <c r="I51" s="50">
        <v>13850037</v>
      </c>
      <c r="K51" t="s">
        <v>1728</v>
      </c>
      <c r="L51" t="s">
        <v>104</v>
      </c>
      <c r="O51" t="s">
        <v>1729</v>
      </c>
      <c r="P51" t="s">
        <v>115</v>
      </c>
      <c r="Q51" t="s">
        <v>344</v>
      </c>
      <c r="T51">
        <v>45560</v>
      </c>
    </row>
    <row r="52" spans="1:20">
      <c r="A52" t="s">
        <v>1611</v>
      </c>
      <c r="B52" t="s">
        <v>1637</v>
      </c>
      <c r="C52" s="50">
        <v>4</v>
      </c>
      <c r="D52" s="50">
        <v>63</v>
      </c>
      <c r="E52" s="50">
        <v>59</v>
      </c>
      <c r="I52" s="50">
        <v>13868570</v>
      </c>
      <c r="K52" t="s">
        <v>1730</v>
      </c>
      <c r="L52" t="s">
        <v>104</v>
      </c>
      <c r="O52" t="s">
        <v>1731</v>
      </c>
      <c r="P52" t="s">
        <v>231</v>
      </c>
      <c r="Q52" t="s">
        <v>344</v>
      </c>
      <c r="T52">
        <v>45560</v>
      </c>
    </row>
    <row r="53" spans="1:20">
      <c r="A53" t="s">
        <v>171</v>
      </c>
      <c r="B53" t="s">
        <v>1637</v>
      </c>
      <c r="C53" s="50">
        <v>0</v>
      </c>
      <c r="D53" s="50">
        <v>21</v>
      </c>
      <c r="E53" s="50">
        <v>21</v>
      </c>
      <c r="G53" t="s">
        <v>1632</v>
      </c>
      <c r="I53" s="50">
        <v>14026935</v>
      </c>
      <c r="K53" t="s">
        <v>1732</v>
      </c>
      <c r="L53" t="s">
        <v>104</v>
      </c>
      <c r="O53" t="s">
        <v>122</v>
      </c>
      <c r="P53" t="s">
        <v>122</v>
      </c>
      <c r="Q53" t="s">
        <v>344</v>
      </c>
      <c r="S53">
        <v>45562</v>
      </c>
      <c r="T53">
        <v>45574</v>
      </c>
    </row>
    <row r="54" spans="1:20">
      <c r="A54" t="s">
        <v>1606</v>
      </c>
      <c r="B54" t="s">
        <v>1637</v>
      </c>
      <c r="C54" s="50">
        <v>0</v>
      </c>
      <c r="D54" s="50">
        <v>0</v>
      </c>
      <c r="E54" s="50">
        <v>0</v>
      </c>
      <c r="I54" s="50">
        <v>14063837</v>
      </c>
      <c r="K54" t="s">
        <v>1733</v>
      </c>
      <c r="L54" t="s">
        <v>104</v>
      </c>
      <c r="O54" t="s">
        <v>1654</v>
      </c>
      <c r="P54" t="s">
        <v>201</v>
      </c>
      <c r="T54">
        <v>45562</v>
      </c>
    </row>
    <row r="55" spans="1:20">
      <c r="A55" t="s">
        <v>1380</v>
      </c>
      <c r="B55" t="s">
        <v>1637</v>
      </c>
      <c r="C55" s="50">
        <v>10</v>
      </c>
      <c r="D55" s="50">
        <v>10</v>
      </c>
      <c r="E55" s="50">
        <v>0</v>
      </c>
      <c r="I55" s="50">
        <v>14114528</v>
      </c>
      <c r="K55" t="s">
        <v>1734</v>
      </c>
      <c r="L55" t="s">
        <v>104</v>
      </c>
      <c r="O55" t="s">
        <v>1735</v>
      </c>
      <c r="P55" t="s">
        <v>231</v>
      </c>
    </row>
    <row r="56" spans="1:20">
      <c r="A56" t="s">
        <v>577</v>
      </c>
      <c r="B56" t="s">
        <v>1631</v>
      </c>
      <c r="C56" s="50">
        <v>0</v>
      </c>
      <c r="D56" s="50">
        <v>70</v>
      </c>
      <c r="E56" s="50">
        <v>70</v>
      </c>
      <c r="I56" s="50">
        <v>14114589</v>
      </c>
      <c r="K56" t="s">
        <v>342</v>
      </c>
      <c r="L56" t="s">
        <v>104</v>
      </c>
      <c r="O56" t="s">
        <v>1736</v>
      </c>
      <c r="P56" t="s">
        <v>201</v>
      </c>
      <c r="T56" t="s">
        <v>125</v>
      </c>
    </row>
    <row r="57" spans="1:20">
      <c r="A57" t="s">
        <v>1380</v>
      </c>
      <c r="B57" t="s">
        <v>1637</v>
      </c>
      <c r="C57" s="50">
        <v>4</v>
      </c>
      <c r="D57" s="50">
        <v>44</v>
      </c>
      <c r="E57" s="50">
        <v>40</v>
      </c>
      <c r="G57" t="s">
        <v>1632</v>
      </c>
      <c r="I57" s="50">
        <v>14114621</v>
      </c>
      <c r="K57" t="s">
        <v>343</v>
      </c>
      <c r="L57" t="s">
        <v>104</v>
      </c>
      <c r="O57" t="s">
        <v>1737</v>
      </c>
      <c r="P57" t="s">
        <v>201</v>
      </c>
      <c r="Q57" t="s">
        <v>344</v>
      </c>
      <c r="T57">
        <v>45560</v>
      </c>
    </row>
    <row r="58" spans="1:20">
      <c r="A58" t="s">
        <v>389</v>
      </c>
      <c r="B58" t="s">
        <v>1631</v>
      </c>
      <c r="C58" s="50">
        <v>15</v>
      </c>
      <c r="D58" s="50">
        <v>60</v>
      </c>
      <c r="E58" s="50">
        <v>0</v>
      </c>
      <c r="G58" t="s">
        <v>1632</v>
      </c>
      <c r="I58" s="50">
        <v>14127834</v>
      </c>
      <c r="K58" t="s">
        <v>1738</v>
      </c>
      <c r="L58" t="s">
        <v>104</v>
      </c>
      <c r="O58" t="s">
        <v>1739</v>
      </c>
      <c r="P58" t="s">
        <v>115</v>
      </c>
      <c r="Q58" t="s">
        <v>344</v>
      </c>
      <c r="T58">
        <v>45560</v>
      </c>
    </row>
    <row r="59" spans="1:20">
      <c r="A59" t="s">
        <v>389</v>
      </c>
      <c r="B59" t="s">
        <v>1631</v>
      </c>
      <c r="C59" s="50">
        <v>15</v>
      </c>
      <c r="D59" s="50">
        <v>40</v>
      </c>
      <c r="E59" s="50">
        <v>0</v>
      </c>
      <c r="G59" t="s">
        <v>1632</v>
      </c>
      <c r="I59" s="50">
        <v>14135946</v>
      </c>
      <c r="K59" t="s">
        <v>1740</v>
      </c>
      <c r="L59" t="s">
        <v>104</v>
      </c>
      <c r="O59" t="s">
        <v>1741</v>
      </c>
      <c r="P59" t="s">
        <v>115</v>
      </c>
      <c r="Q59" t="s">
        <v>344</v>
      </c>
      <c r="T59">
        <v>45555</v>
      </c>
    </row>
    <row r="60" spans="1:20">
      <c r="A60" t="s">
        <v>612</v>
      </c>
      <c r="B60" t="s">
        <v>1631</v>
      </c>
      <c r="C60" s="50">
        <v>60</v>
      </c>
      <c r="D60" s="50">
        <v>70</v>
      </c>
      <c r="E60" s="50">
        <v>10</v>
      </c>
      <c r="G60" t="s">
        <v>1632</v>
      </c>
      <c r="I60" s="50">
        <v>14135947</v>
      </c>
      <c r="K60" t="s">
        <v>1742</v>
      </c>
      <c r="L60" t="s">
        <v>104</v>
      </c>
      <c r="O60" t="s">
        <v>1743</v>
      </c>
      <c r="P60" t="s">
        <v>115</v>
      </c>
      <c r="Q60" t="s">
        <v>344</v>
      </c>
      <c r="T60">
        <v>45555</v>
      </c>
    </row>
    <row r="61" spans="1:20">
      <c r="A61" t="s">
        <v>260</v>
      </c>
      <c r="B61" t="s">
        <v>1631</v>
      </c>
      <c r="C61" s="50">
        <v>0</v>
      </c>
      <c r="D61" s="50">
        <v>40</v>
      </c>
      <c r="E61" s="50">
        <v>0</v>
      </c>
      <c r="I61" s="50">
        <v>14218829</v>
      </c>
      <c r="K61" t="s">
        <v>1744</v>
      </c>
      <c r="L61" t="s">
        <v>104</v>
      </c>
      <c r="P61" t="s">
        <v>122</v>
      </c>
    </row>
    <row r="62" spans="1:20">
      <c r="A62" t="s">
        <v>212</v>
      </c>
      <c r="B62" t="s">
        <v>1637</v>
      </c>
      <c r="C62" s="50">
        <v>0</v>
      </c>
      <c r="D62" s="50">
        <v>16</v>
      </c>
      <c r="E62" s="50">
        <v>16</v>
      </c>
      <c r="I62" s="50">
        <v>14329073</v>
      </c>
      <c r="K62" t="s">
        <v>1745</v>
      </c>
      <c r="L62" t="s">
        <v>104</v>
      </c>
      <c r="O62" t="s">
        <v>1746</v>
      </c>
      <c r="P62" t="s">
        <v>207</v>
      </c>
      <c r="Q62" t="s">
        <v>344</v>
      </c>
      <c r="T62">
        <v>45569</v>
      </c>
    </row>
    <row r="63" spans="1:20">
      <c r="A63" t="s">
        <v>1610</v>
      </c>
      <c r="B63" t="s">
        <v>1637</v>
      </c>
      <c r="C63" s="50">
        <v>16</v>
      </c>
      <c r="D63" s="50">
        <v>11</v>
      </c>
      <c r="E63" s="50">
        <v>-5</v>
      </c>
      <c r="I63" s="50">
        <v>14329077</v>
      </c>
      <c r="K63" t="s">
        <v>1747</v>
      </c>
      <c r="L63" t="s">
        <v>104</v>
      </c>
      <c r="O63" t="s">
        <v>1748</v>
      </c>
      <c r="P63" t="s">
        <v>207</v>
      </c>
      <c r="Q63" t="s">
        <v>344</v>
      </c>
      <c r="S63">
        <v>45560</v>
      </c>
      <c r="T63">
        <v>45580</v>
      </c>
    </row>
    <row r="64" spans="1:20">
      <c r="A64" t="s">
        <v>316</v>
      </c>
      <c r="B64" t="s">
        <v>1650</v>
      </c>
      <c r="C64" s="50">
        <v>0</v>
      </c>
      <c r="E64" s="50">
        <v>0</v>
      </c>
      <c r="I64" s="50">
        <v>14345946</v>
      </c>
      <c r="K64" t="s">
        <v>1749</v>
      </c>
      <c r="L64" t="s">
        <v>104</v>
      </c>
      <c r="M64" t="s">
        <v>1750</v>
      </c>
      <c r="O64" t="s">
        <v>1751</v>
      </c>
      <c r="P64" t="s">
        <v>207</v>
      </c>
    </row>
    <row r="65" spans="1:20">
      <c r="A65" t="s">
        <v>1612</v>
      </c>
      <c r="B65" t="s">
        <v>1631</v>
      </c>
      <c r="C65" s="50">
        <v>0</v>
      </c>
      <c r="D65" s="50">
        <v>30</v>
      </c>
      <c r="E65" s="50">
        <v>30</v>
      </c>
      <c r="I65" s="50">
        <v>14363879</v>
      </c>
      <c r="K65" t="s">
        <v>1752</v>
      </c>
      <c r="L65" t="s">
        <v>104</v>
      </c>
      <c r="M65" t="s">
        <v>1750</v>
      </c>
      <c r="O65" t="s">
        <v>1753</v>
      </c>
      <c r="P65" t="s">
        <v>207</v>
      </c>
      <c r="T65">
        <v>45565</v>
      </c>
    </row>
    <row r="66" spans="1:20">
      <c r="A66" t="s">
        <v>577</v>
      </c>
      <c r="B66" t="s">
        <v>1631</v>
      </c>
      <c r="C66" s="50">
        <v>0</v>
      </c>
      <c r="D66" s="50">
        <v>25</v>
      </c>
      <c r="E66" s="50">
        <v>25</v>
      </c>
      <c r="I66" s="50">
        <v>14364440</v>
      </c>
      <c r="K66" t="s">
        <v>1754</v>
      </c>
      <c r="L66" t="s">
        <v>104</v>
      </c>
      <c r="M66" t="s">
        <v>1750</v>
      </c>
      <c r="O66" t="s">
        <v>1755</v>
      </c>
      <c r="P66" t="s">
        <v>207</v>
      </c>
      <c r="T66">
        <v>45562</v>
      </c>
    </row>
    <row r="67" spans="1:20">
      <c r="A67" t="s">
        <v>551</v>
      </c>
      <c r="B67" t="s">
        <v>1631</v>
      </c>
      <c r="C67" s="50">
        <v>0</v>
      </c>
      <c r="E67" s="50">
        <v>0</v>
      </c>
      <c r="I67" s="50">
        <v>14364545</v>
      </c>
      <c r="K67" t="s">
        <v>1756</v>
      </c>
      <c r="L67" t="s">
        <v>104</v>
      </c>
      <c r="O67" t="s">
        <v>1757</v>
      </c>
      <c r="P67" t="s">
        <v>201</v>
      </c>
      <c r="T67" t="s">
        <v>270</v>
      </c>
    </row>
    <row r="68" spans="1:20">
      <c r="A68" t="s">
        <v>551</v>
      </c>
      <c r="B68" t="s">
        <v>1631</v>
      </c>
      <c r="C68" s="50">
        <v>0</v>
      </c>
      <c r="E68" s="50">
        <v>0</v>
      </c>
      <c r="I68" s="50">
        <v>14364578</v>
      </c>
      <c r="K68" t="s">
        <v>1758</v>
      </c>
      <c r="L68" t="s">
        <v>104</v>
      </c>
      <c r="O68" t="s">
        <v>1757</v>
      </c>
      <c r="P68" t="s">
        <v>201</v>
      </c>
      <c r="T68" t="s">
        <v>270</v>
      </c>
    </row>
    <row r="69" spans="1:20">
      <c r="A69" t="s">
        <v>401</v>
      </c>
      <c r="B69" t="s">
        <v>1650</v>
      </c>
      <c r="C69" s="50">
        <v>15</v>
      </c>
      <c r="D69" s="50">
        <v>25</v>
      </c>
      <c r="E69" s="50">
        <v>10</v>
      </c>
      <c r="I69" s="50">
        <v>14395198</v>
      </c>
      <c r="K69" t="s">
        <v>1759</v>
      </c>
      <c r="L69" t="s">
        <v>104</v>
      </c>
      <c r="O69" t="s">
        <v>1760</v>
      </c>
      <c r="P69" t="s">
        <v>115</v>
      </c>
      <c r="S69">
        <v>45558</v>
      </c>
      <c r="T69">
        <v>45552</v>
      </c>
    </row>
    <row r="70" spans="1:20">
      <c r="A70" t="s">
        <v>401</v>
      </c>
      <c r="B70" t="s">
        <v>1650</v>
      </c>
      <c r="C70" s="50">
        <v>4</v>
      </c>
      <c r="D70" s="50">
        <v>25</v>
      </c>
      <c r="E70" s="50">
        <v>21</v>
      </c>
      <c r="I70" s="50">
        <v>14428693</v>
      </c>
      <c r="K70" t="s">
        <v>1761</v>
      </c>
      <c r="L70" t="s">
        <v>104</v>
      </c>
      <c r="O70" t="s">
        <v>1762</v>
      </c>
      <c r="P70" t="s">
        <v>115</v>
      </c>
      <c r="Q70" t="s">
        <v>344</v>
      </c>
      <c r="S70">
        <v>45558</v>
      </c>
      <c r="T70">
        <v>45552</v>
      </c>
    </row>
    <row r="71" spans="1:20">
      <c r="A71" t="s">
        <v>260</v>
      </c>
      <c r="B71" t="s">
        <v>1631</v>
      </c>
      <c r="D71" s="50">
        <v>20</v>
      </c>
      <c r="E71" s="50">
        <v>20</v>
      </c>
      <c r="G71" t="s">
        <v>1632</v>
      </c>
      <c r="I71" s="50">
        <v>14447513</v>
      </c>
      <c r="K71" t="s">
        <v>1763</v>
      </c>
      <c r="L71" t="s">
        <v>104</v>
      </c>
      <c r="O71" t="s">
        <v>1764</v>
      </c>
      <c r="P71" t="s">
        <v>207</v>
      </c>
      <c r="Q71" t="s">
        <v>344</v>
      </c>
      <c r="T71">
        <v>45562</v>
      </c>
    </row>
    <row r="72" spans="1:20">
      <c r="A72" t="s">
        <v>260</v>
      </c>
      <c r="B72" t="s">
        <v>1631</v>
      </c>
      <c r="C72" s="50">
        <v>19</v>
      </c>
      <c r="D72" s="50">
        <v>20</v>
      </c>
      <c r="E72" s="50">
        <v>0</v>
      </c>
      <c r="G72" t="s">
        <v>1632</v>
      </c>
      <c r="I72" s="50">
        <v>14447515</v>
      </c>
      <c r="K72" t="s">
        <v>1765</v>
      </c>
      <c r="L72" t="s">
        <v>104</v>
      </c>
      <c r="O72" t="s">
        <v>1719</v>
      </c>
      <c r="P72" t="s">
        <v>115</v>
      </c>
      <c r="Q72" t="s">
        <v>344</v>
      </c>
      <c r="T72">
        <v>45545</v>
      </c>
    </row>
    <row r="73" spans="1:20">
      <c r="A73" t="s">
        <v>1608</v>
      </c>
      <c r="B73" t="s">
        <v>1631</v>
      </c>
      <c r="C73" s="50">
        <v>0</v>
      </c>
      <c r="D73" s="50">
        <v>20</v>
      </c>
      <c r="E73" s="50">
        <v>20</v>
      </c>
      <c r="G73" t="s">
        <v>1632</v>
      </c>
      <c r="I73" s="50">
        <v>14447516</v>
      </c>
      <c r="K73" t="s">
        <v>1766</v>
      </c>
      <c r="L73" t="s">
        <v>104</v>
      </c>
      <c r="O73" t="s">
        <v>1767</v>
      </c>
      <c r="P73" t="s">
        <v>207</v>
      </c>
      <c r="Q73" t="s">
        <v>344</v>
      </c>
    </row>
    <row r="74" spans="1:20">
      <c r="A74" t="s">
        <v>1608</v>
      </c>
      <c r="B74" t="s">
        <v>1631</v>
      </c>
      <c r="C74" s="50">
        <v>22</v>
      </c>
      <c r="D74" s="50">
        <v>15</v>
      </c>
      <c r="E74" s="50">
        <v>-7</v>
      </c>
      <c r="G74" t="s">
        <v>1632</v>
      </c>
      <c r="I74" s="50">
        <v>14447518</v>
      </c>
      <c r="K74" t="s">
        <v>1768</v>
      </c>
      <c r="L74" t="s">
        <v>104</v>
      </c>
      <c r="O74" t="s">
        <v>1769</v>
      </c>
      <c r="P74" t="s">
        <v>115</v>
      </c>
      <c r="Q74" t="s">
        <v>344</v>
      </c>
      <c r="T74">
        <v>45565</v>
      </c>
    </row>
    <row r="75" spans="1:20">
      <c r="A75" t="s">
        <v>212</v>
      </c>
      <c r="B75" t="s">
        <v>1637</v>
      </c>
      <c r="C75" s="50">
        <v>0</v>
      </c>
      <c r="D75" s="50">
        <v>25</v>
      </c>
      <c r="E75" s="50">
        <v>25</v>
      </c>
      <c r="G75" t="s">
        <v>1632</v>
      </c>
      <c r="I75" s="50">
        <v>14447525</v>
      </c>
      <c r="K75" t="s">
        <v>1770</v>
      </c>
      <c r="L75" t="s">
        <v>104</v>
      </c>
      <c r="O75" t="s">
        <v>1764</v>
      </c>
      <c r="P75" t="s">
        <v>207</v>
      </c>
      <c r="Q75" t="s">
        <v>344</v>
      </c>
      <c r="T75">
        <v>45562</v>
      </c>
    </row>
    <row r="76" spans="1:20">
      <c r="A76" t="s">
        <v>612</v>
      </c>
      <c r="B76" t="s">
        <v>1631</v>
      </c>
      <c r="C76" s="50">
        <v>0</v>
      </c>
      <c r="D76" s="50">
        <v>30</v>
      </c>
      <c r="E76" s="50">
        <v>30</v>
      </c>
      <c r="G76" t="s">
        <v>1632</v>
      </c>
      <c r="I76" s="50">
        <v>14447585</v>
      </c>
      <c r="K76" t="s">
        <v>1771</v>
      </c>
      <c r="L76" t="s">
        <v>104</v>
      </c>
      <c r="O76" t="s">
        <v>1772</v>
      </c>
      <c r="P76" t="s">
        <v>207</v>
      </c>
      <c r="Q76" t="s">
        <v>344</v>
      </c>
      <c r="T76">
        <v>45565</v>
      </c>
    </row>
    <row r="77" spans="1:20">
      <c r="A77" t="s">
        <v>1380</v>
      </c>
      <c r="B77" t="s">
        <v>1637</v>
      </c>
      <c r="C77" s="50">
        <v>22</v>
      </c>
      <c r="D77" s="50">
        <v>44</v>
      </c>
      <c r="E77" s="50">
        <v>22</v>
      </c>
      <c r="G77" t="s">
        <v>1632</v>
      </c>
      <c r="I77" s="50">
        <v>14447586</v>
      </c>
      <c r="K77" t="s">
        <v>1773</v>
      </c>
      <c r="L77" t="s">
        <v>104</v>
      </c>
      <c r="O77" t="s">
        <v>1774</v>
      </c>
      <c r="P77" t="s">
        <v>115</v>
      </c>
      <c r="Q77" t="s">
        <v>344</v>
      </c>
      <c r="T77">
        <v>45560</v>
      </c>
    </row>
    <row r="78" spans="1:20">
      <c r="A78" t="s">
        <v>171</v>
      </c>
      <c r="B78" t="s">
        <v>1637</v>
      </c>
      <c r="C78" s="50">
        <v>0</v>
      </c>
      <c r="D78" s="50">
        <v>21</v>
      </c>
      <c r="E78" s="50">
        <v>21</v>
      </c>
      <c r="G78" t="s">
        <v>1632</v>
      </c>
      <c r="I78" s="50">
        <v>14447587</v>
      </c>
      <c r="K78" t="s">
        <v>1775</v>
      </c>
      <c r="L78" t="s">
        <v>104</v>
      </c>
      <c r="O78" t="s">
        <v>1776</v>
      </c>
      <c r="P78" t="s">
        <v>207</v>
      </c>
      <c r="Q78" t="s">
        <v>344</v>
      </c>
      <c r="S78">
        <v>45562</v>
      </c>
      <c r="T78">
        <v>45574</v>
      </c>
    </row>
    <row r="79" spans="1:20">
      <c r="A79" t="s">
        <v>1610</v>
      </c>
      <c r="B79" t="s">
        <v>1637</v>
      </c>
      <c r="C79" s="50">
        <v>0</v>
      </c>
      <c r="D79" s="50">
        <v>12</v>
      </c>
      <c r="E79" s="50">
        <v>12</v>
      </c>
      <c r="G79" t="s">
        <v>1632</v>
      </c>
      <c r="I79" s="50">
        <v>14447590</v>
      </c>
      <c r="K79" t="s">
        <v>1777</v>
      </c>
      <c r="L79" t="s">
        <v>104</v>
      </c>
      <c r="O79" t="s">
        <v>1778</v>
      </c>
      <c r="P79" t="s">
        <v>115</v>
      </c>
      <c r="Q79" t="s">
        <v>344</v>
      </c>
      <c r="S79">
        <v>45551</v>
      </c>
      <c r="T79">
        <v>45566</v>
      </c>
    </row>
    <row r="80" spans="1:20">
      <c r="A80" t="s">
        <v>1613</v>
      </c>
      <c r="B80" t="s">
        <v>1637</v>
      </c>
      <c r="C80" s="50">
        <v>14</v>
      </c>
      <c r="D80" s="50">
        <v>18</v>
      </c>
      <c r="E80" s="50">
        <v>4</v>
      </c>
      <c r="G80" t="s">
        <v>1632</v>
      </c>
      <c r="I80" s="50">
        <v>14447593</v>
      </c>
      <c r="K80" t="s">
        <v>1779</v>
      </c>
      <c r="L80" t="s">
        <v>104</v>
      </c>
      <c r="O80" t="s">
        <v>1780</v>
      </c>
      <c r="P80" t="s">
        <v>14</v>
      </c>
      <c r="Q80" t="s">
        <v>344</v>
      </c>
      <c r="T80">
        <v>45545</v>
      </c>
    </row>
    <row r="81" spans="1:21">
      <c r="A81" t="s">
        <v>1613</v>
      </c>
      <c r="B81" t="s">
        <v>1637</v>
      </c>
      <c r="C81" s="50">
        <v>29</v>
      </c>
      <c r="D81" s="50">
        <v>12</v>
      </c>
      <c r="E81" s="50">
        <v>-17</v>
      </c>
      <c r="G81" t="s">
        <v>1632</v>
      </c>
      <c r="I81" s="50">
        <v>14447594</v>
      </c>
      <c r="K81" t="s">
        <v>1781</v>
      </c>
      <c r="L81" t="s">
        <v>104</v>
      </c>
      <c r="O81" t="s">
        <v>1782</v>
      </c>
      <c r="P81" t="s">
        <v>14</v>
      </c>
      <c r="Q81" t="s">
        <v>344</v>
      </c>
      <c r="T81">
        <v>45540</v>
      </c>
    </row>
    <row r="82" spans="1:21">
      <c r="A82" t="s">
        <v>1606</v>
      </c>
      <c r="B82" t="s">
        <v>1637</v>
      </c>
      <c r="C82" s="50">
        <v>2</v>
      </c>
      <c r="D82" s="50">
        <v>30</v>
      </c>
      <c r="E82" s="50">
        <v>28</v>
      </c>
      <c r="G82" t="s">
        <v>1632</v>
      </c>
      <c r="I82" s="50">
        <v>14528143</v>
      </c>
      <c r="K82" t="s">
        <v>1783</v>
      </c>
      <c r="L82" t="s">
        <v>104</v>
      </c>
      <c r="O82" t="s">
        <v>1784</v>
      </c>
      <c r="P82" t="s">
        <v>201</v>
      </c>
      <c r="Q82" t="s">
        <v>344</v>
      </c>
      <c r="T82">
        <v>45565</v>
      </c>
    </row>
    <row r="83" spans="1:21">
      <c r="A83" t="s">
        <v>1610</v>
      </c>
      <c r="B83" t="s">
        <v>1637</v>
      </c>
      <c r="C83" s="50">
        <v>13</v>
      </c>
      <c r="D83" s="50">
        <v>10</v>
      </c>
      <c r="E83" s="50">
        <v>-3</v>
      </c>
      <c r="G83" t="s">
        <v>1632</v>
      </c>
      <c r="I83" s="50">
        <v>14581908</v>
      </c>
      <c r="K83" t="s">
        <v>1785</v>
      </c>
      <c r="L83" t="s">
        <v>104</v>
      </c>
      <c r="O83" t="s">
        <v>1786</v>
      </c>
      <c r="P83" t="s">
        <v>106</v>
      </c>
      <c r="Q83" t="s">
        <v>344</v>
      </c>
      <c r="T83">
        <v>45547</v>
      </c>
      <c r="U83">
        <v>45553</v>
      </c>
    </row>
    <row r="84" spans="1:21">
      <c r="A84" t="s">
        <v>212</v>
      </c>
      <c r="B84" t="s">
        <v>1637</v>
      </c>
      <c r="C84" s="50">
        <v>5</v>
      </c>
      <c r="D84" s="50">
        <v>36</v>
      </c>
      <c r="E84" s="50">
        <v>31</v>
      </c>
      <c r="G84" t="s">
        <v>1632</v>
      </c>
      <c r="H84" t="s">
        <v>1632</v>
      </c>
      <c r="I84" s="50">
        <v>14581909</v>
      </c>
      <c r="K84" t="s">
        <v>1787</v>
      </c>
      <c r="L84" t="s">
        <v>104</v>
      </c>
      <c r="O84" t="s">
        <v>1788</v>
      </c>
      <c r="P84" t="s">
        <v>106</v>
      </c>
      <c r="Q84" t="s">
        <v>1672</v>
      </c>
      <c r="R84">
        <v>45513</v>
      </c>
      <c r="T84">
        <v>45560</v>
      </c>
      <c r="U84">
        <v>45534</v>
      </c>
    </row>
    <row r="85" spans="1:21">
      <c r="A85" t="s">
        <v>212</v>
      </c>
      <c r="B85" t="s">
        <v>1637</v>
      </c>
      <c r="C85" s="50">
        <v>0</v>
      </c>
      <c r="D85" s="50">
        <v>36</v>
      </c>
      <c r="E85" s="50">
        <v>36</v>
      </c>
      <c r="G85" t="s">
        <v>1632</v>
      </c>
      <c r="H85" t="s">
        <v>1632</v>
      </c>
      <c r="I85" s="50">
        <v>14581916</v>
      </c>
      <c r="K85" t="s">
        <v>1789</v>
      </c>
      <c r="L85" t="s">
        <v>104</v>
      </c>
      <c r="O85" t="s">
        <v>1790</v>
      </c>
      <c r="P85" t="s">
        <v>106</v>
      </c>
      <c r="Q85" t="s">
        <v>1672</v>
      </c>
      <c r="R85">
        <v>45513</v>
      </c>
      <c r="T85">
        <v>45572</v>
      </c>
      <c r="U85">
        <v>45534</v>
      </c>
    </row>
    <row r="86" spans="1:21">
      <c r="A86" t="s">
        <v>1606</v>
      </c>
      <c r="B86" t="s">
        <v>1637</v>
      </c>
      <c r="C86" s="50">
        <v>20</v>
      </c>
      <c r="D86" s="50">
        <v>17</v>
      </c>
      <c r="E86" s="50">
        <v>-3</v>
      </c>
      <c r="G86" t="s">
        <v>1632</v>
      </c>
      <c r="H86" t="s">
        <v>1632</v>
      </c>
      <c r="I86" s="50">
        <v>14578879</v>
      </c>
      <c r="K86" t="s">
        <v>1791</v>
      </c>
      <c r="L86" t="s">
        <v>104</v>
      </c>
      <c r="O86" t="s">
        <v>1792</v>
      </c>
      <c r="P86" t="s">
        <v>106</v>
      </c>
      <c r="Q86" t="s">
        <v>1672</v>
      </c>
      <c r="R86">
        <v>45512</v>
      </c>
      <c r="T86">
        <v>45530</v>
      </c>
      <c r="U86">
        <v>45530</v>
      </c>
    </row>
    <row r="87" spans="1:21">
      <c r="A87" t="s">
        <v>612</v>
      </c>
      <c r="B87" t="s">
        <v>1631</v>
      </c>
      <c r="C87" s="50">
        <v>15</v>
      </c>
      <c r="D87" s="50">
        <v>15</v>
      </c>
      <c r="E87" s="50">
        <v>0</v>
      </c>
      <c r="G87" t="s">
        <v>1632</v>
      </c>
      <c r="H87" t="s">
        <v>1632</v>
      </c>
      <c r="I87" s="50">
        <v>14578102</v>
      </c>
      <c r="K87" t="s">
        <v>1793</v>
      </c>
      <c r="L87" t="s">
        <v>104</v>
      </c>
      <c r="O87" t="s">
        <v>1794</v>
      </c>
      <c r="P87" t="s">
        <v>106</v>
      </c>
      <c r="Q87" t="s">
        <v>1672</v>
      </c>
      <c r="R87">
        <v>45512</v>
      </c>
      <c r="T87" t="s">
        <v>1587</v>
      </c>
      <c r="U87">
        <v>45528</v>
      </c>
    </row>
    <row r="88" spans="1:21">
      <c r="A88" t="s">
        <v>260</v>
      </c>
      <c r="B88" t="s">
        <v>1631</v>
      </c>
      <c r="C88" s="50">
        <v>0</v>
      </c>
      <c r="D88" s="50">
        <v>15</v>
      </c>
      <c r="E88" s="50">
        <v>0</v>
      </c>
      <c r="G88" t="s">
        <v>1632</v>
      </c>
      <c r="I88" s="50">
        <v>14578099</v>
      </c>
      <c r="K88" t="s">
        <v>1795</v>
      </c>
      <c r="L88" t="s">
        <v>104</v>
      </c>
      <c r="O88" t="s">
        <v>1796</v>
      </c>
      <c r="P88" t="s">
        <v>106</v>
      </c>
      <c r="Q88" t="s">
        <v>344</v>
      </c>
      <c r="T88">
        <v>45537</v>
      </c>
      <c r="U88">
        <v>45539</v>
      </c>
    </row>
    <row r="89" spans="1:21">
      <c r="A89" t="s">
        <v>183</v>
      </c>
      <c r="B89" t="s">
        <v>1631</v>
      </c>
      <c r="C89" s="50">
        <v>47</v>
      </c>
      <c r="D89" s="50">
        <v>100</v>
      </c>
      <c r="E89" s="50">
        <v>16</v>
      </c>
      <c r="G89" t="s">
        <v>1632</v>
      </c>
      <c r="I89" s="50">
        <v>13047716</v>
      </c>
      <c r="K89" t="s">
        <v>1797</v>
      </c>
      <c r="L89" t="s">
        <v>104</v>
      </c>
      <c r="O89" t="s">
        <v>1798</v>
      </c>
      <c r="P89" t="s">
        <v>115</v>
      </c>
      <c r="Q89" t="s">
        <v>344</v>
      </c>
      <c r="T89">
        <v>45551</v>
      </c>
    </row>
    <row r="90" spans="1:21">
      <c r="A90" t="s">
        <v>1606</v>
      </c>
      <c r="B90" t="s">
        <v>1637</v>
      </c>
      <c r="C90" s="50">
        <v>0</v>
      </c>
      <c r="D90" s="50">
        <v>0</v>
      </c>
      <c r="E90" s="50">
        <v>0</v>
      </c>
      <c r="G90" t="s">
        <v>1632</v>
      </c>
      <c r="I90" s="50">
        <v>14433401</v>
      </c>
      <c r="K90" t="s">
        <v>1799</v>
      </c>
      <c r="L90" t="s">
        <v>104</v>
      </c>
      <c r="O90" t="s">
        <v>1800</v>
      </c>
      <c r="P90" t="s">
        <v>201</v>
      </c>
      <c r="Q90" t="s">
        <v>344</v>
      </c>
      <c r="T90">
        <v>45562</v>
      </c>
    </row>
    <row r="91" spans="1:21">
      <c r="A91" t="s">
        <v>1606</v>
      </c>
      <c r="B91" t="s">
        <v>1637</v>
      </c>
      <c r="C91" s="50">
        <v>16</v>
      </c>
      <c r="D91" s="50">
        <v>48</v>
      </c>
      <c r="E91" s="50">
        <v>32</v>
      </c>
      <c r="G91" t="s">
        <v>1632</v>
      </c>
      <c r="I91" s="50">
        <v>14433414</v>
      </c>
      <c r="K91" t="s">
        <v>1801</v>
      </c>
      <c r="L91" t="s">
        <v>104</v>
      </c>
      <c r="O91" t="s">
        <v>1802</v>
      </c>
      <c r="P91" t="s">
        <v>115</v>
      </c>
      <c r="Q91" t="s">
        <v>344</v>
      </c>
      <c r="T91">
        <v>45562</v>
      </c>
    </row>
    <row r="92" spans="1:21">
      <c r="A92" t="s">
        <v>1610</v>
      </c>
      <c r="B92" t="s">
        <v>1637</v>
      </c>
      <c r="C92" s="50">
        <v>50</v>
      </c>
      <c r="D92" s="50">
        <v>51</v>
      </c>
      <c r="E92" s="50">
        <v>1</v>
      </c>
      <c r="I92" s="50">
        <v>14118970</v>
      </c>
      <c r="K92" t="s">
        <v>1803</v>
      </c>
      <c r="L92" t="s">
        <v>904</v>
      </c>
      <c r="O92" t="s">
        <v>1550</v>
      </c>
      <c r="P92" t="s">
        <v>106</v>
      </c>
      <c r="T92">
        <v>45545</v>
      </c>
      <c r="U92">
        <v>45544</v>
      </c>
    </row>
    <row r="93" spans="1:21">
      <c r="A93" t="s">
        <v>1614</v>
      </c>
      <c r="B93" t="s">
        <v>1637</v>
      </c>
      <c r="C93" s="50">
        <v>36.5</v>
      </c>
      <c r="D93" s="50">
        <v>128</v>
      </c>
      <c r="E93" s="50">
        <v>91.5</v>
      </c>
      <c r="G93" t="s">
        <v>1632</v>
      </c>
      <c r="I93" s="50">
        <v>12874577</v>
      </c>
      <c r="K93" t="s">
        <v>1804</v>
      </c>
      <c r="L93" t="s">
        <v>104</v>
      </c>
      <c r="O93" t="s">
        <v>1805</v>
      </c>
      <c r="P93" t="s">
        <v>14</v>
      </c>
      <c r="Q93" t="s">
        <v>344</v>
      </c>
      <c r="T93">
        <v>45568</v>
      </c>
    </row>
    <row r="94" spans="1:21">
      <c r="A94" t="s">
        <v>1609</v>
      </c>
      <c r="B94" t="s">
        <v>1637</v>
      </c>
      <c r="D94" s="50">
        <v>17</v>
      </c>
      <c r="E94" s="50">
        <v>17</v>
      </c>
      <c r="G94" t="s">
        <v>1632</v>
      </c>
      <c r="H94" t="s">
        <v>1632</v>
      </c>
      <c r="I94" s="50">
        <v>14578104</v>
      </c>
      <c r="K94" t="s">
        <v>1806</v>
      </c>
      <c r="L94" t="s">
        <v>104</v>
      </c>
      <c r="O94" t="s">
        <v>1807</v>
      </c>
      <c r="P94" t="s">
        <v>106</v>
      </c>
      <c r="Q94" t="s">
        <v>1672</v>
      </c>
      <c r="R94">
        <v>45512</v>
      </c>
      <c r="T94">
        <v>45527</v>
      </c>
      <c r="U94">
        <v>45527</v>
      </c>
    </row>
    <row r="95" spans="1:21">
      <c r="A95" t="s">
        <v>171</v>
      </c>
      <c r="B95" t="s">
        <v>1637</v>
      </c>
      <c r="C95" s="50">
        <v>38</v>
      </c>
      <c r="D95" s="50">
        <v>41</v>
      </c>
      <c r="E95" s="50">
        <v>3</v>
      </c>
      <c r="G95" t="s">
        <v>1632</v>
      </c>
      <c r="H95" t="s">
        <v>1632</v>
      </c>
      <c r="I95" s="50">
        <v>14581923</v>
      </c>
      <c r="K95" t="s">
        <v>1808</v>
      </c>
      <c r="L95" t="s">
        <v>104</v>
      </c>
      <c r="O95" t="s">
        <v>1550</v>
      </c>
      <c r="P95" t="s">
        <v>106</v>
      </c>
      <c r="Q95" t="s">
        <v>1672</v>
      </c>
      <c r="R95">
        <v>45512</v>
      </c>
      <c r="T95">
        <v>45553</v>
      </c>
      <c r="U95">
        <v>45529</v>
      </c>
    </row>
    <row r="96" spans="1:21">
      <c r="A96" t="s">
        <v>1612</v>
      </c>
      <c r="B96" t="s">
        <v>1631</v>
      </c>
      <c r="C96" s="50">
        <v>30</v>
      </c>
      <c r="D96" s="50">
        <v>20</v>
      </c>
      <c r="E96" s="50">
        <v>-10</v>
      </c>
      <c r="G96" t="s">
        <v>1632</v>
      </c>
      <c r="I96" s="50">
        <v>14584870</v>
      </c>
      <c r="K96" t="s">
        <v>1809</v>
      </c>
      <c r="L96" t="s">
        <v>104</v>
      </c>
      <c r="O96" t="s">
        <v>1810</v>
      </c>
      <c r="P96" t="s">
        <v>106</v>
      </c>
      <c r="Q96" t="s">
        <v>344</v>
      </c>
      <c r="T96">
        <v>45544</v>
      </c>
      <c r="U96">
        <v>45546</v>
      </c>
    </row>
    <row r="97" spans="1:21">
      <c r="A97" t="s">
        <v>1615</v>
      </c>
      <c r="B97" t="s">
        <v>1650</v>
      </c>
      <c r="C97" s="50">
        <v>0</v>
      </c>
      <c r="E97" s="50">
        <v>0</v>
      </c>
      <c r="G97" t="s">
        <v>1632</v>
      </c>
      <c r="H97" t="s">
        <v>1632</v>
      </c>
      <c r="I97" s="50">
        <v>12363191</v>
      </c>
      <c r="K97" t="s">
        <v>1811</v>
      </c>
      <c r="L97" t="s">
        <v>104</v>
      </c>
      <c r="O97" t="s">
        <v>1812</v>
      </c>
      <c r="P97" t="s">
        <v>106</v>
      </c>
      <c r="Q97" t="s">
        <v>1672</v>
      </c>
      <c r="R97">
        <v>45475</v>
      </c>
      <c r="T97">
        <v>45516</v>
      </c>
      <c r="U97">
        <v>45526</v>
      </c>
    </row>
    <row r="98" spans="1:21">
      <c r="A98" t="s">
        <v>158</v>
      </c>
      <c r="B98" t="s">
        <v>1650</v>
      </c>
      <c r="C98" s="50">
        <v>73</v>
      </c>
      <c r="D98" s="50">
        <v>60</v>
      </c>
      <c r="E98" s="50">
        <v>-13</v>
      </c>
      <c r="I98" s="50">
        <v>13064164</v>
      </c>
      <c r="K98" t="s">
        <v>1813</v>
      </c>
      <c r="L98" t="s">
        <v>104</v>
      </c>
      <c r="O98" t="s">
        <v>1814</v>
      </c>
      <c r="P98" t="s">
        <v>115</v>
      </c>
      <c r="Q98" t="s">
        <v>344</v>
      </c>
      <c r="S98">
        <v>45524</v>
      </c>
      <c r="T98">
        <v>45550</v>
      </c>
    </row>
    <row r="99" spans="1:21">
      <c r="A99" t="s">
        <v>401</v>
      </c>
      <c r="B99" t="s">
        <v>1650</v>
      </c>
      <c r="C99" s="50">
        <v>60.5</v>
      </c>
      <c r="D99" s="50">
        <v>25</v>
      </c>
      <c r="E99" s="50">
        <v>-35.5</v>
      </c>
      <c r="G99" t="s">
        <v>1632</v>
      </c>
      <c r="I99" s="50">
        <v>13337002</v>
      </c>
      <c r="K99" t="s">
        <v>1815</v>
      </c>
      <c r="L99" t="s">
        <v>104</v>
      </c>
      <c r="O99" t="s">
        <v>1816</v>
      </c>
      <c r="P99" t="s">
        <v>115</v>
      </c>
      <c r="Q99" t="s">
        <v>344</v>
      </c>
      <c r="S99">
        <v>45516</v>
      </c>
      <c r="T99">
        <v>45546</v>
      </c>
    </row>
    <row r="100" spans="1:21">
      <c r="A100" t="s">
        <v>1617</v>
      </c>
      <c r="B100" t="s">
        <v>1650</v>
      </c>
      <c r="C100" s="50">
        <v>64</v>
      </c>
      <c r="D100" s="50">
        <v>60</v>
      </c>
      <c r="E100" s="50">
        <v>-4</v>
      </c>
      <c r="G100" t="s">
        <v>1632</v>
      </c>
      <c r="I100" s="50">
        <v>13471498</v>
      </c>
      <c r="K100" t="s">
        <v>1817</v>
      </c>
      <c r="L100" t="s">
        <v>104</v>
      </c>
      <c r="O100" t="s">
        <v>1818</v>
      </c>
      <c r="P100" t="s">
        <v>201</v>
      </c>
      <c r="Q100" t="s">
        <v>344</v>
      </c>
      <c r="S100">
        <v>45509</v>
      </c>
      <c r="T100">
        <v>45546</v>
      </c>
    </row>
    <row r="101" spans="1:21">
      <c r="A101" t="s">
        <v>1617</v>
      </c>
      <c r="B101" t="s">
        <v>1650</v>
      </c>
      <c r="C101" s="50">
        <v>14</v>
      </c>
      <c r="D101" s="50">
        <v>16</v>
      </c>
      <c r="E101" s="50">
        <v>2</v>
      </c>
      <c r="I101" s="50">
        <v>13514281</v>
      </c>
      <c r="K101" t="s">
        <v>1819</v>
      </c>
      <c r="L101" t="s">
        <v>904</v>
      </c>
      <c r="O101" t="s">
        <v>1820</v>
      </c>
      <c r="P101" t="s">
        <v>106</v>
      </c>
      <c r="Q101" t="s">
        <v>344</v>
      </c>
      <c r="S101">
        <v>45509</v>
      </c>
      <c r="T101">
        <v>45546</v>
      </c>
      <c r="U101">
        <v>45544</v>
      </c>
    </row>
    <row r="102" spans="1:21">
      <c r="A102" t="s">
        <v>401</v>
      </c>
      <c r="B102" t="s">
        <v>1650</v>
      </c>
      <c r="C102" s="50">
        <v>25</v>
      </c>
      <c r="D102" s="50">
        <v>25</v>
      </c>
      <c r="E102" s="50">
        <v>0</v>
      </c>
      <c r="G102" t="s">
        <v>1632</v>
      </c>
      <c r="I102" s="50">
        <v>13543932</v>
      </c>
      <c r="K102" t="s">
        <v>1821</v>
      </c>
      <c r="L102" t="s">
        <v>104</v>
      </c>
      <c r="O102" t="s">
        <v>1822</v>
      </c>
      <c r="P102" t="s">
        <v>115</v>
      </c>
      <c r="Q102" t="s">
        <v>344</v>
      </c>
      <c r="S102">
        <v>45516</v>
      </c>
      <c r="T102">
        <v>45546</v>
      </c>
    </row>
    <row r="103" spans="1:21">
      <c r="A103" t="s">
        <v>1616</v>
      </c>
      <c r="B103" t="s">
        <v>1650</v>
      </c>
      <c r="C103" s="50">
        <v>79.5</v>
      </c>
      <c r="D103" s="50">
        <v>80</v>
      </c>
      <c r="E103" s="50">
        <v>0.5</v>
      </c>
      <c r="I103" s="50">
        <v>13895158</v>
      </c>
      <c r="K103" t="s">
        <v>1823</v>
      </c>
      <c r="L103" t="s">
        <v>104</v>
      </c>
      <c r="O103" t="s">
        <v>1824</v>
      </c>
      <c r="P103" t="s">
        <v>115</v>
      </c>
      <c r="Q103" t="s">
        <v>344</v>
      </c>
      <c r="S103">
        <v>45536</v>
      </c>
      <c r="T103">
        <v>45550</v>
      </c>
    </row>
    <row r="104" spans="1:21">
      <c r="A104" t="s">
        <v>449</v>
      </c>
      <c r="B104" t="s">
        <v>1650</v>
      </c>
      <c r="C104" s="50">
        <v>55</v>
      </c>
      <c r="D104" s="50">
        <v>48</v>
      </c>
      <c r="E104" s="50">
        <v>-7</v>
      </c>
      <c r="G104" t="s">
        <v>1632</v>
      </c>
      <c r="I104" s="50">
        <v>14106681</v>
      </c>
      <c r="K104" t="s">
        <v>1825</v>
      </c>
      <c r="L104" t="s">
        <v>904</v>
      </c>
      <c r="O104" t="s">
        <v>1826</v>
      </c>
      <c r="P104" t="s">
        <v>106</v>
      </c>
      <c r="Q104" t="s">
        <v>1672</v>
      </c>
      <c r="S104">
        <v>45525</v>
      </c>
      <c r="T104">
        <v>45535</v>
      </c>
      <c r="U104">
        <v>45544</v>
      </c>
    </row>
    <row r="105" spans="1:21">
      <c r="A105" t="s">
        <v>401</v>
      </c>
      <c r="B105" t="s">
        <v>1650</v>
      </c>
      <c r="C105" s="50">
        <v>25</v>
      </c>
      <c r="D105" s="50">
        <v>25</v>
      </c>
      <c r="E105" s="50">
        <v>0</v>
      </c>
      <c r="G105" t="s">
        <v>1632</v>
      </c>
      <c r="I105" s="50">
        <v>14160848</v>
      </c>
      <c r="K105" t="s">
        <v>1827</v>
      </c>
      <c r="L105" t="s">
        <v>104</v>
      </c>
      <c r="O105" t="s">
        <v>1828</v>
      </c>
      <c r="P105" t="s">
        <v>115</v>
      </c>
      <c r="Q105" t="s">
        <v>344</v>
      </c>
      <c r="S105">
        <v>45516</v>
      </c>
      <c r="T105">
        <v>45546</v>
      </c>
    </row>
    <row r="106" spans="1:21">
      <c r="A106" t="s">
        <v>449</v>
      </c>
      <c r="B106" t="s">
        <v>1650</v>
      </c>
      <c r="C106" s="50">
        <v>20</v>
      </c>
      <c r="D106" s="50">
        <v>20</v>
      </c>
      <c r="E106" s="50">
        <v>0</v>
      </c>
      <c r="G106" t="s">
        <v>1829</v>
      </c>
      <c r="I106" s="50">
        <v>14186651</v>
      </c>
      <c r="K106" t="s">
        <v>1830</v>
      </c>
      <c r="L106" t="s">
        <v>904</v>
      </c>
      <c r="O106" t="s">
        <v>1831</v>
      </c>
      <c r="P106" t="s">
        <v>106</v>
      </c>
      <c r="Q106" t="s">
        <v>1672</v>
      </c>
      <c r="U106" t="s">
        <v>125</v>
      </c>
    </row>
    <row r="107" spans="1:21">
      <c r="A107" t="s">
        <v>248</v>
      </c>
      <c r="B107" t="s">
        <v>1650</v>
      </c>
      <c r="C107" s="50">
        <v>0</v>
      </c>
      <c r="D107" s="50">
        <v>45</v>
      </c>
      <c r="E107" s="50">
        <v>45</v>
      </c>
      <c r="G107" t="s">
        <v>1632</v>
      </c>
      <c r="I107" s="50">
        <v>14328642</v>
      </c>
      <c r="K107" t="s">
        <v>1832</v>
      </c>
      <c r="L107" t="s">
        <v>104</v>
      </c>
      <c r="P107" t="s">
        <v>122</v>
      </c>
      <c r="Q107" t="s">
        <v>344</v>
      </c>
      <c r="S107">
        <v>45548</v>
      </c>
      <c r="T107">
        <v>45562</v>
      </c>
    </row>
    <row r="108" spans="1:21">
      <c r="A108" t="s">
        <v>389</v>
      </c>
      <c r="B108" t="s">
        <v>1650</v>
      </c>
      <c r="C108" s="50">
        <v>24.5</v>
      </c>
      <c r="D108" s="50">
        <v>20</v>
      </c>
      <c r="E108" s="50">
        <v>-4.5</v>
      </c>
      <c r="G108" t="s">
        <v>1632</v>
      </c>
      <c r="I108" s="50">
        <v>14447583</v>
      </c>
      <c r="K108" t="s">
        <v>1833</v>
      </c>
      <c r="L108" t="s">
        <v>104</v>
      </c>
      <c r="O108" t="s">
        <v>1834</v>
      </c>
      <c r="P108" t="s">
        <v>115</v>
      </c>
      <c r="Q108" t="s">
        <v>344</v>
      </c>
      <c r="S108">
        <v>45539</v>
      </c>
      <c r="T108">
        <v>45545</v>
      </c>
    </row>
    <row r="109" spans="1:21">
      <c r="A109" t="s">
        <v>401</v>
      </c>
      <c r="B109" t="s">
        <v>1650</v>
      </c>
      <c r="C109" s="50">
        <v>25</v>
      </c>
      <c r="D109" s="50">
        <v>25</v>
      </c>
      <c r="E109" s="50">
        <v>0</v>
      </c>
      <c r="I109" s="50">
        <v>14370434</v>
      </c>
      <c r="K109" t="s">
        <v>1835</v>
      </c>
      <c r="L109" t="s">
        <v>104</v>
      </c>
      <c r="O109" t="s">
        <v>1836</v>
      </c>
      <c r="P109" t="s">
        <v>115</v>
      </c>
      <c r="S109">
        <v>45516</v>
      </c>
      <c r="T109">
        <v>45546</v>
      </c>
    </row>
    <row r="110" spans="1:21">
      <c r="A110" t="s">
        <v>260</v>
      </c>
      <c r="B110" t="s">
        <v>1631</v>
      </c>
      <c r="C110" s="50">
        <v>50</v>
      </c>
      <c r="D110" s="50">
        <v>51</v>
      </c>
      <c r="E110" s="50">
        <v>1</v>
      </c>
      <c r="I110" s="50">
        <v>14119014</v>
      </c>
      <c r="K110" t="s">
        <v>1837</v>
      </c>
      <c r="L110" t="s">
        <v>904</v>
      </c>
      <c r="P110" t="s">
        <v>106</v>
      </c>
      <c r="T110">
        <v>45545</v>
      </c>
      <c r="U110">
        <v>45544</v>
      </c>
    </row>
    <row r="111" spans="1:21">
      <c r="A111" t="s">
        <v>1380</v>
      </c>
      <c r="B111" t="s">
        <v>1637</v>
      </c>
      <c r="C111" s="50">
        <v>30</v>
      </c>
      <c r="D111" s="50">
        <v>38</v>
      </c>
      <c r="E111" s="50">
        <v>8</v>
      </c>
      <c r="G111" t="s">
        <v>1632</v>
      </c>
      <c r="H111" t="s">
        <v>1632</v>
      </c>
      <c r="I111" s="50">
        <v>14579642</v>
      </c>
      <c r="K111" t="s">
        <v>1838</v>
      </c>
      <c r="L111" t="s">
        <v>104</v>
      </c>
      <c r="O111" t="s">
        <v>1839</v>
      </c>
      <c r="P111" t="s">
        <v>106</v>
      </c>
      <c r="Q111" t="s">
        <v>1672</v>
      </c>
      <c r="R111">
        <v>45512</v>
      </c>
      <c r="T111">
        <v>45548</v>
      </c>
      <c r="U111">
        <v>45530</v>
      </c>
    </row>
    <row r="112" spans="1:21">
      <c r="A112" t="s">
        <v>449</v>
      </c>
      <c r="B112" t="s">
        <v>1650</v>
      </c>
      <c r="C112" s="50">
        <v>8</v>
      </c>
      <c r="D112" s="50">
        <v>8</v>
      </c>
      <c r="E112" s="50">
        <v>0</v>
      </c>
      <c r="G112" t="s">
        <v>1632</v>
      </c>
      <c r="I112" s="50">
        <v>13274796</v>
      </c>
      <c r="K112" t="s">
        <v>1840</v>
      </c>
      <c r="L112" t="s">
        <v>904</v>
      </c>
      <c r="O112" t="s">
        <v>1841</v>
      </c>
      <c r="P112" t="s">
        <v>106</v>
      </c>
      <c r="Q112" t="s">
        <v>1672</v>
      </c>
      <c r="T112">
        <v>45534</v>
      </c>
      <c r="U112">
        <v>45539</v>
      </c>
    </row>
    <row r="113" spans="1:21">
      <c r="A113" t="s">
        <v>1609</v>
      </c>
      <c r="B113" t="s">
        <v>1637</v>
      </c>
      <c r="C113" s="50">
        <v>0</v>
      </c>
      <c r="D113" s="50">
        <v>69</v>
      </c>
      <c r="E113" s="50">
        <v>69</v>
      </c>
      <c r="I113" s="50">
        <v>13377821</v>
      </c>
      <c r="K113" t="s">
        <v>1842</v>
      </c>
      <c r="L113" t="s">
        <v>104</v>
      </c>
      <c r="O113" t="s">
        <v>1684</v>
      </c>
      <c r="P113" t="s">
        <v>231</v>
      </c>
      <c r="Q113" t="s">
        <v>1685</v>
      </c>
    </row>
    <row r="114" spans="1:21">
      <c r="A114" t="s">
        <v>1614</v>
      </c>
      <c r="B114" t="s">
        <v>1637</v>
      </c>
      <c r="I114" s="50">
        <v>13186012</v>
      </c>
      <c r="K114" t="s">
        <v>1843</v>
      </c>
      <c r="L114" t="s">
        <v>104</v>
      </c>
      <c r="O114" t="s">
        <v>106</v>
      </c>
      <c r="P114" t="s">
        <v>231</v>
      </c>
      <c r="U114">
        <v>45544</v>
      </c>
    </row>
    <row r="115" spans="1:21">
      <c r="A115" t="s">
        <v>316</v>
      </c>
      <c r="B115" t="s">
        <v>1650</v>
      </c>
      <c r="E115" s="50">
        <v>0</v>
      </c>
      <c r="I115" s="50">
        <v>13590592</v>
      </c>
      <c r="K115" t="s">
        <v>1844</v>
      </c>
      <c r="L115" t="s">
        <v>104</v>
      </c>
      <c r="O115" t="s">
        <v>106</v>
      </c>
      <c r="P115" t="s">
        <v>234</v>
      </c>
      <c r="U115">
        <v>45544</v>
      </c>
    </row>
    <row r="116" spans="1:21">
      <c r="A116" t="s">
        <v>577</v>
      </c>
      <c r="B116" t="s">
        <v>1631</v>
      </c>
      <c r="C116" s="50">
        <v>2</v>
      </c>
      <c r="E116" s="50">
        <v>-2</v>
      </c>
      <c r="I116" s="50">
        <v>14186735</v>
      </c>
      <c r="K116" t="s">
        <v>1845</v>
      </c>
      <c r="L116" t="s">
        <v>104</v>
      </c>
      <c r="O116" t="s">
        <v>1846</v>
      </c>
      <c r="P116" t="s">
        <v>115</v>
      </c>
      <c r="T116">
        <v>45588</v>
      </c>
    </row>
    <row r="117" spans="1:21">
      <c r="A117" t="s">
        <v>316</v>
      </c>
      <c r="B117" t="s">
        <v>1650</v>
      </c>
      <c r="E117" s="50">
        <v>0</v>
      </c>
      <c r="I117" s="50">
        <v>13404939</v>
      </c>
      <c r="K117" t="s">
        <v>1847</v>
      </c>
      <c r="L117" t="s">
        <v>104</v>
      </c>
      <c r="O117" t="s">
        <v>1848</v>
      </c>
      <c r="P117" t="s">
        <v>207</v>
      </c>
    </row>
    <row r="118" spans="1:21">
      <c r="A118" t="s">
        <v>401</v>
      </c>
      <c r="B118" t="s">
        <v>1650</v>
      </c>
      <c r="E118" s="50">
        <v>0</v>
      </c>
      <c r="G118" t="s">
        <v>1632</v>
      </c>
      <c r="H118" t="s">
        <v>1632</v>
      </c>
      <c r="I118" s="50">
        <v>14471704</v>
      </c>
      <c r="K118" t="s">
        <v>1849</v>
      </c>
      <c r="L118" t="s">
        <v>104</v>
      </c>
      <c r="O118" t="s">
        <v>1850</v>
      </c>
      <c r="P118" t="s">
        <v>106</v>
      </c>
      <c r="Q118" t="s">
        <v>1672</v>
      </c>
      <c r="R118">
        <v>45499</v>
      </c>
      <c r="U118">
        <v>45505</v>
      </c>
    </row>
    <row r="119" spans="1:21">
      <c r="A119" t="s">
        <v>401</v>
      </c>
      <c r="B119" t="s">
        <v>1650</v>
      </c>
      <c r="E119" s="50">
        <v>0</v>
      </c>
      <c r="I119" s="50">
        <v>14521000</v>
      </c>
      <c r="K119" t="s">
        <v>1851</v>
      </c>
      <c r="L119" t="s">
        <v>104</v>
      </c>
      <c r="O119" t="s">
        <v>231</v>
      </c>
      <c r="P119" t="s">
        <v>231</v>
      </c>
    </row>
    <row r="120" spans="1:21">
      <c r="A120" t="s">
        <v>1616</v>
      </c>
      <c r="B120" t="s">
        <v>1650</v>
      </c>
      <c r="C120" s="50">
        <v>40</v>
      </c>
      <c r="D120" s="50">
        <v>40</v>
      </c>
      <c r="E120" s="50">
        <v>0</v>
      </c>
      <c r="I120" s="50">
        <v>14369529</v>
      </c>
      <c r="K120" t="s">
        <v>1852</v>
      </c>
      <c r="L120" t="s">
        <v>904</v>
      </c>
      <c r="O120" t="s">
        <v>106</v>
      </c>
      <c r="P120" t="s">
        <v>106</v>
      </c>
      <c r="U120">
        <v>45544</v>
      </c>
    </row>
    <row r="121" spans="1:21">
      <c r="A121" t="s">
        <v>401</v>
      </c>
      <c r="B121" t="s">
        <v>1650</v>
      </c>
      <c r="E121" s="50">
        <v>0</v>
      </c>
      <c r="I121" s="50">
        <v>13477734</v>
      </c>
      <c r="K121" t="s">
        <v>1853</v>
      </c>
      <c r="L121" t="s">
        <v>904</v>
      </c>
      <c r="O121" t="s">
        <v>106</v>
      </c>
      <c r="P121" t="s">
        <v>106</v>
      </c>
      <c r="U121">
        <v>45544</v>
      </c>
    </row>
    <row r="122" spans="1:21">
      <c r="A122" t="s">
        <v>1612</v>
      </c>
      <c r="B122" t="s">
        <v>1631</v>
      </c>
      <c r="I122" s="50">
        <v>13480513</v>
      </c>
      <c r="K122" t="s">
        <v>1854</v>
      </c>
      <c r="L122" t="s">
        <v>904</v>
      </c>
      <c r="O122" t="s">
        <v>106</v>
      </c>
      <c r="P122" t="s">
        <v>106</v>
      </c>
      <c r="U122" t="s">
        <v>125</v>
      </c>
    </row>
    <row r="123" spans="1:21">
      <c r="A123" t="s">
        <v>1616</v>
      </c>
      <c r="B123" t="s">
        <v>1650</v>
      </c>
      <c r="E123" s="50">
        <v>0</v>
      </c>
      <c r="I123" s="50">
        <v>14415486</v>
      </c>
      <c r="K123" t="s">
        <v>1855</v>
      </c>
      <c r="L123" t="s">
        <v>904</v>
      </c>
      <c r="O123" t="s">
        <v>106</v>
      </c>
      <c r="P123" t="s">
        <v>106</v>
      </c>
      <c r="U123">
        <v>45544</v>
      </c>
    </row>
    <row r="124" spans="1:21">
      <c r="A124" t="s">
        <v>1618</v>
      </c>
      <c r="B124" t="s">
        <v>1650</v>
      </c>
      <c r="E124" s="50">
        <v>0</v>
      </c>
      <c r="I124" s="50">
        <v>13414130</v>
      </c>
      <c r="K124" t="s">
        <v>545</v>
      </c>
      <c r="L124" t="s">
        <v>904</v>
      </c>
      <c r="O124" t="s">
        <v>106</v>
      </c>
      <c r="P124" t="s">
        <v>106</v>
      </c>
      <c r="U124">
        <v>45544</v>
      </c>
    </row>
    <row r="125" spans="1:21">
      <c r="A125" t="s">
        <v>316</v>
      </c>
      <c r="B125" t="s">
        <v>1650</v>
      </c>
      <c r="E125" s="50">
        <v>0</v>
      </c>
      <c r="I125" s="50">
        <v>14026238</v>
      </c>
      <c r="K125" t="s">
        <v>1856</v>
      </c>
      <c r="L125" t="s">
        <v>104</v>
      </c>
      <c r="O125" t="s">
        <v>106</v>
      </c>
      <c r="P125" t="s">
        <v>234</v>
      </c>
      <c r="U125">
        <v>45544</v>
      </c>
    </row>
    <row r="126" spans="1:21">
      <c r="A126" t="s">
        <v>316</v>
      </c>
      <c r="B126" t="s">
        <v>1650</v>
      </c>
      <c r="E126" s="50">
        <v>0</v>
      </c>
      <c r="I126" s="50">
        <v>14328635</v>
      </c>
      <c r="K126" t="s">
        <v>1857</v>
      </c>
      <c r="L126" t="s">
        <v>104</v>
      </c>
      <c r="P126" t="s">
        <v>234</v>
      </c>
    </row>
    <row r="127" spans="1:21">
      <c r="A127" t="s">
        <v>248</v>
      </c>
      <c r="B127" t="s">
        <v>1650</v>
      </c>
      <c r="D127" s="50">
        <v>30</v>
      </c>
      <c r="I127" s="50">
        <v>14672943</v>
      </c>
      <c r="K127" t="s">
        <v>1858</v>
      </c>
      <c r="L127" t="s">
        <v>104</v>
      </c>
      <c r="P127" t="s">
        <v>122</v>
      </c>
      <c r="T127">
        <v>45596</v>
      </c>
    </row>
    <row r="128" spans="1:21">
      <c r="A128" t="s">
        <v>1610</v>
      </c>
      <c r="B128" t="s">
        <v>1637</v>
      </c>
      <c r="C128" s="50">
        <v>0</v>
      </c>
      <c r="D128" s="50">
        <v>4</v>
      </c>
      <c r="E128" s="50">
        <v>4</v>
      </c>
      <c r="I128" s="50">
        <v>13751560</v>
      </c>
      <c r="K128" t="s">
        <v>1725</v>
      </c>
      <c r="L128" t="s">
        <v>104</v>
      </c>
      <c r="O128" t="s">
        <v>122</v>
      </c>
      <c r="P128" t="s">
        <v>122</v>
      </c>
    </row>
    <row r="129" spans="9:9">
      <c r="I129" s="5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C6F09-CEDA-431B-B09A-9667F5147B46}">
  <sheetPr codeName="Sheet15"/>
  <dimension ref="A1:G29"/>
  <sheetViews>
    <sheetView workbookViewId="0">
      <selection activeCell="J9" sqref="J9"/>
    </sheetView>
  </sheetViews>
  <sheetFormatPr defaultRowHeight="14.45"/>
  <cols>
    <col min="2" max="2" width="10.42578125" customWidth="1"/>
    <col min="3" max="3" width="29.5703125" customWidth="1"/>
    <col min="4" max="4" width="11.28515625" customWidth="1"/>
    <col min="5" max="5" width="15.85546875" customWidth="1"/>
    <col min="6" max="6" width="11.85546875" customWidth="1"/>
  </cols>
  <sheetData>
    <row r="1" spans="1:7">
      <c r="A1" s="56" t="s">
        <v>795</v>
      </c>
      <c r="B1" s="56" t="s">
        <v>1859</v>
      </c>
      <c r="C1" s="56" t="s">
        <v>1860</v>
      </c>
      <c r="D1" s="56" t="s">
        <v>1861</v>
      </c>
      <c r="E1" s="56" t="s">
        <v>1862</v>
      </c>
      <c r="F1" s="56" t="s">
        <v>1863</v>
      </c>
      <c r="G1" s="56" t="s">
        <v>1178</v>
      </c>
    </row>
    <row r="2" spans="1:7">
      <c r="A2" s="57">
        <v>1</v>
      </c>
      <c r="B2" s="62">
        <v>14447593</v>
      </c>
      <c r="C2" s="4" t="s">
        <v>1864</v>
      </c>
      <c r="D2" s="4" t="s">
        <v>1865</v>
      </c>
      <c r="E2" s="4">
        <v>45558</v>
      </c>
      <c r="F2" s="4"/>
      <c r="G2" s="4" t="s">
        <v>1866</v>
      </c>
    </row>
    <row r="3" spans="1:7">
      <c r="A3" s="57">
        <v>2</v>
      </c>
      <c r="B3" s="62">
        <v>12541182</v>
      </c>
      <c r="C3" s="4" t="s">
        <v>1867</v>
      </c>
      <c r="D3" s="4" t="s">
        <v>1868</v>
      </c>
      <c r="E3" s="4">
        <v>45558</v>
      </c>
      <c r="F3" s="4"/>
      <c r="G3" s="4" t="s">
        <v>1866</v>
      </c>
    </row>
    <row r="4" spans="1:7">
      <c r="A4" s="57">
        <v>3</v>
      </c>
      <c r="B4" s="62">
        <v>13389810</v>
      </c>
      <c r="C4" s="4" t="s">
        <v>1869</v>
      </c>
      <c r="D4" s="4" t="s">
        <v>1868</v>
      </c>
      <c r="E4" s="4">
        <v>45558</v>
      </c>
      <c r="F4" s="4"/>
      <c r="G4" s="4" t="s">
        <v>1866</v>
      </c>
    </row>
    <row r="5" spans="1:7" ht="43.5">
      <c r="A5" s="57">
        <v>4</v>
      </c>
      <c r="B5" s="62">
        <v>12874577</v>
      </c>
      <c r="C5" s="63" t="s">
        <v>1870</v>
      </c>
      <c r="D5" s="4" t="s">
        <v>1871</v>
      </c>
      <c r="E5" s="4">
        <v>45558</v>
      </c>
      <c r="F5" s="4"/>
      <c r="G5" s="4" t="s">
        <v>1866</v>
      </c>
    </row>
    <row r="6" spans="1:7">
      <c r="A6" s="57">
        <v>5</v>
      </c>
      <c r="B6" s="62"/>
      <c r="C6" s="4"/>
      <c r="D6" s="4"/>
      <c r="E6" s="4"/>
      <c r="F6" s="4"/>
      <c r="G6" s="4"/>
    </row>
    <row r="7" spans="1:7">
      <c r="A7" s="57">
        <v>6</v>
      </c>
      <c r="B7" s="62"/>
      <c r="C7" s="4"/>
      <c r="D7" s="4"/>
      <c r="E7" s="4"/>
      <c r="F7" s="4"/>
      <c r="G7" s="4"/>
    </row>
    <row r="8" spans="1:7">
      <c r="A8" s="57">
        <v>7</v>
      </c>
      <c r="B8" s="62"/>
      <c r="C8" s="4"/>
      <c r="D8" s="4"/>
      <c r="E8" s="4"/>
      <c r="F8" s="4"/>
      <c r="G8" s="4"/>
    </row>
    <row r="9" spans="1:7">
      <c r="A9" s="57">
        <v>8</v>
      </c>
      <c r="B9" s="62"/>
      <c r="C9" s="4"/>
      <c r="D9" s="4"/>
      <c r="E9" s="4"/>
      <c r="F9" s="4"/>
      <c r="G9" s="4"/>
    </row>
    <row r="10" spans="1:7">
      <c r="A10" s="57">
        <v>9</v>
      </c>
      <c r="B10" s="62"/>
      <c r="C10" s="4"/>
      <c r="D10" s="4"/>
      <c r="E10" s="4"/>
      <c r="F10" s="4"/>
      <c r="G10" s="4"/>
    </row>
    <row r="11" spans="1:7">
      <c r="A11" s="57">
        <v>10</v>
      </c>
      <c r="B11" s="62"/>
      <c r="C11" s="4"/>
      <c r="D11" s="4"/>
      <c r="E11" s="4"/>
      <c r="F11" s="4"/>
      <c r="G11" s="4"/>
    </row>
    <row r="12" spans="1:7">
      <c r="A12" s="57">
        <v>11</v>
      </c>
      <c r="B12" s="62"/>
      <c r="C12" s="4"/>
      <c r="D12" s="4"/>
      <c r="E12" s="4"/>
      <c r="F12" s="4"/>
      <c r="G12" s="4"/>
    </row>
    <row r="13" spans="1:7">
      <c r="A13" s="57">
        <v>12</v>
      </c>
      <c r="B13" s="62"/>
      <c r="C13" s="4"/>
      <c r="D13" s="4"/>
      <c r="E13" s="4"/>
      <c r="F13" s="4"/>
      <c r="G13" s="4"/>
    </row>
    <row r="14" spans="1:7">
      <c r="A14" s="57">
        <v>13</v>
      </c>
      <c r="B14" s="62"/>
      <c r="C14" s="4"/>
      <c r="D14" s="4"/>
      <c r="E14" s="4"/>
      <c r="F14" s="4"/>
      <c r="G14" s="4"/>
    </row>
    <row r="15" spans="1:7">
      <c r="A15" s="57">
        <v>14</v>
      </c>
      <c r="B15" s="62"/>
      <c r="C15" s="4"/>
      <c r="D15" s="4"/>
      <c r="E15" s="4"/>
      <c r="F15" s="4"/>
      <c r="G15" s="4"/>
    </row>
    <row r="16" spans="1:7">
      <c r="A16" s="57">
        <v>15</v>
      </c>
      <c r="B16" s="62"/>
      <c r="C16" s="4"/>
      <c r="D16" s="4"/>
      <c r="E16" s="4"/>
      <c r="F16" s="4"/>
      <c r="G16" s="4"/>
    </row>
    <row r="17" spans="1:7">
      <c r="A17" s="57">
        <v>16</v>
      </c>
      <c r="B17" s="62"/>
      <c r="C17" s="4"/>
      <c r="D17" s="4"/>
      <c r="E17" s="4"/>
      <c r="F17" s="4"/>
      <c r="G17" s="4"/>
    </row>
    <row r="18" spans="1:7">
      <c r="A18" s="57">
        <v>17</v>
      </c>
      <c r="B18" s="62"/>
      <c r="C18" s="4"/>
      <c r="D18" s="4"/>
      <c r="E18" s="4"/>
      <c r="F18" s="4"/>
      <c r="G18" s="4"/>
    </row>
    <row r="19" spans="1:7">
      <c r="A19" s="57">
        <v>18</v>
      </c>
      <c r="B19" s="62"/>
      <c r="C19" s="4"/>
      <c r="D19" s="4"/>
      <c r="E19" s="4"/>
      <c r="F19" s="4"/>
      <c r="G19" s="4"/>
    </row>
    <row r="20" spans="1:7">
      <c r="A20" s="57">
        <v>19</v>
      </c>
      <c r="B20" s="62"/>
      <c r="C20" s="4"/>
      <c r="D20" s="4"/>
      <c r="E20" s="4"/>
      <c r="F20" s="4"/>
      <c r="G20" s="4"/>
    </row>
    <row r="21" spans="1:7">
      <c r="A21" s="57">
        <v>20</v>
      </c>
      <c r="B21" s="62"/>
      <c r="C21" s="4"/>
      <c r="D21" s="4"/>
      <c r="E21" s="4"/>
      <c r="F21" s="4"/>
      <c r="G21" s="4"/>
    </row>
    <row r="22" spans="1:7">
      <c r="A22" s="57">
        <v>21</v>
      </c>
    </row>
    <row r="23" spans="1:7">
      <c r="A23" s="57">
        <v>22</v>
      </c>
    </row>
    <row r="24" spans="1:7">
      <c r="A24" s="57">
        <v>23</v>
      </c>
    </row>
    <row r="25" spans="1:7">
      <c r="A25" s="57">
        <v>24</v>
      </c>
    </row>
    <row r="26" spans="1:7">
      <c r="A26" s="57">
        <v>25</v>
      </c>
    </row>
    <row r="27" spans="1:7">
      <c r="A27" s="57">
        <v>26</v>
      </c>
    </row>
    <row r="28" spans="1:7">
      <c r="A28" s="57">
        <v>27</v>
      </c>
    </row>
    <row r="29" spans="1:7">
      <c r="A29" s="57">
        <v>28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B813A-9E81-43D9-BF98-C59396DCDF86}">
  <sheetPr codeName="Sheet19" filterMode="1"/>
  <dimension ref="A1:Q261"/>
  <sheetViews>
    <sheetView topLeftCell="H238" zoomScale="102" workbookViewId="0">
      <selection activeCell="L256" sqref="L256"/>
    </sheetView>
  </sheetViews>
  <sheetFormatPr defaultRowHeight="14.45"/>
  <cols>
    <col min="1" max="2" width="22.85546875" customWidth="1"/>
    <col min="3" max="3" width="17.28515625" customWidth="1"/>
    <col min="4" max="4" width="16.7109375" customWidth="1"/>
    <col min="5" max="5" width="19.28515625" customWidth="1"/>
    <col min="6" max="6" width="14.85546875" customWidth="1"/>
    <col min="7" max="7" width="17.28515625" customWidth="1"/>
    <col min="8" max="8" width="37.5703125" customWidth="1"/>
    <col min="9" max="9" width="29.28515625" customWidth="1"/>
    <col min="10" max="10" width="27.85546875" customWidth="1"/>
    <col min="11" max="11" width="26.28515625" customWidth="1"/>
    <col min="12" max="12" width="27.28515625" customWidth="1"/>
    <col min="13" max="13" width="22.7109375" customWidth="1"/>
    <col min="14" max="14" width="18.85546875" customWidth="1"/>
    <col min="15" max="15" width="20.7109375" customWidth="1"/>
    <col min="16" max="16" width="22.5703125" customWidth="1"/>
  </cols>
  <sheetData>
    <row r="1" spans="1:17" ht="51" customHeight="1">
      <c r="A1" s="95" t="s">
        <v>1872</v>
      </c>
      <c r="B1" s="95" t="s">
        <v>1872</v>
      </c>
      <c r="C1" s="96" t="s">
        <v>1873</v>
      </c>
      <c r="D1" s="97" t="s">
        <v>1874</v>
      </c>
      <c r="E1" s="96" t="s">
        <v>1875</v>
      </c>
      <c r="F1" s="96" t="s">
        <v>1876</v>
      </c>
      <c r="G1" s="98" t="s">
        <v>1877</v>
      </c>
      <c r="H1" s="98" t="s">
        <v>1878</v>
      </c>
      <c r="I1" s="99" t="s">
        <v>1879</v>
      </c>
      <c r="J1" s="100" t="s">
        <v>1880</v>
      </c>
      <c r="K1" s="98" t="s">
        <v>1881</v>
      </c>
      <c r="L1" s="98" t="s">
        <v>1882</v>
      </c>
      <c r="M1" s="98" t="s">
        <v>1883</v>
      </c>
      <c r="N1" s="98" t="s">
        <v>1884</v>
      </c>
      <c r="O1" s="100" t="s">
        <v>1178</v>
      </c>
      <c r="P1" s="101" t="s">
        <v>1885</v>
      </c>
    </row>
    <row r="2" spans="1:17">
      <c r="A2" t="str">
        <f>Tracker[[#This Row],[DCR Owner]]</f>
        <v>Zameer shaik (au51w)</v>
      </c>
      <c r="B2" t="str">
        <f>MID(A2,1,LEN(A2)-8)</f>
        <v>Zameer shaik</v>
      </c>
      <c r="C2">
        <f>Tracker[[#This Row],[DCR ID - PTC]]</f>
        <v>19758513</v>
      </c>
      <c r="D2" t="s">
        <v>1886</v>
      </c>
      <c r="E2">
        <f>Tracker[[#This Row],[Estimated Hrs]]</f>
        <v>250</v>
      </c>
      <c r="F2">
        <f>Tracker[[#This Row],[Actual Efforts (Hrs)]]</f>
        <v>56.5</v>
      </c>
      <c r="G2">
        <f>Tracker[[#This Row],[Remaining Hrs]]</f>
        <v>193.5</v>
      </c>
      <c r="H2" t="str">
        <f>Tracker[[#This Row],[Summary]]</f>
        <v>AftFtis65697DualElecHtrTest: Software testing for Dual eHeater service test for DAF architecture along with MCDC coverage</v>
      </c>
      <c r="I2">
        <f>Tracker[[#This Row],[DCRType]]</f>
        <v>0</v>
      </c>
      <c r="J2" t="str">
        <f>Tracker[[#This Row],[PRCRState]]</f>
        <v>Implement</v>
      </c>
      <c r="K2">
        <f>Tracker[[#This Row],[Planned Start Date
&lt;dd-mm-yyyy&gt;]]</f>
        <v>0</v>
      </c>
      <c r="L2">
        <f>Tracker[[#This Row],[Planned Completion Date
&lt;dd-mm-yyyy&gt;]]</f>
        <v>0</v>
      </c>
      <c r="M2">
        <f>Tracker[[#This Row],[Actual Start Date
&lt;dd-mm-yyyy&gt;]]</f>
        <v>0</v>
      </c>
      <c r="N2">
        <f>Tracker[[#This Row],[Actual Cmpln Date
&lt;dd-mm-yyyy&gt;]]</f>
        <v>0</v>
      </c>
      <c r="O2" t="str">
        <f>Tracker[[#This Row],[At Risk]]</f>
        <v>On Track</v>
      </c>
      <c r="P2">
        <f>Tracker[[#This Row],[
Biz Type]]</f>
        <v>0</v>
      </c>
      <c r="Q2" t="str">
        <f>MID(B2,1,LEN(B2)-8)</f>
        <v>Zame</v>
      </c>
    </row>
    <row r="3" spans="1:17">
      <c r="A3" t="str">
        <f>Tracker[[#This Row],[DCR Owner]]</f>
        <v>aishwarya Jahagirdar (ac14v)</v>
      </c>
      <c r="B3" t="str">
        <f t="shared" ref="B3:B66" si="0">MID(A3,1,LEN(A3)-8)</f>
        <v>aishwarya Jahagirdar</v>
      </c>
      <c r="C3">
        <f>Tracker[[#This Row],[DCR ID - PTC]]</f>
        <v>17808035</v>
      </c>
      <c r="D3" t="s">
        <v>1886</v>
      </c>
      <c r="E3">
        <f>Tracker[[#This Row],[Estimated Hrs]]</f>
        <v>0</v>
      </c>
      <c r="F3">
        <f>Tracker[[#This Row],[Actual Efforts (Hrs)]]</f>
        <v>0</v>
      </c>
      <c r="G3">
        <f>Tracker[[#This Row],[Remaining Hrs]]</f>
        <v>0</v>
      </c>
      <c r="H3" t="str">
        <f>Tracker[[#This Row],[Summary]]</f>
        <v>(DDP) CSAR SA-IPD: Service Test for AT Heater system: AftFtis65697DualElecHtrTest</v>
      </c>
      <c r="I3" t="str">
        <f>Tracker[[#This Row],[DCRType]]</f>
        <v>Task</v>
      </c>
      <c r="J3" t="str">
        <f>Tracker[[#This Row],[PRCRState]]</f>
        <v>Task</v>
      </c>
      <c r="K3">
        <f>Tracker[[#This Row],[Planned Start Date
&lt;dd-mm-yyyy&gt;]]</f>
        <v>0</v>
      </c>
      <c r="L3">
        <f>Tracker[[#This Row],[Planned Completion Date
&lt;dd-mm-yyyy&gt;]]</f>
        <v>0</v>
      </c>
      <c r="M3">
        <f>Tracker[[#This Row],[Actual Start Date
&lt;dd-mm-yyyy&gt;]]</f>
        <v>0</v>
      </c>
      <c r="N3">
        <f>Tracker[[#This Row],[Actual Cmpln Date
&lt;dd-mm-yyyy&gt;]]</f>
        <v>0</v>
      </c>
      <c r="O3">
        <f>Tracker[[#This Row],[At Risk]]</f>
        <v>0</v>
      </c>
      <c r="P3">
        <f>Tracker[[#This Row],[
Biz Type]]</f>
        <v>0</v>
      </c>
      <c r="Q3" t="str">
        <f t="shared" ref="Q3:Q66" si="1">MID(B3,1,LEN(B3)-8)</f>
        <v>aishwarya Ja</v>
      </c>
    </row>
    <row r="4" spans="1:17">
      <c r="A4" t="str">
        <f>Tracker[[#This Row],[DCR Owner]]</f>
        <v>aishwarya Jahagirdar (ac14v)</v>
      </c>
      <c r="B4" t="str">
        <f t="shared" si="0"/>
        <v>aishwarya Jahagirdar</v>
      </c>
      <c r="C4">
        <f>Tracker[[#This Row],[DCR ID - PTC]]</f>
        <v>19572045</v>
      </c>
      <c r="D4" t="s">
        <v>1886</v>
      </c>
      <c r="E4">
        <f>Tracker[[#This Row],[Estimated Hrs]]</f>
        <v>55</v>
      </c>
      <c r="F4">
        <f>Tracker[[#This Row],[Actual Efforts (Hrs)]]</f>
        <v>54.5</v>
      </c>
      <c r="G4">
        <f>Tracker[[#This Row],[Remaining Hrs]]</f>
        <v>0.5</v>
      </c>
      <c r="H4" t="str">
        <f>Tracker[[#This Row],[Summary]]</f>
        <v>CSAR Migration : Inclusion of a service-based reset for Ineffective Regen following the completion of maintenance tests.</v>
      </c>
      <c r="I4" t="str">
        <f>Tracker[[#This Row],[DCRType]]</f>
        <v>Change Request</v>
      </c>
      <c r="J4" t="str">
        <f>Tracker[[#This Row],[PRCRState]]</f>
        <v>Evaluate</v>
      </c>
      <c r="K4">
        <f>Tracker[[#This Row],[Planned Start Date
&lt;dd-mm-yyyy&gt;]]</f>
        <v>0</v>
      </c>
      <c r="L4">
        <f>Tracker[[#This Row],[Planned Completion Date
&lt;dd-mm-yyyy&gt;]]</f>
        <v>46163</v>
      </c>
      <c r="M4">
        <f>Tracker[[#This Row],[Actual Start Date
&lt;dd-mm-yyyy&gt;]]</f>
        <v>0</v>
      </c>
      <c r="N4">
        <f>Tracker[[#This Row],[Actual Cmpln Date
&lt;dd-mm-yyyy&gt;]]</f>
        <v>46175</v>
      </c>
      <c r="O4" t="str">
        <f>Tracker[[#This Row],[At Risk]]</f>
        <v>Closed</v>
      </c>
      <c r="P4" t="str">
        <f>Tracker[[#This Row],[
Biz Type]]</f>
        <v>PFS</v>
      </c>
      <c r="Q4" t="str">
        <f t="shared" si="1"/>
        <v>aishwarya Ja</v>
      </c>
    </row>
    <row r="5" spans="1:17">
      <c r="A5" t="str">
        <f>Tracker[[#This Row],[DCR Owner]]</f>
        <v>aishwarya Jahagirdar (ac14v)</v>
      </c>
      <c r="B5" t="str">
        <f t="shared" si="0"/>
        <v>aishwarya Jahagirdar</v>
      </c>
      <c r="C5">
        <f>Tracker[[#This Row],[DCR ID - PTC]]</f>
        <v>14468900</v>
      </c>
      <c r="D5" t="s">
        <v>1886</v>
      </c>
      <c r="E5">
        <f>Tracker[[#This Row],[Estimated Hrs]]</f>
        <v>0</v>
      </c>
      <c r="F5">
        <f>Tracker[[#This Row],[Actual Efforts (Hrs)]]</f>
        <v>80.25</v>
      </c>
      <c r="G5">
        <f>Tracker[[#This Row],[Remaining Hrs]]</f>
        <v>-80.25</v>
      </c>
      <c r="H5" t="str">
        <f>Tracker[[#This Row],[Summary]]</f>
        <v>Request for service test for AT heater using smart alternator with IPD</v>
      </c>
      <c r="I5" t="str">
        <f>Tracker[[#This Row],[DCRType]]</f>
        <v>Change Request</v>
      </c>
      <c r="J5">
        <f>Tracker[[#This Row],[PRCRState]]</f>
        <v>0</v>
      </c>
      <c r="K5">
        <f>Tracker[[#This Row],[Planned Start Date
&lt;dd-mm-yyyy&gt;]]</f>
        <v>0</v>
      </c>
      <c r="L5">
        <f>Tracker[[#This Row],[Planned Completion Date
&lt;dd-mm-yyyy&gt;]]</f>
        <v>0</v>
      </c>
      <c r="M5">
        <f>Tracker[[#This Row],[Actual Start Date
&lt;dd-mm-yyyy&gt;]]</f>
        <v>0</v>
      </c>
      <c r="N5">
        <f>Tracker[[#This Row],[Actual Cmpln Date
&lt;dd-mm-yyyy&gt;]]</f>
        <v>0</v>
      </c>
      <c r="O5" t="str">
        <f>Tracker[[#This Row],[At Risk]]</f>
        <v>On Track</v>
      </c>
      <c r="P5">
        <f>Tracker[[#This Row],[
Biz Type]]</f>
        <v>0</v>
      </c>
      <c r="Q5" t="str">
        <f t="shared" si="1"/>
        <v>aishwarya Ja</v>
      </c>
    </row>
    <row r="6" spans="1:17">
      <c r="A6" t="str">
        <f>Tracker[[#This Row],[DCR Owner]]</f>
        <v>aishwarya Jahagirdar (ac14v)</v>
      </c>
      <c r="B6" t="str">
        <f t="shared" si="0"/>
        <v>aishwarya Jahagirdar</v>
      </c>
      <c r="C6">
        <f>Tracker[[#This Row],[DCR ID - PTC]]</f>
        <v>17462586</v>
      </c>
      <c r="D6" t="s">
        <v>1886</v>
      </c>
      <c r="E6">
        <f>Tracker[[#This Row],[Estimated Hrs]]</f>
        <v>0</v>
      </c>
      <c r="F6">
        <f>Tracker[[#This Row],[Actual Efforts (Hrs)]]</f>
        <v>0</v>
      </c>
      <c r="G6">
        <f>Tracker[[#This Row],[Remaining Hrs]]</f>
        <v>0</v>
      </c>
      <c r="H6" t="str">
        <f>Tracker[[#This Row],[Summary]]</f>
        <v>AftElecHtr2Diag: Heater 48V supply interrupt and 48V IRL diagnostics analysis</v>
      </c>
      <c r="I6" t="str">
        <f>Tracker[[#This Row],[DCRType]]</f>
        <v>Change Request</v>
      </c>
      <c r="J6" t="str">
        <f>Tracker[[#This Row],[PRCRState]]</f>
        <v>Task</v>
      </c>
      <c r="K6">
        <f>Tracker[[#This Row],[Planned Start Date
&lt;dd-mm-yyyy&gt;]]</f>
        <v>0</v>
      </c>
      <c r="L6">
        <f>Tracker[[#This Row],[Planned Completion Date
&lt;dd-mm-yyyy&gt;]]</f>
        <v>0</v>
      </c>
      <c r="M6">
        <f>Tracker[[#This Row],[Actual Start Date
&lt;dd-mm-yyyy&gt;]]</f>
        <v>0</v>
      </c>
      <c r="N6">
        <f>Tracker[[#This Row],[Actual Cmpln Date
&lt;dd-mm-yyyy&gt;]]</f>
        <v>0</v>
      </c>
      <c r="O6">
        <f>Tracker[[#This Row],[At Risk]]</f>
        <v>0</v>
      </c>
      <c r="P6">
        <f>Tracker[[#This Row],[
Biz Type]]</f>
        <v>0</v>
      </c>
      <c r="Q6" t="str">
        <f t="shared" si="1"/>
        <v>aishwarya Ja</v>
      </c>
    </row>
    <row r="7" spans="1:17">
      <c r="A7" t="str">
        <f>Tracker[[#This Row],[DCR Owner]]</f>
        <v>aishwarya Jahagirdar (ac14v)</v>
      </c>
      <c r="B7" t="str">
        <f t="shared" si="0"/>
        <v>aishwarya Jahagirdar</v>
      </c>
      <c r="C7">
        <f>Tracker[[#This Row],[DCR ID - PTC]]</f>
        <v>17445400</v>
      </c>
      <c r="D7" t="s">
        <v>1886</v>
      </c>
      <c r="E7">
        <f>Tracker[[#This Row],[Estimated Hrs]]</f>
        <v>0</v>
      </c>
      <c r="F7">
        <f>Tracker[[#This Row],[Actual Efforts (Hrs)]]</f>
        <v>41</v>
      </c>
      <c r="G7">
        <f>Tracker[[#This Row],[Remaining Hrs]]</f>
        <v>-41</v>
      </c>
      <c r="H7" t="str">
        <f>Tracker[[#This Row],[Summary]]</f>
        <v>AftElecHtr2Diag:Need to Implement heater inlet temperature rate of change logic for OECS &amp; CSERS</v>
      </c>
      <c r="I7" t="str">
        <f>Tracker[[#This Row],[DCRType]]</f>
        <v>Change Request</v>
      </c>
      <c r="J7">
        <f>Tracker[[#This Row],[PRCRState]]</f>
        <v>0</v>
      </c>
      <c r="K7">
        <f>Tracker[[#This Row],[Planned Start Date
&lt;dd-mm-yyyy&gt;]]</f>
        <v>0</v>
      </c>
      <c r="L7">
        <f>Tracker[[#This Row],[Planned Completion Date
&lt;dd-mm-yyyy&gt;]]</f>
        <v>0</v>
      </c>
      <c r="M7">
        <f>Tracker[[#This Row],[Actual Start Date
&lt;dd-mm-yyyy&gt;]]</f>
        <v>0</v>
      </c>
      <c r="N7">
        <f>Tracker[[#This Row],[Actual Cmpln Date
&lt;dd-mm-yyyy&gt;]]</f>
        <v>0</v>
      </c>
      <c r="O7">
        <f>Tracker[[#This Row],[At Risk]]</f>
        <v>0</v>
      </c>
      <c r="P7">
        <f>Tracker[[#This Row],[
Biz Type]]</f>
        <v>0</v>
      </c>
      <c r="Q7" t="str">
        <f t="shared" si="1"/>
        <v>aishwarya Ja</v>
      </c>
    </row>
    <row r="8" spans="1:17">
      <c r="A8" t="str">
        <f>Tracker[[#This Row],[DCR Owner]]</f>
        <v>aishwarya Jahagirdar (ac14v)</v>
      </c>
      <c r="B8" t="str">
        <f t="shared" si="0"/>
        <v>aishwarya Jahagirdar</v>
      </c>
      <c r="C8">
        <f>Tracker[[#This Row],[DCR ID - PTC]]</f>
        <v>17728181</v>
      </c>
      <c r="D8" t="s">
        <v>1886</v>
      </c>
      <c r="E8">
        <f>Tracker[[#This Row],[Estimated Hrs]]</f>
        <v>0</v>
      </c>
      <c r="F8">
        <f>Tracker[[#This Row],[Actual Efforts (Hrs)]]</f>
        <v>161.5</v>
      </c>
      <c r="G8">
        <f>Tracker[[#This Row],[Remaining Hrs]]</f>
        <v>0</v>
      </c>
      <c r="H8" t="str">
        <f>Tracker[[#This Row],[Summary]]</f>
        <v xml:space="preserve">Chagnes required in SA--IPD component for dual heater service test. </v>
      </c>
      <c r="I8" t="str">
        <f>Tracker[[#This Row],[DCRType]]</f>
        <v>Change Request</v>
      </c>
      <c r="J8" t="str">
        <f>Tracker[[#This Row],[PRCRState]]</f>
        <v>Task</v>
      </c>
      <c r="K8">
        <f>Tracker[[#This Row],[Planned Start Date
&lt;dd-mm-yyyy&gt;]]</f>
        <v>0</v>
      </c>
      <c r="L8">
        <f>Tracker[[#This Row],[Planned Completion Date
&lt;dd-mm-yyyy&gt;]]</f>
        <v>0</v>
      </c>
      <c r="M8">
        <f>Tracker[[#This Row],[Actual Start Date
&lt;dd-mm-yyyy&gt;]]</f>
        <v>0</v>
      </c>
      <c r="N8">
        <f>Tracker[[#This Row],[Actual Cmpln Date
&lt;dd-mm-yyyy&gt;]]</f>
        <v>0</v>
      </c>
      <c r="O8">
        <f>Tracker[[#This Row],[At Risk]]</f>
        <v>0</v>
      </c>
      <c r="P8">
        <f>Tracker[[#This Row],[
Biz Type]]</f>
        <v>0</v>
      </c>
      <c r="Q8" t="str">
        <f t="shared" si="1"/>
        <v>aishwarya Ja</v>
      </c>
    </row>
    <row r="9" spans="1:17">
      <c r="A9" t="str">
        <f>Tracker[[#This Row],[DCR Owner]]</f>
        <v>aishwarya Jahagirdar (ac14v)</v>
      </c>
      <c r="B9" t="str">
        <f t="shared" si="0"/>
        <v>aishwarya Jahagirdar</v>
      </c>
      <c r="C9">
        <f>Tracker[[#This Row],[DCR ID - PTC]]</f>
        <v>17305532</v>
      </c>
      <c r="D9" t="s">
        <v>1886</v>
      </c>
      <c r="E9">
        <f>Tracker[[#This Row],[Estimated Hrs]]</f>
        <v>0</v>
      </c>
      <c r="F9">
        <f>Tracker[[#This Row],[Actual Efforts (Hrs)]]</f>
        <v>23</v>
      </c>
      <c r="G9">
        <f>Tracker[[#This Row],[Remaining Hrs]]</f>
        <v>-23</v>
      </c>
      <c r="H9" t="str">
        <f>Tracker[[#This Row],[Summary]]</f>
        <v>E-heater Stuck on error diagnostic logic update - AftElecHtr2Diag</v>
      </c>
      <c r="I9" t="str">
        <f>Tracker[[#This Row],[DCRType]]</f>
        <v>Change Request</v>
      </c>
      <c r="J9">
        <f>Tracker[[#This Row],[PRCRState]]</f>
        <v>0</v>
      </c>
      <c r="K9">
        <f>Tracker[[#This Row],[Planned Start Date
&lt;dd-mm-yyyy&gt;]]</f>
        <v>0</v>
      </c>
      <c r="L9">
        <f>Tracker[[#This Row],[Planned Completion Date
&lt;dd-mm-yyyy&gt;]]</f>
        <v>0</v>
      </c>
      <c r="M9">
        <f>Tracker[[#This Row],[Actual Start Date
&lt;dd-mm-yyyy&gt;]]</f>
        <v>0</v>
      </c>
      <c r="N9">
        <f>Tracker[[#This Row],[Actual Cmpln Date
&lt;dd-mm-yyyy&gt;]]</f>
        <v>0</v>
      </c>
      <c r="O9">
        <f>Tracker[[#This Row],[At Risk]]</f>
        <v>0</v>
      </c>
      <c r="P9">
        <f>Tracker[[#This Row],[
Biz Type]]</f>
        <v>0</v>
      </c>
      <c r="Q9" t="str">
        <f t="shared" si="1"/>
        <v>aishwarya Ja</v>
      </c>
    </row>
    <row r="10" spans="1:17">
      <c r="A10" t="str">
        <f>Tracker[[#This Row],[DCR Owner]]</f>
        <v>amit matale (xy524)</v>
      </c>
      <c r="B10" t="str">
        <f t="shared" si="0"/>
        <v>amit matale</v>
      </c>
      <c r="C10">
        <f>Tracker[[#This Row],[DCR ID - PTC]]</f>
        <v>16826540</v>
      </c>
      <c r="D10" t="s">
        <v>1886</v>
      </c>
      <c r="E10">
        <f>Tracker[[#This Row],[Estimated Hrs]]</f>
        <v>70</v>
      </c>
      <c r="F10">
        <f>Tracker[[#This Row],[Actual Efforts (Hrs)]]</f>
        <v>82</v>
      </c>
      <c r="G10">
        <f>Tracker[[#This Row],[Remaining Hrs]]</f>
        <v>-12</v>
      </c>
      <c r="H10" t="str">
        <f>Tracker[[#This Row],[Summary]]</f>
        <v>dmAftElecIPwrDDOCHtrPwrDgrdOECSErr: Complete CSAR OBD MS 4-5 review for LG and Barracuda</v>
      </c>
      <c r="I10" t="str">
        <f>Tracker[[#This Row],[DCRType]]</f>
        <v>Task</v>
      </c>
      <c r="J10" t="str">
        <f>Tracker[[#This Row],[PRCRState]]</f>
        <v>Task</v>
      </c>
      <c r="K10">
        <f>Tracker[[#This Row],[Planned Start Date
&lt;dd-mm-yyyy&gt;]]</f>
        <v>0</v>
      </c>
      <c r="L10">
        <f>Tracker[[#This Row],[Planned Completion Date
&lt;dd-mm-yyyy&gt;]]</f>
        <v>0</v>
      </c>
      <c r="M10">
        <f>Tracker[[#This Row],[Actual Start Date
&lt;dd-mm-yyyy&gt;]]</f>
        <v>0</v>
      </c>
      <c r="N10">
        <f>Tracker[[#This Row],[Actual Cmpln Date
&lt;dd-mm-yyyy&gt;]]</f>
        <v>0</v>
      </c>
      <c r="O10" t="str">
        <f>Tracker[[#This Row],[At Risk]]</f>
        <v>On Track</v>
      </c>
      <c r="P10">
        <f>Tracker[[#This Row],[
Biz Type]]</f>
        <v>0</v>
      </c>
      <c r="Q10" t="str">
        <f t="shared" si="1"/>
        <v>ami</v>
      </c>
    </row>
    <row r="11" spans="1:17">
      <c r="A11" t="str">
        <f>Tracker[[#This Row],[DCR Owner]]</f>
        <v>amit matale (xy524)</v>
      </c>
      <c r="B11" t="str">
        <f t="shared" si="0"/>
        <v>amit matale</v>
      </c>
      <c r="C11">
        <f>Tracker[[#This Row],[DCR ID - PTC]]</f>
        <v>19131416</v>
      </c>
      <c r="D11" t="s">
        <v>1886</v>
      </c>
      <c r="E11">
        <f>Tracker[[#This Row],[Estimated Hrs]]</f>
        <v>60</v>
      </c>
      <c r="F11">
        <f>Tracker[[#This Row],[Actual Efforts (Hrs)]]</f>
        <v>76.5</v>
      </c>
      <c r="G11">
        <f>Tracker[[#This Row],[Remaining Hrs]]</f>
        <v>-16.5</v>
      </c>
      <c r="H11" t="str">
        <f>Tracker[[#This Row],[Summary]]</f>
        <v>IPD CSERS diagnostics documentation update for the AftElecHtrIPwrDDiag component.</v>
      </c>
      <c r="I11" t="str">
        <f>Tracker[[#This Row],[DCRType]]</f>
        <v>Change Request</v>
      </c>
      <c r="J11" t="str">
        <f>Tracker[[#This Row],[PRCRState]]</f>
        <v>Implement</v>
      </c>
      <c r="K11">
        <f>Tracker[[#This Row],[Planned Start Date
&lt;dd-mm-yyyy&gt;]]</f>
        <v>0</v>
      </c>
      <c r="L11">
        <f>Tracker[[#This Row],[Planned Completion Date
&lt;dd-mm-yyyy&gt;]]</f>
        <v>0</v>
      </c>
      <c r="M11">
        <f>Tracker[[#This Row],[Actual Start Date
&lt;dd-mm-yyyy&gt;]]</f>
        <v>0</v>
      </c>
      <c r="N11">
        <f>Tracker[[#This Row],[Actual Cmpln Date
&lt;dd-mm-yyyy&gt;]]</f>
        <v>0</v>
      </c>
      <c r="O11" t="str">
        <f>Tracker[[#This Row],[At Risk]]</f>
        <v>On Track</v>
      </c>
      <c r="P11">
        <f>Tracker[[#This Row],[
Biz Type]]</f>
        <v>0</v>
      </c>
      <c r="Q11" t="str">
        <f t="shared" si="1"/>
        <v>ami</v>
      </c>
    </row>
    <row r="12" spans="1:17">
      <c r="A12" t="str">
        <f>Tracker[[#This Row],[DCR Owner]]</f>
        <v>amit matale (xy524)</v>
      </c>
      <c r="B12" t="str">
        <f t="shared" si="0"/>
        <v>amit matale</v>
      </c>
      <c r="C12">
        <f>Tracker[[#This Row],[DCR ID - PTC]]</f>
        <v>19579019</v>
      </c>
      <c r="D12" t="s">
        <v>1886</v>
      </c>
      <c r="E12">
        <f>Tracker[[#This Row],[Estimated Hrs]]</f>
        <v>25</v>
      </c>
      <c r="F12">
        <f>Tracker[[#This Row],[Actual Efforts (Hrs)]]</f>
        <v>11.75</v>
      </c>
      <c r="G12">
        <f>Tracker[[#This Row],[Remaining Hrs]]</f>
        <v>13.25</v>
      </c>
      <c r="H12" t="str">
        <f>Tracker[[#This Row],[Summary]]</f>
        <v>SAIPD: Update Required in AftDualHtrCtrlIPwrD Component for DOC heater power degraded OECS Intrusive diagnostic concept</v>
      </c>
      <c r="I12" t="str">
        <f>Tracker[[#This Row],[DCRType]]</f>
        <v>Defect</v>
      </c>
      <c r="J12" t="str">
        <f>Tracker[[#This Row],[PRCRState]]</f>
        <v>Evaluate</v>
      </c>
      <c r="K12">
        <f>Tracker[[#This Row],[Planned Start Date
&lt;dd-mm-yyyy&gt;]]</f>
        <v>0</v>
      </c>
      <c r="L12">
        <f>Tracker[[#This Row],[Planned Completion Date
&lt;dd-mm-yyyy&gt;]]</f>
        <v>46149</v>
      </c>
      <c r="M12">
        <f>Tracker[[#This Row],[Actual Start Date
&lt;dd-mm-yyyy&gt;]]</f>
        <v>0</v>
      </c>
      <c r="N12">
        <f>Tracker[[#This Row],[Actual Cmpln Date
&lt;dd-mm-yyyy&gt;]]</f>
        <v>46149</v>
      </c>
      <c r="O12" t="str">
        <f>Tracker[[#This Row],[At Risk]]</f>
        <v>Closed</v>
      </c>
      <c r="P12" t="str">
        <f>Tracker[[#This Row],[
Biz Type]]</f>
        <v>PFS</v>
      </c>
      <c r="Q12" t="str">
        <f t="shared" si="1"/>
        <v>ami</v>
      </c>
    </row>
    <row r="13" spans="1:17">
      <c r="A13" t="str">
        <f>Tracker[[#This Row],[DCR Owner]]</f>
        <v>amit matale (xy524)</v>
      </c>
      <c r="B13" t="str">
        <f t="shared" si="0"/>
        <v>amit matale</v>
      </c>
      <c r="C13">
        <f>Tracker[[#This Row],[DCR ID - PTC]]</f>
        <v>18920541</v>
      </c>
      <c r="D13" t="s">
        <v>1886</v>
      </c>
      <c r="E13">
        <f>Tracker[[#This Row],[Estimated Hrs]]</f>
        <v>0</v>
      </c>
      <c r="F13">
        <f>Tracker[[#This Row],[Actual Efforts (Hrs)]]</f>
        <v>0</v>
      </c>
      <c r="G13">
        <f>Tracker[[#This Row],[Remaining Hrs]]</f>
        <v>0</v>
      </c>
      <c r="H13" t="str">
        <f>Tracker[[#This Row],[Summary]]</f>
        <v>Change Sdm port names in AftElecHtrIPwrDDiag for Heater Power Degraded Diagnostics</v>
      </c>
      <c r="I13" t="str">
        <f>Tracker[[#This Row],[DCRType]]</f>
        <v>Change Request</v>
      </c>
      <c r="J13" t="str">
        <f>Tracker[[#This Row],[PRCRState]]</f>
        <v>Task</v>
      </c>
      <c r="K13">
        <f>Tracker[[#This Row],[Planned Start Date
&lt;dd-mm-yyyy&gt;]]</f>
        <v>0</v>
      </c>
      <c r="L13">
        <f>Tracker[[#This Row],[Planned Completion Date
&lt;dd-mm-yyyy&gt;]]</f>
        <v>0</v>
      </c>
      <c r="M13">
        <f>Tracker[[#This Row],[Actual Start Date
&lt;dd-mm-yyyy&gt;]]</f>
        <v>0</v>
      </c>
      <c r="N13">
        <f>Tracker[[#This Row],[Actual Cmpln Date
&lt;dd-mm-yyyy&gt;]]</f>
        <v>0</v>
      </c>
      <c r="O13">
        <f>Tracker[[#This Row],[At Risk]]</f>
        <v>0</v>
      </c>
      <c r="P13">
        <f>Tracker[[#This Row],[
Biz Type]]</f>
        <v>0</v>
      </c>
      <c r="Q13" t="str">
        <f t="shared" si="1"/>
        <v>ami</v>
      </c>
    </row>
    <row r="14" spans="1:17">
      <c r="A14" t="str">
        <f>Tracker[[#This Row],[DCR Owner]]</f>
        <v>amit matale (xy524)</v>
      </c>
      <c r="B14" t="str">
        <f t="shared" si="0"/>
        <v>amit matale</v>
      </c>
      <c r="C14">
        <f>Tracker[[#This Row],[DCR ID - PTC]]</f>
        <v>18137175</v>
      </c>
      <c r="D14" t="s">
        <v>1886</v>
      </c>
      <c r="E14">
        <f>Tracker[[#This Row],[Estimated Hrs]]</f>
        <v>0</v>
      </c>
      <c r="F14">
        <f>Tracker[[#This Row],[Actual Efforts (Hrs)]]</f>
        <v>0</v>
      </c>
      <c r="G14">
        <f>Tracker[[#This Row],[Remaining Hrs]]</f>
        <v>0</v>
      </c>
      <c r="H14" t="str">
        <f>Tracker[[#This Row],[Summary]]</f>
        <v>SAIPD: Develop a new concept for DOC heater power degraded OECS diagnostic</v>
      </c>
      <c r="I14" t="str">
        <f>Tracker[[#This Row],[DCRType]]</f>
        <v>Change Request</v>
      </c>
      <c r="J14" t="str">
        <f>Tracker[[#This Row],[PRCRState]]</f>
        <v>Task</v>
      </c>
      <c r="K14">
        <f>Tracker[[#This Row],[Planned Start Date
&lt;dd-mm-yyyy&gt;]]</f>
        <v>0</v>
      </c>
      <c r="L14">
        <f>Tracker[[#This Row],[Planned Completion Date
&lt;dd-mm-yyyy&gt;]]</f>
        <v>0</v>
      </c>
      <c r="M14">
        <f>Tracker[[#This Row],[Actual Start Date
&lt;dd-mm-yyyy&gt;]]</f>
        <v>0</v>
      </c>
      <c r="N14">
        <f>Tracker[[#This Row],[Actual Cmpln Date
&lt;dd-mm-yyyy&gt;]]</f>
        <v>0</v>
      </c>
      <c r="O14">
        <f>Tracker[[#This Row],[At Risk]]</f>
        <v>0</v>
      </c>
      <c r="P14">
        <f>Tracker[[#This Row],[
Biz Type]]</f>
        <v>0</v>
      </c>
      <c r="Q14" t="str">
        <f t="shared" si="1"/>
        <v>ami</v>
      </c>
    </row>
    <row r="15" spans="1:17">
      <c r="A15" t="str">
        <f>Tracker[[#This Row],[DCR Owner]]</f>
        <v>amit matale (xy524)</v>
      </c>
      <c r="B15" t="str">
        <f t="shared" si="0"/>
        <v>amit matale</v>
      </c>
      <c r="C15">
        <f>Tracker[[#This Row],[DCR ID - PTC]]</f>
        <v>17649144</v>
      </c>
      <c r="D15" t="s">
        <v>1886</v>
      </c>
      <c r="E15">
        <f>Tracker[[#This Row],[Estimated Hrs]]</f>
        <v>0</v>
      </c>
      <c r="F15">
        <f>Tracker[[#This Row],[Actual Efforts (Hrs)]]</f>
        <v>0</v>
      </c>
      <c r="G15">
        <f>Tracker[[#This Row],[Remaining Hrs]]</f>
        <v>0</v>
      </c>
      <c r="H15" t="str">
        <f>Tracker[[#This Row],[Summary]]</f>
        <v>Update Pass-Fail counter for Pass to fail/ fail to Pass transition in DOC- SCR OECS CSERS diagnostics for IPD Architecture</v>
      </c>
      <c r="I15" t="str">
        <f>Tracker[[#This Row],[DCRType]]</f>
        <v>Change Request</v>
      </c>
      <c r="J15" t="str">
        <f>Tracker[[#This Row],[PRCRState]]</f>
        <v>Task</v>
      </c>
      <c r="K15">
        <f>Tracker[[#This Row],[Planned Start Date
&lt;dd-mm-yyyy&gt;]]</f>
        <v>0</v>
      </c>
      <c r="L15">
        <f>Tracker[[#This Row],[Planned Completion Date
&lt;dd-mm-yyyy&gt;]]</f>
        <v>0</v>
      </c>
      <c r="M15">
        <f>Tracker[[#This Row],[Actual Start Date
&lt;dd-mm-yyyy&gt;]]</f>
        <v>0</v>
      </c>
      <c r="N15">
        <f>Tracker[[#This Row],[Actual Cmpln Date
&lt;dd-mm-yyyy&gt;]]</f>
        <v>0</v>
      </c>
      <c r="O15">
        <f>Tracker[[#This Row],[At Risk]]</f>
        <v>0</v>
      </c>
      <c r="P15">
        <f>Tracker[[#This Row],[
Biz Type]]</f>
        <v>0</v>
      </c>
      <c r="Q15" t="str">
        <f t="shared" si="1"/>
        <v>ami</v>
      </c>
    </row>
    <row r="16" spans="1:17">
      <c r="A16" t="str">
        <f>Tracker[[#This Row],[DCR Owner]]</f>
        <v>amit matale (xy524)</v>
      </c>
      <c r="B16" t="str">
        <f t="shared" si="0"/>
        <v>amit matale</v>
      </c>
      <c r="C16">
        <f>Tracker[[#This Row],[DCR ID - PTC]]</f>
        <v>18664459</v>
      </c>
      <c r="D16" t="s">
        <v>1886</v>
      </c>
      <c r="E16">
        <f>Tracker[[#This Row],[Estimated Hrs]]</f>
        <v>0</v>
      </c>
      <c r="F16">
        <f>Tracker[[#This Row],[Actual Efforts (Hrs)]]</f>
        <v>0</v>
      </c>
      <c r="G16">
        <f>Tracker[[#This Row],[Remaining Hrs]]</f>
        <v>0</v>
      </c>
      <c r="H16" t="str">
        <f>Tracker[[#This Row],[Summary]]</f>
        <v>SCR Htr  OECS counter reset logic change for equal pass/fail criteria for IPD diag</v>
      </c>
      <c r="I16" t="str">
        <f>Tracker[[#This Row],[DCRType]]</f>
        <v>Change Request</v>
      </c>
      <c r="J16" t="str">
        <f>Tracker[[#This Row],[PRCRState]]</f>
        <v>Task</v>
      </c>
      <c r="K16">
        <f>Tracker[[#This Row],[Planned Start Date
&lt;dd-mm-yyyy&gt;]]</f>
        <v>0</v>
      </c>
      <c r="L16">
        <f>Tracker[[#This Row],[Planned Completion Date
&lt;dd-mm-yyyy&gt;]]</f>
        <v>0</v>
      </c>
      <c r="M16">
        <f>Tracker[[#This Row],[Actual Start Date
&lt;dd-mm-yyyy&gt;]]</f>
        <v>0</v>
      </c>
      <c r="N16">
        <f>Tracker[[#This Row],[Actual Cmpln Date
&lt;dd-mm-yyyy&gt;]]</f>
        <v>0</v>
      </c>
      <c r="O16">
        <f>Tracker[[#This Row],[At Risk]]</f>
        <v>0</v>
      </c>
      <c r="P16">
        <f>Tracker[[#This Row],[
Biz Type]]</f>
        <v>0</v>
      </c>
      <c r="Q16" t="str">
        <f t="shared" si="1"/>
        <v>ami</v>
      </c>
    </row>
    <row r="17" spans="1:17">
      <c r="A17" t="str">
        <f>Tracker[[#This Row],[DCR Owner]]</f>
        <v>amit matale (xy524)</v>
      </c>
      <c r="B17" t="str">
        <f t="shared" si="0"/>
        <v>amit matale</v>
      </c>
      <c r="C17">
        <f>Tracker[[#This Row],[DCR ID - PTC]]</f>
        <v>19579019</v>
      </c>
      <c r="D17" t="s">
        <v>1886</v>
      </c>
      <c r="E17">
        <f>Tracker[[#This Row],[Estimated Hrs]]</f>
        <v>29</v>
      </c>
      <c r="F17">
        <f>Tracker[[#This Row],[Actual Efforts (Hrs)]]</f>
        <v>29</v>
      </c>
      <c r="G17">
        <f>Tracker[[#This Row],[Remaining Hrs]]</f>
        <v>0</v>
      </c>
      <c r="H17" t="str">
        <f>Tracker[[#This Row],[Summary]]</f>
        <v>SAIPD: Update Required in AftDualHtrCtrlIPwrD Component for DOC heater power degraded OECS Intrusive diagnostic concept</v>
      </c>
      <c r="I17" t="str">
        <f>Tracker[[#This Row],[DCRType]]</f>
        <v>Defect</v>
      </c>
      <c r="J17" t="str">
        <f>Tracker[[#This Row],[PRCRState]]</f>
        <v>Implement</v>
      </c>
      <c r="K17">
        <f>Tracker[[#This Row],[Planned Start Date
&lt;dd-mm-yyyy&gt;]]</f>
        <v>0</v>
      </c>
      <c r="L17">
        <f>Tracker[[#This Row],[Planned Completion Date
&lt;dd-mm-yyyy&gt;]]</f>
        <v>46157</v>
      </c>
      <c r="M17">
        <f>Tracker[[#This Row],[Actual Start Date
&lt;dd-mm-yyyy&gt;]]</f>
        <v>0</v>
      </c>
      <c r="N17">
        <f>Tracker[[#This Row],[Actual Cmpln Date
&lt;dd-mm-yyyy&gt;]]</f>
        <v>46157</v>
      </c>
      <c r="O17" t="str">
        <f>Tracker[[#This Row],[At Risk]]</f>
        <v>Closed</v>
      </c>
      <c r="P17" t="str">
        <f>Tracker[[#This Row],[
Biz Type]]</f>
        <v>PFS</v>
      </c>
      <c r="Q17" t="str">
        <f t="shared" si="1"/>
        <v>ami</v>
      </c>
    </row>
    <row r="18" spans="1:17">
      <c r="A18" t="str">
        <f>Tracker[[#This Row],[DCR Owner]]</f>
        <v>Anushka P Gaikwad (wf298)</v>
      </c>
      <c r="B18" t="str">
        <f t="shared" si="0"/>
        <v>Anushka P Gaikwad</v>
      </c>
      <c r="C18">
        <f>Tracker[[#This Row],[DCR ID - PTC]]</f>
        <v>19026292</v>
      </c>
      <c r="D18" t="s">
        <v>1886</v>
      </c>
      <c r="E18">
        <f>Tracker[[#This Row],[Estimated Hrs]]</f>
        <v>80</v>
      </c>
      <c r="F18">
        <f>Tracker[[#This Row],[Actual Efforts (Hrs)]]</f>
        <v>26.5</v>
      </c>
      <c r="G18">
        <f>Tracker[[#This Row],[Remaining Hrs]]</f>
        <v>53.5</v>
      </c>
      <c r="H18" t="str">
        <f>Tracker[[#This Row],[Summary]]</f>
        <v>PM Sensor Post-Engine Shut Down Protective Heating</v>
      </c>
      <c r="I18" t="str">
        <f>Tracker[[#This Row],[DCRType]]</f>
        <v>Change Request</v>
      </c>
      <c r="J18" t="str">
        <f>Tracker[[#This Row],[PRCRState]]</f>
        <v>Implement</v>
      </c>
      <c r="K18">
        <f>Tracker[[#This Row],[Planned Start Date
&lt;dd-mm-yyyy&gt;]]</f>
        <v>0</v>
      </c>
      <c r="L18">
        <f>Tracker[[#This Row],[Planned Completion Date
&lt;dd-mm-yyyy&gt;]]</f>
        <v>46157</v>
      </c>
      <c r="M18">
        <f>Tracker[[#This Row],[Actual Start Date
&lt;dd-mm-yyyy&gt;]]</f>
        <v>0</v>
      </c>
      <c r="N18">
        <f>Tracker[[#This Row],[Actual Cmpln Date
&lt;dd-mm-yyyy&gt;]]</f>
        <v>46157</v>
      </c>
      <c r="O18" t="str">
        <f>Tracker[[#This Row],[At Risk]]</f>
        <v>Closed</v>
      </c>
      <c r="P18" t="str">
        <f>Tracker[[#This Row],[
Biz Type]]</f>
        <v>PFS</v>
      </c>
      <c r="Q18" t="str">
        <f t="shared" si="1"/>
        <v>Anushka P</v>
      </c>
    </row>
    <row r="19" spans="1:17">
      <c r="A19" t="str">
        <f>Tracker[[#This Row],[DCR Owner]]</f>
        <v>Anushka P Gaikwad (wf298)</v>
      </c>
      <c r="B19" t="str">
        <f t="shared" si="0"/>
        <v>Anushka P Gaikwad</v>
      </c>
      <c r="C19">
        <f>Tracker[[#This Row],[DCR ID - PTC]]</f>
        <v>19574220</v>
      </c>
      <c r="D19" t="s">
        <v>1886</v>
      </c>
      <c r="E19">
        <f>Tracker[[#This Row],[Estimated Hrs]]</f>
        <v>0</v>
      </c>
      <c r="F19">
        <f>Tracker[[#This Row],[Actual Efforts (Hrs)]]</f>
        <v>0</v>
      </c>
      <c r="G19">
        <f>Tracker[[#This Row],[Remaining Hrs]]</f>
        <v>0</v>
      </c>
      <c r="H19" t="str">
        <f>Tracker[[#This Row],[Summary]]</f>
        <v xml:space="preserve">AftFtis4658DPFRegen: STOP routine doesn't reset the oper mode </v>
      </c>
      <c r="I19" t="str">
        <f>Tracker[[#This Row],[DCRType]]</f>
        <v>Task</v>
      </c>
      <c r="J19" t="str">
        <f>Tracker[[#This Row],[PRCRState]]</f>
        <v>Task</v>
      </c>
      <c r="K19">
        <f>Tracker[[#This Row],[Planned Start Date
&lt;dd-mm-yyyy&gt;]]</f>
        <v>0</v>
      </c>
      <c r="L19">
        <f>Tracker[[#This Row],[Planned Completion Date
&lt;dd-mm-yyyy&gt;]]</f>
        <v>0</v>
      </c>
      <c r="M19">
        <f>Tracker[[#This Row],[Actual Start Date
&lt;dd-mm-yyyy&gt;]]</f>
        <v>0</v>
      </c>
      <c r="N19">
        <f>Tracker[[#This Row],[Actual Cmpln Date
&lt;dd-mm-yyyy&gt;]]</f>
        <v>0</v>
      </c>
      <c r="O19" t="str">
        <f>Tracker[[#This Row],[At Risk]]</f>
        <v>On Track</v>
      </c>
      <c r="P19">
        <f>Tracker[[#This Row],[
Biz Type]]</f>
        <v>0</v>
      </c>
      <c r="Q19" t="str">
        <f t="shared" si="1"/>
        <v>Anushka P</v>
      </c>
    </row>
    <row r="20" spans="1:17">
      <c r="A20" t="str">
        <f>Tracker[[#This Row],[DCR Owner]]</f>
        <v>Anushka P Gaikwad (wf298)</v>
      </c>
      <c r="B20" t="str">
        <f t="shared" si="0"/>
        <v>Anushka P Gaikwad</v>
      </c>
      <c r="C20">
        <f>Tracker[[#This Row],[DCR ID - PTC]]</f>
        <v>18947608</v>
      </c>
      <c r="D20" t="s">
        <v>1886</v>
      </c>
      <c r="E20">
        <f>Tracker[[#This Row],[Estimated Hrs]]</f>
        <v>0</v>
      </c>
      <c r="F20">
        <f>Tracker[[#This Row],[Actual Efforts (Hrs)]]</f>
        <v>46.5</v>
      </c>
      <c r="G20">
        <f>Tracker[[#This Row],[Remaining Hrs]]</f>
        <v>-46.5</v>
      </c>
      <c r="H20" t="str">
        <f>Tracker[[#This Row],[Summary]]</f>
        <v xml:space="preserve">AftFtis4658DPFRegen: STOP routine doesn't reset the oper mode </v>
      </c>
      <c r="I20" t="str">
        <f>Tracker[[#This Row],[DCRType]]</f>
        <v>Defect</v>
      </c>
      <c r="J20" t="str">
        <f>Tracker[[#This Row],[PRCRState]]</f>
        <v>Task</v>
      </c>
      <c r="K20">
        <f>Tracker[[#This Row],[Planned Start Date
&lt;dd-mm-yyyy&gt;]]</f>
        <v>0</v>
      </c>
      <c r="L20">
        <f>Tracker[[#This Row],[Planned Completion Date
&lt;dd-mm-yyyy&gt;]]</f>
        <v>0</v>
      </c>
      <c r="M20">
        <f>Tracker[[#This Row],[Actual Start Date
&lt;dd-mm-yyyy&gt;]]</f>
        <v>0</v>
      </c>
      <c r="N20">
        <f>Tracker[[#This Row],[Actual Cmpln Date
&lt;dd-mm-yyyy&gt;]]</f>
        <v>0</v>
      </c>
      <c r="O20" t="str">
        <f>Tracker[[#This Row],[At Risk]]</f>
        <v>On Track</v>
      </c>
      <c r="P20">
        <f>Tracker[[#This Row],[
Biz Type]]</f>
        <v>0</v>
      </c>
      <c r="Q20" t="str">
        <f t="shared" si="1"/>
        <v>Anushka P</v>
      </c>
    </row>
    <row r="21" spans="1:17">
      <c r="A21" t="str">
        <f>Tracker[[#This Row],[DCR Owner]]</f>
        <v>Anushka P Gaikwad (wf298)/Shradha T</v>
      </c>
      <c r="B21" t="str">
        <f t="shared" si="0"/>
        <v>Anushka P Gaikwad (wf298)/S</v>
      </c>
      <c r="C21">
        <f>Tracker[[#This Row],[DCR ID - PTC]]</f>
        <v>19462855</v>
      </c>
      <c r="D21" t="s">
        <v>1886</v>
      </c>
      <c r="E21">
        <f>Tracker[[#This Row],[Estimated Hrs]]</f>
        <v>0</v>
      </c>
      <c r="F21">
        <f>Tracker[[#This Row],[Actual Efforts (Hrs)]]</f>
        <v>75</v>
      </c>
      <c r="G21">
        <f>Tracker[[#This Row],[Remaining Hrs]]</f>
        <v>0</v>
      </c>
      <c r="H21" t="str">
        <f>Tracker[[#This Row],[Summary]]</f>
        <v>PM Sensor Post-Engine Shut Down Protective Heating</v>
      </c>
      <c r="I21" t="str">
        <f>Tracker[[#This Row],[DCRType]]</f>
        <v>Task</v>
      </c>
      <c r="J21" t="str">
        <f>Tracker[[#This Row],[PRCRState]]</f>
        <v>Task</v>
      </c>
      <c r="K21">
        <f>Tracker[[#This Row],[Planned Start Date
&lt;dd-mm-yyyy&gt;]]</f>
        <v>0</v>
      </c>
      <c r="L21">
        <f>Tracker[[#This Row],[Planned Completion Date
&lt;dd-mm-yyyy&gt;]]</f>
        <v>46157</v>
      </c>
      <c r="M21">
        <f>Tracker[[#This Row],[Actual Start Date
&lt;dd-mm-yyyy&gt;]]</f>
        <v>0</v>
      </c>
      <c r="N21">
        <f>Tracker[[#This Row],[Actual Cmpln Date
&lt;dd-mm-yyyy&gt;]]</f>
        <v>46157</v>
      </c>
      <c r="O21" t="str">
        <f>Tracker[[#This Row],[At Risk]]</f>
        <v>Closed</v>
      </c>
      <c r="P21">
        <f>Tracker[[#This Row],[
Biz Type]]</f>
        <v>0</v>
      </c>
      <c r="Q21" t="str">
        <f t="shared" si="1"/>
        <v>Anushka P Gaikwad (</v>
      </c>
    </row>
    <row r="22" spans="1:17">
      <c r="A22" t="str">
        <f>Tracker[[#This Row],[DCR Owner]]</f>
        <v>Arpitha K</v>
      </c>
      <c r="B22" t="str">
        <f t="shared" si="0"/>
        <v>A</v>
      </c>
      <c r="C22">
        <f>Tracker[[#This Row],[DCR ID - PTC]]</f>
        <v>18644099</v>
      </c>
      <c r="D22" t="s">
        <v>1886</v>
      </c>
      <c r="E22">
        <f>Tracker[[#This Row],[Estimated Hrs]]</f>
        <v>0</v>
      </c>
      <c r="F22">
        <f>Tracker[[#This Row],[Actual Efforts (Hrs)]]</f>
        <v>7.5</v>
      </c>
      <c r="G22">
        <f>Tracker[[#This Row],[Remaining Hrs]]</f>
        <v>-7.5</v>
      </c>
      <c r="H22">
        <f>Tracker[[#This Row],[Summary]]</f>
        <v>0</v>
      </c>
      <c r="I22">
        <f>Tracker[[#This Row],[DCRType]]</f>
        <v>0</v>
      </c>
      <c r="J22" t="str">
        <f>Tracker[[#This Row],[PRCRState]]</f>
        <v>Implement_NA</v>
      </c>
      <c r="K22">
        <f>Tracker[[#This Row],[Planned Start Date
&lt;dd-mm-yyyy&gt;]]</f>
        <v>0</v>
      </c>
      <c r="L22">
        <f>Tracker[[#This Row],[Planned Completion Date
&lt;dd-mm-yyyy&gt;]]</f>
        <v>0</v>
      </c>
      <c r="M22">
        <f>Tracker[[#This Row],[Actual Start Date
&lt;dd-mm-yyyy&gt;]]</f>
        <v>0</v>
      </c>
      <c r="N22">
        <f>Tracker[[#This Row],[Actual Cmpln Date
&lt;dd-mm-yyyy&gt;]]</f>
        <v>0</v>
      </c>
      <c r="O22" t="str">
        <f>Tracker[[#This Row],[At Risk]]</f>
        <v>Closed</v>
      </c>
      <c r="P22">
        <f>Tracker[[#This Row],[
Biz Type]]</f>
        <v>0</v>
      </c>
      <c r="Q22" t="e">
        <f t="shared" si="1"/>
        <v>#VALUE!</v>
      </c>
    </row>
    <row r="23" spans="1:17">
      <c r="A23" t="str">
        <f>Tracker[[#This Row],[DCR Owner]]</f>
        <v>Atul Patil (ws186)</v>
      </c>
      <c r="B23" t="str">
        <f t="shared" si="0"/>
        <v>Atul Patil</v>
      </c>
      <c r="C23">
        <f>Tracker[[#This Row],[DCR ID - PTC]]</f>
        <v>7609827</v>
      </c>
      <c r="D23" t="s">
        <v>1886</v>
      </c>
      <c r="E23">
        <f>Tracker[[#This Row],[Estimated Hrs]]</f>
        <v>0</v>
      </c>
      <c r="F23">
        <f>Tracker[[#This Row],[Actual Efforts (Hrs)]]</f>
        <v>0</v>
      </c>
      <c r="G23">
        <f>Tracker[[#This Row],[Remaining Hrs]]</f>
        <v>0</v>
      </c>
      <c r="H23" t="str">
        <f>Tracker[[#This Row],[Summary]]</f>
        <v>Create and map new Subfunction</v>
      </c>
      <c r="I23" t="str">
        <f>Tracker[[#This Row],[DCRType]]</f>
        <v>Task</v>
      </c>
      <c r="J23">
        <f>Tracker[[#This Row],[PRCRState]]</f>
        <v>0</v>
      </c>
      <c r="K23">
        <f>Tracker[[#This Row],[Planned Start Date
&lt;dd-mm-yyyy&gt;]]</f>
        <v>0</v>
      </c>
      <c r="L23">
        <f>Tracker[[#This Row],[Planned Completion Date
&lt;dd-mm-yyyy&gt;]]</f>
        <v>0</v>
      </c>
      <c r="M23">
        <f>Tracker[[#This Row],[Actual Start Date
&lt;dd-mm-yyyy&gt;]]</f>
        <v>0</v>
      </c>
      <c r="N23">
        <f>Tracker[[#This Row],[Actual Cmpln Date
&lt;dd-mm-yyyy&gt;]]</f>
        <v>0</v>
      </c>
      <c r="O23">
        <f>Tracker[[#This Row],[At Risk]]</f>
        <v>0</v>
      </c>
      <c r="P23">
        <f>Tracker[[#This Row],[
Biz Type]]</f>
        <v>0</v>
      </c>
      <c r="Q23" t="str">
        <f t="shared" si="1"/>
        <v>At</v>
      </c>
    </row>
    <row r="24" spans="1:17">
      <c r="A24" t="str">
        <f>Tracker[[#This Row],[DCR Owner]]</f>
        <v>Atul Patil (ws186)</v>
      </c>
      <c r="B24" t="str">
        <f t="shared" si="0"/>
        <v>Atul Patil</v>
      </c>
      <c r="C24">
        <f>Tracker[[#This Row],[DCR ID - PTC]]</f>
        <v>11969665</v>
      </c>
      <c r="D24" t="s">
        <v>1886</v>
      </c>
      <c r="E24">
        <f>Tracker[[#This Row],[Estimated Hrs]]</f>
        <v>0</v>
      </c>
      <c r="F24">
        <f>Tracker[[#This Row],[Actual Efforts (Hrs)]]</f>
        <v>0</v>
      </c>
      <c r="G24">
        <f>Tracker[[#This Row],[Remaining Hrs]]</f>
        <v>0</v>
      </c>
      <c r="H24" t="str">
        <f>Tracker[[#This Row],[Summary]]</f>
        <v>Opportunistic Regen Improvements Using Effective Speed Limit</v>
      </c>
      <c r="I24" t="str">
        <f>Tracker[[#This Row],[DCRType]]</f>
        <v>Change Request</v>
      </c>
      <c r="J24">
        <f>Tracker[[#This Row],[PRCRState]]</f>
        <v>0</v>
      </c>
      <c r="K24">
        <f>Tracker[[#This Row],[Planned Start Date
&lt;dd-mm-yyyy&gt;]]</f>
        <v>0</v>
      </c>
      <c r="L24">
        <f>Tracker[[#This Row],[Planned Completion Date
&lt;dd-mm-yyyy&gt;]]</f>
        <v>0</v>
      </c>
      <c r="M24">
        <f>Tracker[[#This Row],[Actual Start Date
&lt;dd-mm-yyyy&gt;]]</f>
        <v>0</v>
      </c>
      <c r="N24">
        <f>Tracker[[#This Row],[Actual Cmpln Date
&lt;dd-mm-yyyy&gt;]]</f>
        <v>0</v>
      </c>
      <c r="O24">
        <f>Tracker[[#This Row],[At Risk]]</f>
        <v>0</v>
      </c>
      <c r="P24">
        <f>Tracker[[#This Row],[
Biz Type]]</f>
        <v>0</v>
      </c>
      <c r="Q24" t="str">
        <f t="shared" si="1"/>
        <v>At</v>
      </c>
    </row>
    <row r="25" spans="1:17">
      <c r="A25" t="str">
        <f>Tracker[[#This Row],[DCR Owner]]</f>
        <v>Atul Patil (ws186)</v>
      </c>
      <c r="B25" t="str">
        <f t="shared" si="0"/>
        <v>Atul Patil</v>
      </c>
      <c r="C25">
        <f>Tracker[[#This Row],[DCR ID - PTC]]</f>
        <v>12217539</v>
      </c>
      <c r="D25" t="s">
        <v>1886</v>
      </c>
      <c r="E25">
        <f>Tracker[[#This Row],[Estimated Hrs]]</f>
        <v>0</v>
      </c>
      <c r="F25">
        <f>Tracker[[#This Row],[Actual Efforts (Hrs)]]</f>
        <v>0</v>
      </c>
      <c r="G25">
        <f>Tracker[[#This Row],[Remaining Hrs]]</f>
        <v>0</v>
      </c>
      <c r="H25" t="str">
        <f>Tracker[[#This Row],[Summary]]</f>
        <v>VnV of Heater Channel 1 source In Range Low (IRL) Diagnostic</v>
      </c>
      <c r="I25" t="str">
        <f>Tracker[[#This Row],[DCRType]]</f>
        <v>Task</v>
      </c>
      <c r="J25">
        <f>Tracker[[#This Row],[PRCRState]]</f>
        <v>0</v>
      </c>
      <c r="K25">
        <f>Tracker[[#This Row],[Planned Start Date
&lt;dd-mm-yyyy&gt;]]</f>
        <v>0</v>
      </c>
      <c r="L25">
        <f>Tracker[[#This Row],[Planned Completion Date
&lt;dd-mm-yyyy&gt;]]</f>
        <v>0</v>
      </c>
      <c r="M25">
        <f>Tracker[[#This Row],[Actual Start Date
&lt;dd-mm-yyyy&gt;]]</f>
        <v>0</v>
      </c>
      <c r="N25">
        <f>Tracker[[#This Row],[Actual Cmpln Date
&lt;dd-mm-yyyy&gt;]]</f>
        <v>0</v>
      </c>
      <c r="O25">
        <f>Tracker[[#This Row],[At Risk]]</f>
        <v>0</v>
      </c>
      <c r="P25">
        <f>Tracker[[#This Row],[
Biz Type]]</f>
        <v>0</v>
      </c>
      <c r="Q25" t="str">
        <f t="shared" si="1"/>
        <v>At</v>
      </c>
    </row>
    <row r="26" spans="1:17">
      <c r="A26" t="str">
        <f>Tracker[[#This Row],[DCR Owner]]</f>
        <v>Atul Patil (ws186)</v>
      </c>
      <c r="B26" t="str">
        <f t="shared" si="0"/>
        <v>Atul Patil</v>
      </c>
      <c r="C26">
        <f>Tracker[[#This Row],[DCR ID - PTC]]</f>
        <v>12341669</v>
      </c>
      <c r="D26" t="s">
        <v>1886</v>
      </c>
      <c r="E26">
        <f>Tracker[[#This Row],[Estimated Hrs]]</f>
        <v>0</v>
      </c>
      <c r="F26">
        <f>Tracker[[#This Row],[Actual Efforts (Hrs)]]</f>
        <v>0</v>
      </c>
      <c r="G26">
        <f>Tracker[[#This Row],[Remaining Hrs]]</f>
        <v>0</v>
      </c>
      <c r="H26" t="str">
        <f>Tracker[[#This Row],[Summary]]</f>
        <v xml:space="preserve">CSAR Sync - up: DCR - Regen Inhibit Switch Override in next KeyCycle Condition and Forced Regen Switch Indication </v>
      </c>
      <c r="I26" t="str">
        <f>Tracker[[#This Row],[DCRType]]</f>
        <v>Change Request</v>
      </c>
      <c r="J26">
        <f>Tracker[[#This Row],[PRCRState]]</f>
        <v>0</v>
      </c>
      <c r="K26">
        <f>Tracker[[#This Row],[Planned Start Date
&lt;dd-mm-yyyy&gt;]]</f>
        <v>0</v>
      </c>
      <c r="L26">
        <f>Tracker[[#This Row],[Planned Completion Date
&lt;dd-mm-yyyy&gt;]]</f>
        <v>0</v>
      </c>
      <c r="M26">
        <f>Tracker[[#This Row],[Actual Start Date
&lt;dd-mm-yyyy&gt;]]</f>
        <v>0</v>
      </c>
      <c r="N26">
        <f>Tracker[[#This Row],[Actual Cmpln Date
&lt;dd-mm-yyyy&gt;]]</f>
        <v>0</v>
      </c>
      <c r="O26">
        <f>Tracker[[#This Row],[At Risk]]</f>
        <v>0</v>
      </c>
      <c r="P26">
        <f>Tracker[[#This Row],[
Biz Type]]</f>
        <v>0</v>
      </c>
      <c r="Q26" t="str">
        <f t="shared" si="1"/>
        <v>At</v>
      </c>
    </row>
    <row r="27" spans="1:17">
      <c r="A27" t="str">
        <f>Tracker[[#This Row],[DCR Owner]]</f>
        <v>Atul Patil (ws186)</v>
      </c>
      <c r="B27" t="str">
        <f t="shared" si="0"/>
        <v>Atul Patil</v>
      </c>
      <c r="C27">
        <f>Tracker[[#This Row],[DCR ID - PTC]]</f>
        <v>12341679</v>
      </c>
      <c r="D27" t="s">
        <v>1886</v>
      </c>
      <c r="E27">
        <f>Tracker[[#This Row],[Estimated Hrs]]</f>
        <v>0</v>
      </c>
      <c r="F27">
        <f>Tracker[[#This Row],[Actual Efforts (Hrs)]]</f>
        <v>0</v>
      </c>
      <c r="G27">
        <f>Tracker[[#This Row],[Remaining Hrs]]</f>
        <v>0</v>
      </c>
      <c r="H27" t="str">
        <f>Tracker[[#This Row],[Summary]]</f>
        <v>CSAR Sync - up: DCR  Add De-bounce timer before setting INHIBIT_SWITCH_TIMED_REGEN_ERR</v>
      </c>
      <c r="I27" t="str">
        <f>Tracker[[#This Row],[DCRType]]</f>
        <v>Change Request</v>
      </c>
      <c r="J27">
        <f>Tracker[[#This Row],[PRCRState]]</f>
        <v>0</v>
      </c>
      <c r="K27">
        <f>Tracker[[#This Row],[Planned Start Date
&lt;dd-mm-yyyy&gt;]]</f>
        <v>0</v>
      </c>
      <c r="L27">
        <f>Tracker[[#This Row],[Planned Completion Date
&lt;dd-mm-yyyy&gt;]]</f>
        <v>0</v>
      </c>
      <c r="M27">
        <f>Tracker[[#This Row],[Actual Start Date
&lt;dd-mm-yyyy&gt;]]</f>
        <v>0</v>
      </c>
      <c r="N27">
        <f>Tracker[[#This Row],[Actual Cmpln Date
&lt;dd-mm-yyyy&gt;]]</f>
        <v>0</v>
      </c>
      <c r="O27">
        <f>Tracker[[#This Row],[At Risk]]</f>
        <v>0</v>
      </c>
      <c r="P27">
        <f>Tracker[[#This Row],[
Biz Type]]</f>
        <v>0</v>
      </c>
      <c r="Q27" t="str">
        <f t="shared" si="1"/>
        <v>At</v>
      </c>
    </row>
    <row r="28" spans="1:17">
      <c r="A28" t="str">
        <f>Tracker[[#This Row],[DCR Owner]]</f>
        <v>Atul Patil (ws186)</v>
      </c>
      <c r="B28" t="str">
        <f t="shared" si="0"/>
        <v>Atul Patil</v>
      </c>
      <c r="C28">
        <f>Tracker[[#This Row],[DCR ID - PTC]]</f>
        <v>12487553</v>
      </c>
      <c r="D28" t="s">
        <v>1886</v>
      </c>
      <c r="E28">
        <f>Tracker[[#This Row],[Estimated Hrs]]</f>
        <v>0</v>
      </c>
      <c r="F28">
        <f>Tracker[[#This Row],[Actual Efforts (Hrs)]]</f>
        <v>0</v>
      </c>
      <c r="G28">
        <f>Tracker[[#This Row],[Remaining Hrs]]</f>
        <v>0</v>
      </c>
      <c r="H28" t="str">
        <f>Tracker[[#This Row],[Summary]]</f>
        <v>Update OBDM file for component which  provides ppAftSmartSenTimeOutDiagAbt signal</v>
      </c>
      <c r="I28" t="str">
        <f>Tracker[[#This Row],[DCRType]]</f>
        <v>Change Request</v>
      </c>
      <c r="J28">
        <f>Tracker[[#This Row],[PRCRState]]</f>
        <v>0</v>
      </c>
      <c r="K28">
        <f>Tracker[[#This Row],[Planned Start Date
&lt;dd-mm-yyyy&gt;]]</f>
        <v>0</v>
      </c>
      <c r="L28">
        <f>Tracker[[#This Row],[Planned Completion Date
&lt;dd-mm-yyyy&gt;]]</f>
        <v>0</v>
      </c>
      <c r="M28">
        <f>Tracker[[#This Row],[Actual Start Date
&lt;dd-mm-yyyy&gt;]]</f>
        <v>0</v>
      </c>
      <c r="N28">
        <f>Tracker[[#This Row],[Actual Cmpln Date
&lt;dd-mm-yyyy&gt;]]</f>
        <v>0</v>
      </c>
      <c r="O28">
        <f>Tracker[[#This Row],[At Risk]]</f>
        <v>0</v>
      </c>
      <c r="P28">
        <f>Tracker[[#This Row],[
Biz Type]]</f>
        <v>0</v>
      </c>
      <c r="Q28" t="str">
        <f t="shared" si="1"/>
        <v>At</v>
      </c>
    </row>
    <row r="29" spans="1:17">
      <c r="A29" t="str">
        <f>Tracker[[#This Row],[DCR Owner]]</f>
        <v>Atul Patil (ws186)</v>
      </c>
      <c r="B29" t="str">
        <f t="shared" si="0"/>
        <v>Atul Patil</v>
      </c>
      <c r="C29">
        <f>Tracker[[#This Row],[DCR ID - PTC]]</f>
        <v>12995062</v>
      </c>
      <c r="D29" t="s">
        <v>1886</v>
      </c>
      <c r="E29">
        <f>Tracker[[#This Row],[Estimated Hrs]]</f>
        <v>0</v>
      </c>
      <c r="F29">
        <f>Tracker[[#This Row],[Actual Efforts (Hrs)]]</f>
        <v>0</v>
      </c>
      <c r="G29">
        <f>Tracker[[#This Row],[Remaining Hrs]]</f>
        <v>0</v>
      </c>
      <c r="H29" t="str">
        <f>Tracker[[#This Row],[Summary]]</f>
        <v>To arrange C_SFME_NMR_trc_WarmupEstRem_X table values in Ascending order (Verify report is failing)</v>
      </c>
      <c r="I29" t="str">
        <f>Tracker[[#This Row],[DCRType]]</f>
        <v>Change Request</v>
      </c>
      <c r="J29">
        <f>Tracker[[#This Row],[PRCRState]]</f>
        <v>0</v>
      </c>
      <c r="K29">
        <f>Tracker[[#This Row],[Planned Start Date
&lt;dd-mm-yyyy&gt;]]</f>
        <v>0</v>
      </c>
      <c r="L29">
        <f>Tracker[[#This Row],[Planned Completion Date
&lt;dd-mm-yyyy&gt;]]</f>
        <v>0</v>
      </c>
      <c r="M29">
        <f>Tracker[[#This Row],[Actual Start Date
&lt;dd-mm-yyyy&gt;]]</f>
        <v>0</v>
      </c>
      <c r="N29">
        <f>Tracker[[#This Row],[Actual Cmpln Date
&lt;dd-mm-yyyy&gt;]]</f>
        <v>0</v>
      </c>
      <c r="O29">
        <f>Tracker[[#This Row],[At Risk]]</f>
        <v>0</v>
      </c>
      <c r="P29">
        <f>Tracker[[#This Row],[
Biz Type]]</f>
        <v>0</v>
      </c>
      <c r="Q29" t="str">
        <f t="shared" si="1"/>
        <v>At</v>
      </c>
    </row>
    <row r="30" spans="1:17">
      <c r="A30" t="str">
        <f>Tracker[[#This Row],[DCR Owner]]</f>
        <v>Atul Patil (ws186)</v>
      </c>
      <c r="B30" t="str">
        <f t="shared" si="0"/>
        <v>Atul Patil</v>
      </c>
      <c r="C30">
        <f>Tracker[[#This Row],[DCR ID - PTC]]</f>
        <v>13046388</v>
      </c>
      <c r="D30" t="s">
        <v>1886</v>
      </c>
      <c r="E30">
        <f>Tracker[[#This Row],[Estimated Hrs]]</f>
        <v>0</v>
      </c>
      <c r="F30">
        <f>Tracker[[#This Row],[Actual Efforts (Hrs)]]</f>
        <v>0</v>
      </c>
      <c r="G30">
        <f>Tracker[[#This Row],[Remaining Hrs]]</f>
        <v>0</v>
      </c>
      <c r="H30" t="str">
        <f>Tracker[[#This Row],[Summary]]</f>
        <v>[NEW] FIM Interfacing for PFS OBD Diagnostics</v>
      </c>
      <c r="I30" t="str">
        <f>Tracker[[#This Row],[DCRType]]</f>
        <v>Change Request</v>
      </c>
      <c r="J30">
        <f>Tracker[[#This Row],[PRCRState]]</f>
        <v>0</v>
      </c>
      <c r="K30">
        <f>Tracker[[#This Row],[Planned Start Date
&lt;dd-mm-yyyy&gt;]]</f>
        <v>0</v>
      </c>
      <c r="L30">
        <f>Tracker[[#This Row],[Planned Completion Date
&lt;dd-mm-yyyy&gt;]]</f>
        <v>0</v>
      </c>
      <c r="M30">
        <f>Tracker[[#This Row],[Actual Start Date
&lt;dd-mm-yyyy&gt;]]</f>
        <v>0</v>
      </c>
      <c r="N30">
        <f>Tracker[[#This Row],[Actual Cmpln Date
&lt;dd-mm-yyyy&gt;]]</f>
        <v>0</v>
      </c>
      <c r="O30">
        <f>Tracker[[#This Row],[At Risk]]</f>
        <v>0</v>
      </c>
      <c r="P30">
        <f>Tracker[[#This Row],[
Biz Type]]</f>
        <v>0</v>
      </c>
      <c r="Q30" t="str">
        <f t="shared" si="1"/>
        <v>At</v>
      </c>
    </row>
    <row r="31" spans="1:17">
      <c r="A31" t="str">
        <f>Tracker[[#This Row],[DCR Owner]]</f>
        <v>Atul Patil (ws186)</v>
      </c>
      <c r="B31" t="str">
        <f t="shared" si="0"/>
        <v>Atul Patil</v>
      </c>
      <c r="C31">
        <f>Tracker[[#This Row],[DCR ID - PTC]]</f>
        <v>13079054</v>
      </c>
      <c r="D31" t="s">
        <v>1886</v>
      </c>
      <c r="E31">
        <f>Tracker[[#This Row],[Estimated Hrs]]</f>
        <v>0</v>
      </c>
      <c r="F31">
        <f>Tracker[[#This Row],[Actual Efforts (Hrs)]]</f>
        <v>0</v>
      </c>
      <c r="G31">
        <f>Tracker[[#This Row],[Remaining Hrs]]</f>
        <v>0</v>
      </c>
      <c r="H31" t="str">
        <f>Tracker[[#This Row],[Summary]]</f>
        <v>Need to migrate DPF missing Ice Suspect logic in CSAR AftPartFiltIceCovSuspDet Component</v>
      </c>
      <c r="I31" t="str">
        <f>Tracker[[#This Row],[DCRType]]</f>
        <v>Change Request</v>
      </c>
      <c r="J31">
        <f>Tracker[[#This Row],[PRCRState]]</f>
        <v>0</v>
      </c>
      <c r="K31">
        <f>Tracker[[#This Row],[Planned Start Date
&lt;dd-mm-yyyy&gt;]]</f>
        <v>0</v>
      </c>
      <c r="L31">
        <f>Tracker[[#This Row],[Planned Completion Date
&lt;dd-mm-yyyy&gt;]]</f>
        <v>0</v>
      </c>
      <c r="M31">
        <f>Tracker[[#This Row],[Actual Start Date
&lt;dd-mm-yyyy&gt;]]</f>
        <v>0</v>
      </c>
      <c r="N31">
        <f>Tracker[[#This Row],[Actual Cmpln Date
&lt;dd-mm-yyyy&gt;]]</f>
        <v>0</v>
      </c>
      <c r="O31">
        <f>Tracker[[#This Row],[At Risk]]</f>
        <v>0</v>
      </c>
      <c r="P31">
        <f>Tracker[[#This Row],[
Biz Type]]</f>
        <v>0</v>
      </c>
      <c r="Q31" t="str">
        <f t="shared" si="1"/>
        <v>At</v>
      </c>
    </row>
    <row r="32" spans="1:17">
      <c r="A32" t="str">
        <f>Tracker[[#This Row],[DCR Owner]]</f>
        <v>Atul Patil (ws186)</v>
      </c>
      <c r="B32" t="str">
        <f t="shared" si="0"/>
        <v>Atul Patil</v>
      </c>
      <c r="C32">
        <f>Tracker[[#This Row],[DCR ID - PTC]]</f>
        <v>13173306</v>
      </c>
      <c r="D32" t="s">
        <v>1886</v>
      </c>
      <c r="E32">
        <f>Tracker[[#This Row],[Estimated Hrs]]</f>
        <v>0</v>
      </c>
      <c r="F32">
        <f>Tracker[[#This Row],[Actual Efforts (Hrs)]]</f>
        <v>0</v>
      </c>
      <c r="G32">
        <f>Tracker[[#This Row],[Remaining Hrs]]</f>
        <v>0</v>
      </c>
      <c r="H32" t="str">
        <f>Tracker[[#This Row],[Summary]]</f>
        <v>CSAR - Documentation for AftDiesOxidCatFacePlg component</v>
      </c>
      <c r="I32" t="str">
        <f>Tracker[[#This Row],[DCRType]]</f>
        <v>Change Request</v>
      </c>
      <c r="J32">
        <f>Tracker[[#This Row],[PRCRState]]</f>
        <v>0</v>
      </c>
      <c r="K32">
        <f>Tracker[[#This Row],[Planned Start Date
&lt;dd-mm-yyyy&gt;]]</f>
        <v>0</v>
      </c>
      <c r="L32">
        <f>Tracker[[#This Row],[Planned Completion Date
&lt;dd-mm-yyyy&gt;]]</f>
        <v>0</v>
      </c>
      <c r="M32">
        <f>Tracker[[#This Row],[Actual Start Date
&lt;dd-mm-yyyy&gt;]]</f>
        <v>0</v>
      </c>
      <c r="N32">
        <f>Tracker[[#This Row],[Actual Cmpln Date
&lt;dd-mm-yyyy&gt;]]</f>
        <v>0</v>
      </c>
      <c r="O32">
        <f>Tracker[[#This Row],[At Risk]]</f>
        <v>0</v>
      </c>
      <c r="P32">
        <f>Tracker[[#This Row],[
Biz Type]]</f>
        <v>0</v>
      </c>
      <c r="Q32" t="str">
        <f t="shared" si="1"/>
        <v>At</v>
      </c>
    </row>
    <row r="33" spans="1:17">
      <c r="A33" t="str">
        <f>Tracker[[#This Row],[DCR Owner]]</f>
        <v>Atul Patil (ws186)</v>
      </c>
      <c r="B33" t="str">
        <f t="shared" si="0"/>
        <v>Atul Patil</v>
      </c>
      <c r="C33">
        <f>Tracker[[#This Row],[DCR ID - PTC]]</f>
        <v>12942193</v>
      </c>
      <c r="D33" t="s">
        <v>1886</v>
      </c>
      <c r="E33">
        <f>Tracker[[#This Row],[Estimated Hrs]]</f>
        <v>0</v>
      </c>
      <c r="F33">
        <f>Tracker[[#This Row],[Actual Efforts (Hrs)]]</f>
        <v>0</v>
      </c>
      <c r="G33">
        <f>Tracker[[#This Row],[Remaining Hrs]]</f>
        <v>0</v>
      </c>
      <c r="H33" t="str">
        <f>Tracker[[#This Row],[Summary]]</f>
        <v>CSAR Sync up: HC Desorb drive away Clear setting</v>
      </c>
      <c r="I33" t="str">
        <f>Tracker[[#This Row],[DCRType]]</f>
        <v>Change Request</v>
      </c>
      <c r="J33">
        <f>Tracker[[#This Row],[PRCRState]]</f>
        <v>0</v>
      </c>
      <c r="K33">
        <f>Tracker[[#This Row],[Planned Start Date
&lt;dd-mm-yyyy&gt;]]</f>
        <v>0</v>
      </c>
      <c r="L33">
        <f>Tracker[[#This Row],[Planned Completion Date
&lt;dd-mm-yyyy&gt;]]</f>
        <v>0</v>
      </c>
      <c r="M33">
        <f>Tracker[[#This Row],[Actual Start Date
&lt;dd-mm-yyyy&gt;]]</f>
        <v>0</v>
      </c>
      <c r="N33">
        <f>Tracker[[#This Row],[Actual Cmpln Date
&lt;dd-mm-yyyy&gt;]]</f>
        <v>0</v>
      </c>
      <c r="O33">
        <f>Tracker[[#This Row],[At Risk]]</f>
        <v>0</v>
      </c>
      <c r="P33">
        <f>Tracker[[#This Row],[
Biz Type]]</f>
        <v>0</v>
      </c>
      <c r="Q33" t="str">
        <f t="shared" si="1"/>
        <v>At</v>
      </c>
    </row>
    <row r="34" spans="1:17">
      <c r="A34" t="str">
        <f>Tracker[[#This Row],[DCR Owner]]</f>
        <v>Atul Patil (ws186)</v>
      </c>
      <c r="B34" t="str">
        <f t="shared" si="0"/>
        <v>Atul Patil</v>
      </c>
      <c r="C34">
        <f>Tracker[[#This Row],[DCR ID - PTC]]</f>
        <v>11571818</v>
      </c>
      <c r="D34" t="s">
        <v>1886</v>
      </c>
      <c r="E34">
        <f>Tracker[[#This Row],[Estimated Hrs]]</f>
        <v>0</v>
      </c>
      <c r="F34">
        <f>Tracker[[#This Row],[Actual Efforts (Hrs)]]</f>
        <v>0</v>
      </c>
      <c r="G34">
        <f>Tracker[[#This Row],[Remaining Hrs]]</f>
        <v>0</v>
      </c>
      <c r="H34" t="str">
        <f>Tracker[[#This Row],[Summary]]</f>
        <v>iDFMEA for Out of mission eHeater service test</v>
      </c>
      <c r="I34" t="str">
        <f>Tracker[[#This Row],[DCRType]]</f>
        <v>Change Request</v>
      </c>
      <c r="J34">
        <f>Tracker[[#This Row],[PRCRState]]</f>
        <v>0</v>
      </c>
      <c r="K34">
        <f>Tracker[[#This Row],[Planned Start Date
&lt;dd-mm-yyyy&gt;]]</f>
        <v>0</v>
      </c>
      <c r="L34">
        <f>Tracker[[#This Row],[Planned Completion Date
&lt;dd-mm-yyyy&gt;]]</f>
        <v>0</v>
      </c>
      <c r="M34">
        <f>Tracker[[#This Row],[Actual Start Date
&lt;dd-mm-yyyy&gt;]]</f>
        <v>0</v>
      </c>
      <c r="N34">
        <f>Tracker[[#This Row],[Actual Cmpln Date
&lt;dd-mm-yyyy&gt;]]</f>
        <v>0</v>
      </c>
      <c r="O34">
        <f>Tracker[[#This Row],[At Risk]]</f>
        <v>0</v>
      </c>
      <c r="P34">
        <f>Tracker[[#This Row],[
Biz Type]]</f>
        <v>0</v>
      </c>
      <c r="Q34" t="str">
        <f t="shared" si="1"/>
        <v>At</v>
      </c>
    </row>
    <row r="35" spans="1:17">
      <c r="A35" t="str">
        <f>Tracker[[#This Row],[DCR Owner]]</f>
        <v>Atul Patil (ws186)</v>
      </c>
      <c r="B35" t="str">
        <f t="shared" si="0"/>
        <v>Atul Patil</v>
      </c>
      <c r="C35">
        <f>Tracker[[#This Row],[DCR ID - PTC]]</f>
        <v>13318844</v>
      </c>
      <c r="D35" t="s">
        <v>1886</v>
      </c>
      <c r="E35">
        <f>Tracker[[#This Row],[Estimated Hrs]]</f>
        <v>0</v>
      </c>
      <c r="F35">
        <f>Tracker[[#This Row],[Actual Efforts (Hrs)]]</f>
        <v>0</v>
      </c>
      <c r="G35">
        <f>Tracker[[#This Row],[Remaining Hrs]]</f>
        <v>0</v>
      </c>
      <c r="H35" t="str">
        <f>Tracker[[#This Row],[Summary]]</f>
        <v>CSAR - Sync Up: Change threshold of regen target temperature command calculation for DPF protection from a single value to table</v>
      </c>
      <c r="I35" t="str">
        <f>Tracker[[#This Row],[DCRType]]</f>
        <v>Change Request</v>
      </c>
      <c r="J35">
        <f>Tracker[[#This Row],[PRCRState]]</f>
        <v>0</v>
      </c>
      <c r="K35">
        <f>Tracker[[#This Row],[Planned Start Date
&lt;dd-mm-yyyy&gt;]]</f>
        <v>0</v>
      </c>
      <c r="L35">
        <f>Tracker[[#This Row],[Planned Completion Date
&lt;dd-mm-yyyy&gt;]]</f>
        <v>0</v>
      </c>
      <c r="M35">
        <f>Tracker[[#This Row],[Actual Start Date
&lt;dd-mm-yyyy&gt;]]</f>
        <v>0</v>
      </c>
      <c r="N35">
        <f>Tracker[[#This Row],[Actual Cmpln Date
&lt;dd-mm-yyyy&gt;]]</f>
        <v>0</v>
      </c>
      <c r="O35">
        <f>Tracker[[#This Row],[At Risk]]</f>
        <v>0</v>
      </c>
      <c r="P35">
        <f>Tracker[[#This Row],[
Biz Type]]</f>
        <v>0</v>
      </c>
      <c r="Q35" t="str">
        <f t="shared" si="1"/>
        <v>At</v>
      </c>
    </row>
    <row r="36" spans="1:17">
      <c r="A36" t="str">
        <f>Tracker[[#This Row],[DCR Owner]]</f>
        <v>Atul Patil (ws186)</v>
      </c>
      <c r="B36" t="str">
        <f t="shared" si="0"/>
        <v>Atul Patil</v>
      </c>
      <c r="C36">
        <f>Tracker[[#This Row],[DCR ID - PTC]]</f>
        <v>13071268</v>
      </c>
      <c r="D36" t="s">
        <v>1886</v>
      </c>
      <c r="E36">
        <f>Tracker[[#This Row],[Estimated Hrs]]</f>
        <v>0</v>
      </c>
      <c r="F36">
        <f>Tracker[[#This Row],[Actual Efforts (Hrs)]]</f>
        <v>0</v>
      </c>
      <c r="G36">
        <f>Tracker[[#This Row],[Remaining Hrs]]</f>
        <v>0</v>
      </c>
      <c r="H36" t="str">
        <f>Tracker[[#This Row],[Summary]]</f>
        <v>CSAR SyncUp: DPF_CLOSED_LOOP_ERR need software update (to aid dpf push out cases detection)</v>
      </c>
      <c r="I36" t="str">
        <f>Tracker[[#This Row],[DCRType]]</f>
        <v>Change Request</v>
      </c>
      <c r="J36">
        <f>Tracker[[#This Row],[PRCRState]]</f>
        <v>0</v>
      </c>
      <c r="K36">
        <f>Tracker[[#This Row],[Planned Start Date
&lt;dd-mm-yyyy&gt;]]</f>
        <v>0</v>
      </c>
      <c r="L36">
        <f>Tracker[[#This Row],[Planned Completion Date
&lt;dd-mm-yyyy&gt;]]</f>
        <v>0</v>
      </c>
      <c r="M36">
        <f>Tracker[[#This Row],[Actual Start Date
&lt;dd-mm-yyyy&gt;]]</f>
        <v>0</v>
      </c>
      <c r="N36">
        <f>Tracker[[#This Row],[Actual Cmpln Date
&lt;dd-mm-yyyy&gt;]]</f>
        <v>0</v>
      </c>
      <c r="O36">
        <f>Tracker[[#This Row],[At Risk]]</f>
        <v>0</v>
      </c>
      <c r="P36">
        <f>Tracker[[#This Row],[
Biz Type]]</f>
        <v>0</v>
      </c>
      <c r="Q36" t="str">
        <f t="shared" si="1"/>
        <v>At</v>
      </c>
    </row>
    <row r="37" spans="1:17">
      <c r="A37" t="str">
        <f>Tracker[[#This Row],[DCR Owner]]</f>
        <v>Atul Patil (ws186)</v>
      </c>
      <c r="B37" t="str">
        <f t="shared" si="0"/>
        <v>Atul Patil</v>
      </c>
      <c r="C37">
        <f>Tracker[[#This Row],[DCR ID - PTC]]</f>
        <v>13151019</v>
      </c>
      <c r="D37" t="s">
        <v>1886</v>
      </c>
      <c r="E37">
        <f>Tracker[[#This Row],[Estimated Hrs]]</f>
        <v>0</v>
      </c>
      <c r="F37">
        <f>Tracker[[#This Row],[Actual Efforts (Hrs)]]</f>
        <v>0</v>
      </c>
      <c r="G37">
        <f>Tracker[[#This Row],[Remaining Hrs]]</f>
        <v>0</v>
      </c>
      <c r="H37" t="str">
        <f>Tracker[[#This Row],[Summary]]</f>
        <v>Migrate DPF OutP and DeltaP IRP Diagnostics in CSAR</v>
      </c>
      <c r="I37" t="str">
        <f>Tracker[[#This Row],[DCRType]]</f>
        <v>Change Request</v>
      </c>
      <c r="J37">
        <f>Tracker[[#This Row],[PRCRState]]</f>
        <v>0</v>
      </c>
      <c r="K37">
        <f>Tracker[[#This Row],[Planned Start Date
&lt;dd-mm-yyyy&gt;]]</f>
        <v>0</v>
      </c>
      <c r="L37">
        <f>Tracker[[#This Row],[Planned Completion Date
&lt;dd-mm-yyyy&gt;]]</f>
        <v>0</v>
      </c>
      <c r="M37">
        <f>Tracker[[#This Row],[Actual Start Date
&lt;dd-mm-yyyy&gt;]]</f>
        <v>0</v>
      </c>
      <c r="N37">
        <f>Tracker[[#This Row],[Actual Cmpln Date
&lt;dd-mm-yyyy&gt;]]</f>
        <v>0</v>
      </c>
      <c r="O37">
        <f>Tracker[[#This Row],[At Risk]]</f>
        <v>0</v>
      </c>
      <c r="P37">
        <f>Tracker[[#This Row],[
Biz Type]]</f>
        <v>0</v>
      </c>
      <c r="Q37" t="str">
        <f t="shared" si="1"/>
        <v>At</v>
      </c>
    </row>
    <row r="38" spans="1:17">
      <c r="A38" t="str">
        <f>Tracker[[#This Row],[DCR Owner]]</f>
        <v>Boyella Varun Teja (ag14b)/ Manswi</v>
      </c>
      <c r="B38" t="str">
        <f t="shared" si="0"/>
        <v>Boyella Varun Teja (ag14b)</v>
      </c>
      <c r="C38">
        <f>Tracker[[#This Row],[DCR ID - PTC]]</f>
        <v>18490976</v>
      </c>
      <c r="D38" t="s">
        <v>1886</v>
      </c>
      <c r="E38">
        <f>Tracker[[#This Row],[Estimated Hrs]]</f>
        <v>0</v>
      </c>
      <c r="F38">
        <f>Tracker[[#This Row],[Actual Efforts (Hrs)]]</f>
        <v>0</v>
      </c>
      <c r="G38">
        <f>Tracker[[#This Row],[Remaining Hrs]]</f>
        <v>0</v>
      </c>
      <c r="H38" t="str">
        <f>Tracker[[#This Row],[Summary]]</f>
        <v>AftDiesPartFiltDPSLEProc: Update Component Interface sheet for full parameter description coverage and Update code generated a2l for ISM-Override objects with long identifiers using interface sheet descriptions</v>
      </c>
      <c r="I38" t="str">
        <f>Tracker[[#This Row],[DCRType]]</f>
        <v>Change Request</v>
      </c>
      <c r="J38" t="str">
        <f>Tracker[[#This Row],[PRCRState]]</f>
        <v>Implement_NA</v>
      </c>
      <c r="K38">
        <f>Tracker[[#This Row],[Planned Start Date
&lt;dd-mm-yyyy&gt;]]</f>
        <v>0</v>
      </c>
      <c r="L38">
        <f>Tracker[[#This Row],[Planned Completion Date
&lt;dd-mm-yyyy&gt;]]</f>
        <v>0</v>
      </c>
      <c r="M38">
        <f>Tracker[[#This Row],[Actual Start Date
&lt;dd-mm-yyyy&gt;]]</f>
        <v>0</v>
      </c>
      <c r="N38">
        <f>Tracker[[#This Row],[Actual Cmpln Date
&lt;dd-mm-yyyy&gt;]]</f>
        <v>0</v>
      </c>
      <c r="O38" t="str">
        <f>Tracker[[#This Row],[At Risk]]</f>
        <v>Closed</v>
      </c>
      <c r="P38">
        <f>Tracker[[#This Row],[
Biz Type]]</f>
        <v>0</v>
      </c>
      <c r="Q38" t="str">
        <f t="shared" si="1"/>
        <v>Boyella Varun Teja</v>
      </c>
    </row>
    <row r="39" spans="1:17">
      <c r="A39" t="str">
        <f>Tracker[[#This Row],[DCR Owner]]</f>
        <v>Boyella Varun Teja (ag14b)</v>
      </c>
      <c r="B39" t="str">
        <f t="shared" si="0"/>
        <v>Boyella Varun Teja</v>
      </c>
      <c r="C39">
        <f>Tracker[[#This Row],[DCR ID - PTC]]</f>
        <v>19226704</v>
      </c>
      <c r="D39" t="s">
        <v>1886</v>
      </c>
      <c r="E39">
        <f>Tracker[[#This Row],[Estimated Hrs]]</f>
        <v>10</v>
      </c>
      <c r="F39">
        <f>Tracker[[#This Row],[Actual Efforts (Hrs)]]</f>
        <v>12.25</v>
      </c>
      <c r="G39">
        <f>Tracker[[#This Row],[Remaining Hrs]]</f>
        <v>0</v>
      </c>
      <c r="H39" t="str">
        <f>Tracker[[#This Row],[Summary]]</f>
        <v>AftDPFMissDiag - Convert ISM to pp</v>
      </c>
      <c r="I39" t="str">
        <f>Tracker[[#This Row],[DCRType]]</f>
        <v>Change Request</v>
      </c>
      <c r="J39" t="str">
        <f>Tracker[[#This Row],[PRCRState]]</f>
        <v>Evaluate</v>
      </c>
      <c r="K39">
        <f>Tracker[[#This Row],[Planned Start Date
&lt;dd-mm-yyyy&gt;]]</f>
        <v>0</v>
      </c>
      <c r="L39">
        <f>Tracker[[#This Row],[Planned Completion Date
&lt;dd-mm-yyyy&gt;]]</f>
        <v>0</v>
      </c>
      <c r="M39">
        <f>Tracker[[#This Row],[Actual Start Date
&lt;dd-mm-yyyy&gt;]]</f>
        <v>0</v>
      </c>
      <c r="N39">
        <f>Tracker[[#This Row],[Actual Cmpln Date
&lt;dd-mm-yyyy&gt;]]</f>
        <v>0</v>
      </c>
      <c r="O39" t="str">
        <f>Tracker[[#This Row],[At Risk]]</f>
        <v>Rejected</v>
      </c>
      <c r="P39">
        <f>Tracker[[#This Row],[
Biz Type]]</f>
        <v>0</v>
      </c>
      <c r="Q39" t="str">
        <f t="shared" si="1"/>
        <v>Boyella Va</v>
      </c>
    </row>
    <row r="40" spans="1:17">
      <c r="A40" t="str">
        <f>Tracker[[#This Row],[DCR Owner]]</f>
        <v>Boyella Varun Teja (ag14b)</v>
      </c>
      <c r="B40" t="str">
        <f t="shared" si="0"/>
        <v>Boyella Varun Teja</v>
      </c>
      <c r="C40">
        <f>Tracker[[#This Row],[DCR ID - PTC]]</f>
        <v>19515645</v>
      </c>
      <c r="D40" t="s">
        <v>1886</v>
      </c>
      <c r="E40">
        <f>Tracker[[#This Row],[Estimated Hrs]]</f>
        <v>10</v>
      </c>
      <c r="F40">
        <f>Tracker[[#This Row],[Actual Efforts (Hrs)]]</f>
        <v>9</v>
      </c>
      <c r="G40">
        <f>Tracker[[#This Row],[Remaining Hrs]]</f>
        <v>1</v>
      </c>
      <c r="H40" t="str">
        <f>Tracker[[#This Row],[Summary]]</f>
        <v>Cert Doc Update Required for dmAftElecHtr48SuppIntrpErr, dmAftElecHtr2Intrp48VoltErr Diagnostics: AftElecHtrDiag, AftElecHtr2Diag</v>
      </c>
      <c r="I40" t="str">
        <f>Tracker[[#This Row],[DCRType]]</f>
        <v>Change Request</v>
      </c>
      <c r="J40" t="str">
        <f>Tracker[[#This Row],[PRCRState]]</f>
        <v>Implement</v>
      </c>
      <c r="K40">
        <f>Tracker[[#This Row],[Planned Start Date
&lt;dd-mm-yyyy&gt;]]</f>
        <v>0</v>
      </c>
      <c r="L40">
        <f>Tracker[[#This Row],[Planned Completion Date
&lt;dd-mm-yyyy&gt;]]</f>
        <v>46150</v>
      </c>
      <c r="M40">
        <f>Tracker[[#This Row],[Actual Start Date
&lt;dd-mm-yyyy&gt;]]</f>
        <v>0</v>
      </c>
      <c r="N40">
        <f>Tracker[[#This Row],[Actual Cmpln Date
&lt;dd-mm-yyyy&gt;]]</f>
        <v>46154</v>
      </c>
      <c r="O40" t="str">
        <f>Tracker[[#This Row],[At Risk]]</f>
        <v>Closed</v>
      </c>
      <c r="P40" t="str">
        <f>Tracker[[#This Row],[
Biz Type]]</f>
        <v>PFS</v>
      </c>
      <c r="Q40" t="str">
        <f t="shared" si="1"/>
        <v>Boyella Va</v>
      </c>
    </row>
    <row r="41" spans="1:17">
      <c r="A41" t="str">
        <f>Tracker[[#This Row],[DCR Owner]]</f>
        <v>Boyella Varun Teja (ag14b)</v>
      </c>
      <c r="B41" t="str">
        <f t="shared" si="0"/>
        <v>Boyella Varun Teja</v>
      </c>
      <c r="C41">
        <f>Tracker[[#This Row],[DCR ID - PTC]]</f>
        <v>19442852</v>
      </c>
      <c r="D41" t="s">
        <v>1886</v>
      </c>
      <c r="E41">
        <f>Tracker[[#This Row],[Estimated Hrs]]</f>
        <v>0</v>
      </c>
      <c r="F41">
        <f>Tracker[[#This Row],[Actual Efforts (Hrs)]]</f>
        <v>20</v>
      </c>
      <c r="G41">
        <f>Tracker[[#This Row],[Remaining Hrs]]</f>
        <v>-20</v>
      </c>
      <c r="H41" t="str">
        <f>Tracker[[#This Row],[Summary]]</f>
        <v>Update of Protected Divide Output Characteristics in AftElecHtr2Diag and Control Description Refinement in OECS/CSERS</v>
      </c>
      <c r="I41" t="str">
        <f>Tracker[[#This Row],[DCRType]]</f>
        <v>Change Request</v>
      </c>
      <c r="J41" t="str">
        <f>Tracker[[#This Row],[PRCRState]]</f>
        <v>Implement</v>
      </c>
      <c r="K41">
        <f>Tracker[[#This Row],[Planned Start Date
&lt;dd-mm-yyyy&gt;]]</f>
        <v>0</v>
      </c>
      <c r="L41">
        <f>Tracker[[#This Row],[Planned Completion Date
&lt;dd-mm-yyyy&gt;]]</f>
        <v>0</v>
      </c>
      <c r="M41">
        <f>Tracker[[#This Row],[Actual Start Date
&lt;dd-mm-yyyy&gt;]]</f>
        <v>0</v>
      </c>
      <c r="N41">
        <f>Tracker[[#This Row],[Actual Cmpln Date
&lt;dd-mm-yyyy&gt;]]</f>
        <v>0</v>
      </c>
      <c r="O41" t="str">
        <f>Tracker[[#This Row],[At Risk]]</f>
        <v>Yet to start</v>
      </c>
      <c r="P41">
        <f>Tracker[[#This Row],[
Biz Type]]</f>
        <v>0</v>
      </c>
      <c r="Q41" t="str">
        <f t="shared" si="1"/>
        <v>Boyella Va</v>
      </c>
    </row>
    <row r="42" spans="1:17">
      <c r="A42" t="str">
        <f>Tracker[[#This Row],[DCR Owner]]</f>
        <v>Srinadh</v>
      </c>
      <c r="B42" t="e">
        <f t="shared" si="0"/>
        <v>#VALUE!</v>
      </c>
      <c r="C42">
        <f>Tracker[[#This Row],[DCR ID - PTC]]</f>
        <v>18849299</v>
      </c>
      <c r="D42" t="s">
        <v>1886</v>
      </c>
      <c r="E42">
        <f>Tracker[[#This Row],[Estimated Hrs]]</f>
        <v>0</v>
      </c>
      <c r="F42">
        <f>Tracker[[#This Row],[Actual Efforts (Hrs)]]</f>
        <v>6</v>
      </c>
      <c r="G42">
        <f>Tracker[[#This Row],[Remaining Hrs]]</f>
        <v>-6</v>
      </c>
      <c r="H42" t="str">
        <f>Tracker[[#This Row],[Summary]]</f>
        <v>CSAR Migration for DpfMissingIcingSuspect</v>
      </c>
      <c r="I42" t="str">
        <f>Tracker[[#This Row],[DCRType]]</f>
        <v>Change Request</v>
      </c>
      <c r="J42" t="str">
        <f>Tracker[[#This Row],[PRCRState]]</f>
        <v>Task</v>
      </c>
      <c r="K42">
        <f>Tracker[[#This Row],[Planned Start Date
&lt;dd-mm-yyyy&gt;]]</f>
        <v>0</v>
      </c>
      <c r="L42">
        <f>Tracker[[#This Row],[Planned Completion Date
&lt;dd-mm-yyyy&gt;]]</f>
        <v>0</v>
      </c>
      <c r="M42">
        <f>Tracker[[#This Row],[Actual Start Date
&lt;dd-mm-yyyy&gt;]]</f>
        <v>0</v>
      </c>
      <c r="N42">
        <f>Tracker[[#This Row],[Actual Cmpln Date
&lt;dd-mm-yyyy&gt;]]</f>
        <v>0</v>
      </c>
      <c r="O42">
        <f>Tracker[[#This Row],[At Risk]]</f>
        <v>0</v>
      </c>
      <c r="P42">
        <f>Tracker[[#This Row],[
Biz Type]]</f>
        <v>0</v>
      </c>
      <c r="Q42" t="e">
        <f t="shared" si="1"/>
        <v>#VALUE!</v>
      </c>
    </row>
    <row r="43" spans="1:17">
      <c r="A43" t="str">
        <f>Tracker[[#This Row],[DCR Owner]]</f>
        <v>Boyella Varun Teja (ag14b)</v>
      </c>
      <c r="B43" t="str">
        <f t="shared" si="0"/>
        <v>Boyella Varun Teja</v>
      </c>
      <c r="C43">
        <f>Tracker[[#This Row],[DCR ID - PTC]]</f>
        <v>19269141</v>
      </c>
      <c r="D43" t="s">
        <v>1886</v>
      </c>
      <c r="E43">
        <f>Tracker[[#This Row],[Estimated Hrs]]</f>
        <v>0</v>
      </c>
      <c r="F43">
        <f>Tracker[[#This Row],[Actual Efforts (Hrs)]]</f>
        <v>35</v>
      </c>
      <c r="G43">
        <f>Tracker[[#This Row],[Remaining Hrs]]</f>
        <v>-35</v>
      </c>
      <c r="H43" t="str">
        <f>Tracker[[#This Row],[Summary]]</f>
        <v>Migration of Capability data to CSAR AftDPFMissDiag Component</v>
      </c>
      <c r="I43" t="str">
        <f>Tracker[[#This Row],[DCRType]]</f>
        <v>Change Request</v>
      </c>
      <c r="J43" t="str">
        <f>Tracker[[#This Row],[PRCRState]]</f>
        <v>Task</v>
      </c>
      <c r="K43">
        <f>Tracker[[#This Row],[Planned Start Date
&lt;dd-mm-yyyy&gt;]]</f>
        <v>0</v>
      </c>
      <c r="L43">
        <f>Tracker[[#This Row],[Planned Completion Date
&lt;dd-mm-yyyy&gt;]]</f>
        <v>0</v>
      </c>
      <c r="M43">
        <f>Tracker[[#This Row],[Actual Start Date
&lt;dd-mm-yyyy&gt;]]</f>
        <v>0</v>
      </c>
      <c r="N43">
        <f>Tracker[[#This Row],[Actual Cmpln Date
&lt;dd-mm-yyyy&gt;]]</f>
        <v>0</v>
      </c>
      <c r="O43">
        <f>Tracker[[#This Row],[At Risk]]</f>
        <v>0</v>
      </c>
      <c r="P43">
        <f>Tracker[[#This Row],[
Biz Type]]</f>
        <v>0</v>
      </c>
      <c r="Q43" t="str">
        <f t="shared" si="1"/>
        <v>Boyella Va</v>
      </c>
    </row>
    <row r="44" spans="1:17">
      <c r="A44" t="str">
        <f>Tracker[[#This Row],[DCR Owner]]</f>
        <v>Boyella Varun Teja (ag14b)</v>
      </c>
      <c r="B44" t="str">
        <f t="shared" si="0"/>
        <v>Boyella Varun Teja</v>
      </c>
      <c r="C44">
        <f>Tracker[[#This Row],[DCR ID - PTC]]</f>
        <v>17784610</v>
      </c>
      <c r="D44" t="s">
        <v>1886</v>
      </c>
      <c r="E44">
        <f>Tracker[[#This Row],[Estimated Hrs]]</f>
        <v>0</v>
      </c>
      <c r="F44">
        <f>Tracker[[#This Row],[Actual Efforts (Hrs)]]</f>
        <v>135</v>
      </c>
      <c r="G44">
        <f>Tracker[[#This Row],[Remaining Hrs]]</f>
        <v>-135</v>
      </c>
      <c r="H44" t="str">
        <f>Tracker[[#This Row],[Summary]]</f>
        <v>Heater Return Open Circuit diagnostic development for HCU 2 (AftElecHtr2Diag)</v>
      </c>
      <c r="I44" t="str">
        <f>Tracker[[#This Row],[DCRType]]</f>
        <v>Change Request</v>
      </c>
      <c r="J44" t="str">
        <f>Tracker[[#This Row],[PRCRState]]</f>
        <v>Task</v>
      </c>
      <c r="K44">
        <f>Tracker[[#This Row],[Planned Start Date
&lt;dd-mm-yyyy&gt;]]</f>
        <v>0</v>
      </c>
      <c r="L44">
        <f>Tracker[[#This Row],[Planned Completion Date
&lt;dd-mm-yyyy&gt;]]</f>
        <v>0</v>
      </c>
      <c r="M44">
        <f>Tracker[[#This Row],[Actual Start Date
&lt;dd-mm-yyyy&gt;]]</f>
        <v>0</v>
      </c>
      <c r="N44">
        <f>Tracker[[#This Row],[Actual Cmpln Date
&lt;dd-mm-yyyy&gt;]]</f>
        <v>0</v>
      </c>
      <c r="O44">
        <f>Tracker[[#This Row],[At Risk]]</f>
        <v>0</v>
      </c>
      <c r="P44">
        <f>Tracker[[#This Row],[
Biz Type]]</f>
        <v>0</v>
      </c>
      <c r="Q44" t="str">
        <f t="shared" si="1"/>
        <v>Boyella Va</v>
      </c>
    </row>
    <row r="45" spans="1:17">
      <c r="A45" t="str">
        <f>Tracker[[#This Row],[DCR Owner]]</f>
        <v>Boyella Varun Teja (ag14b)/ Manswi</v>
      </c>
      <c r="B45" t="str">
        <f t="shared" si="0"/>
        <v>Boyella Varun Teja (ag14b)</v>
      </c>
      <c r="C45">
        <f>Tracker[[#This Row],[DCR ID - PTC]]</f>
        <v>18387962</v>
      </c>
      <c r="D45" t="s">
        <v>1886</v>
      </c>
      <c r="E45">
        <f>Tracker[[#This Row],[Estimated Hrs]]</f>
        <v>0</v>
      </c>
      <c r="F45">
        <f>Tracker[[#This Row],[Actual Efforts (Hrs)]]</f>
        <v>17</v>
      </c>
      <c r="G45">
        <f>Tracker[[#This Row],[Remaining Hrs]]</f>
        <v>0</v>
      </c>
      <c r="H45" t="str">
        <f>Tracker[[#This Row],[Summary]]</f>
        <v>AftDiesPartFiltDPSLEProc: Update application guide(s) of component to provide complete parameter object description coverage, parameter usage specification and to update information per missing sections of application guide template</v>
      </c>
      <c r="I45" t="str">
        <f>Tracker[[#This Row],[DCRType]]</f>
        <v>Change Request</v>
      </c>
      <c r="J45" t="str">
        <f>Tracker[[#This Row],[PRCRState]]</f>
        <v>Implement_NA</v>
      </c>
      <c r="K45">
        <f>Tracker[[#This Row],[Planned Start Date
&lt;dd-mm-yyyy&gt;]]</f>
        <v>0</v>
      </c>
      <c r="L45">
        <f>Tracker[[#This Row],[Planned Completion Date
&lt;dd-mm-yyyy&gt;]]</f>
        <v>0</v>
      </c>
      <c r="M45">
        <f>Tracker[[#This Row],[Actual Start Date
&lt;dd-mm-yyyy&gt;]]</f>
        <v>0</v>
      </c>
      <c r="N45">
        <f>Tracker[[#This Row],[Actual Cmpln Date
&lt;dd-mm-yyyy&gt;]]</f>
        <v>0</v>
      </c>
      <c r="O45" t="str">
        <f>Tracker[[#This Row],[At Risk]]</f>
        <v>Closed</v>
      </c>
      <c r="P45">
        <f>Tracker[[#This Row],[
Biz Type]]</f>
        <v>0</v>
      </c>
      <c r="Q45" t="str">
        <f t="shared" si="1"/>
        <v>Boyella Varun Teja</v>
      </c>
    </row>
    <row r="46" spans="1:17">
      <c r="A46" t="str">
        <f>Tracker[[#This Row],[DCR Owner]]</f>
        <v>Chitharenjan Nair (am01f)</v>
      </c>
      <c r="B46" t="str">
        <f t="shared" si="0"/>
        <v>Chitharenjan Nair</v>
      </c>
      <c r="C46">
        <f>Tracker[[#This Row],[DCR ID - PTC]]</f>
        <v>19229743</v>
      </c>
      <c r="D46" t="s">
        <v>1886</v>
      </c>
      <c r="E46">
        <f>Tracker[[#This Row],[Estimated Hrs]]</f>
        <v>0</v>
      </c>
      <c r="F46">
        <f>Tracker[[#This Row],[Actual Efforts (Hrs)]]</f>
        <v>0</v>
      </c>
      <c r="G46">
        <f>Tracker[[#This Row],[Remaining Hrs]]</f>
        <v>0</v>
      </c>
      <c r="H46" t="str">
        <f>Tracker[[#This Row],[Summary]]</f>
        <v>Change Look Up Table Settings as per Task_15591039 Analysis and CSAR Guidelines - AftSCRHtrVirInlTmptr</v>
      </c>
      <c r="I46" t="str">
        <f>Tracker[[#This Row],[DCRType]]</f>
        <v>Change Request</v>
      </c>
      <c r="J46" t="str">
        <f>Tracker[[#This Row],[PRCRState]]</f>
        <v>Evaluate_NA</v>
      </c>
      <c r="K46">
        <f>Tracker[[#This Row],[Planned Start Date
&lt;dd-mm-yyyy&gt;]]</f>
        <v>0</v>
      </c>
      <c r="L46">
        <f>Tracker[[#This Row],[Planned Completion Date
&lt;dd-mm-yyyy&gt;]]</f>
        <v>0</v>
      </c>
      <c r="M46">
        <f>Tracker[[#This Row],[Actual Start Date
&lt;dd-mm-yyyy&gt;]]</f>
        <v>0</v>
      </c>
      <c r="N46">
        <f>Tracker[[#This Row],[Actual Cmpln Date
&lt;dd-mm-yyyy&gt;]]</f>
        <v>0</v>
      </c>
      <c r="O46">
        <f>Tracker[[#This Row],[At Risk]]</f>
        <v>0</v>
      </c>
      <c r="P46">
        <f>Tracker[[#This Row],[
Biz Type]]</f>
        <v>0</v>
      </c>
      <c r="Q46" t="str">
        <f t="shared" si="1"/>
        <v>Chitharen</v>
      </c>
    </row>
    <row r="47" spans="1:17">
      <c r="A47" t="str">
        <f>Tracker[[#This Row],[DCR Owner]]</f>
        <v>Chitharenjan Nair (am01f)</v>
      </c>
      <c r="B47" t="str">
        <f t="shared" si="0"/>
        <v>Chitharenjan Nair</v>
      </c>
      <c r="C47">
        <f>Tracker[[#This Row],[DCR ID - PTC]]</f>
        <v>15955970</v>
      </c>
      <c r="D47" t="s">
        <v>1886</v>
      </c>
      <c r="E47">
        <f>Tracker[[#This Row],[Estimated Hrs]]</f>
        <v>0</v>
      </c>
      <c r="F47">
        <f>Tracker[[#This Row],[Actual Efforts (Hrs)]]</f>
        <v>0</v>
      </c>
      <c r="G47">
        <f>Tracker[[#This Row],[Remaining Hrs]]</f>
        <v>0</v>
      </c>
      <c r="H47" t="str">
        <f>Tracker[[#This Row],[Summary]]</f>
        <v>Analysis required on AftElecHtr2Daig component for HtrHCUPwrIntrpt diagnostic</v>
      </c>
      <c r="I47" t="str">
        <f>Tracker[[#This Row],[DCRType]]</f>
        <v>Change Request</v>
      </c>
      <c r="J47" t="str">
        <f>Tracker[[#This Row],[PRCRState]]</f>
        <v>Task</v>
      </c>
      <c r="K47">
        <f>Tracker[[#This Row],[Planned Start Date
&lt;dd-mm-yyyy&gt;]]</f>
        <v>0</v>
      </c>
      <c r="L47">
        <f>Tracker[[#This Row],[Planned Completion Date
&lt;dd-mm-yyyy&gt;]]</f>
        <v>0</v>
      </c>
      <c r="M47">
        <f>Tracker[[#This Row],[Actual Start Date
&lt;dd-mm-yyyy&gt;]]</f>
        <v>0</v>
      </c>
      <c r="N47">
        <f>Tracker[[#This Row],[Actual Cmpln Date
&lt;dd-mm-yyyy&gt;]]</f>
        <v>0</v>
      </c>
      <c r="O47">
        <f>Tracker[[#This Row],[At Risk]]</f>
        <v>0</v>
      </c>
      <c r="P47">
        <f>Tracker[[#This Row],[
Biz Type]]</f>
        <v>0</v>
      </c>
      <c r="Q47" t="str">
        <f t="shared" si="1"/>
        <v>Chitharen</v>
      </c>
    </row>
    <row r="48" spans="1:17">
      <c r="A48" t="str">
        <f>Tracker[[#This Row],[DCR Owner]]</f>
        <v>Chitharenjan Nair (am01f)</v>
      </c>
      <c r="B48" t="str">
        <f t="shared" si="0"/>
        <v>Chitharenjan Nair</v>
      </c>
      <c r="C48">
        <f>Tracker[[#This Row],[DCR ID - PTC]]</f>
        <v>15929265</v>
      </c>
      <c r="D48" t="s">
        <v>1886</v>
      </c>
      <c r="E48">
        <f>Tracker[[#This Row],[Estimated Hrs]]</f>
        <v>0</v>
      </c>
      <c r="F48">
        <f>Tracker[[#This Row],[Actual Efforts (Hrs)]]</f>
        <v>0</v>
      </c>
      <c r="G48">
        <f>Tracker[[#This Row],[Remaining Hrs]]</f>
        <v>0</v>
      </c>
      <c r="H48" t="str">
        <f>Tracker[[#This Row],[Summary]]</f>
        <v>CSAR SyncUp for Core2 DCR_11611500: Save HC doser pressure test status over key-cycles</v>
      </c>
      <c r="I48" t="str">
        <f>Tracker[[#This Row],[DCRType]]</f>
        <v>Change Request</v>
      </c>
      <c r="J48" t="str">
        <f>Tracker[[#This Row],[PRCRState]]</f>
        <v>Task</v>
      </c>
      <c r="K48">
        <f>Tracker[[#This Row],[Planned Start Date
&lt;dd-mm-yyyy&gt;]]</f>
        <v>0</v>
      </c>
      <c r="L48">
        <f>Tracker[[#This Row],[Planned Completion Date
&lt;dd-mm-yyyy&gt;]]</f>
        <v>0</v>
      </c>
      <c r="M48">
        <f>Tracker[[#This Row],[Actual Start Date
&lt;dd-mm-yyyy&gt;]]</f>
        <v>0</v>
      </c>
      <c r="N48">
        <f>Tracker[[#This Row],[Actual Cmpln Date
&lt;dd-mm-yyyy&gt;]]</f>
        <v>0</v>
      </c>
      <c r="O48">
        <f>Tracker[[#This Row],[At Risk]]</f>
        <v>0</v>
      </c>
      <c r="P48">
        <f>Tracker[[#This Row],[
Biz Type]]</f>
        <v>0</v>
      </c>
      <c r="Q48" t="str">
        <f t="shared" si="1"/>
        <v>Chitharen</v>
      </c>
    </row>
    <row r="49" spans="1:17">
      <c r="A49" t="str">
        <f>Tracker[[#This Row],[DCR Owner]]</f>
        <v>Srinadh / Sumitkumar Patil</v>
      </c>
      <c r="B49" t="str">
        <f t="shared" si="0"/>
        <v>Srinadh / Sumitkum</v>
      </c>
      <c r="C49">
        <f>Tracker[[#This Row],[DCR ID - PTC]]</f>
        <v>14671966</v>
      </c>
      <c r="D49" t="s">
        <v>1886</v>
      </c>
      <c r="E49">
        <f>Tracker[[#This Row],[Estimated Hrs]]</f>
        <v>0</v>
      </c>
      <c r="F49">
        <f>Tracker[[#This Row],[Actual Efforts (Hrs)]]</f>
        <v>1.25</v>
      </c>
      <c r="G49">
        <f>Tracker[[#This Row],[Remaining Hrs]]</f>
        <v>0</v>
      </c>
      <c r="H49" t="str">
        <f>Tracker[[#This Row],[Summary]]</f>
        <v>Need change in AftDiesOxidCatHCDosEffCalc component for the strategy developed under  DCR_13477734</v>
      </c>
      <c r="I49" t="str">
        <f>Tracker[[#This Row],[DCRType]]</f>
        <v>Change Request</v>
      </c>
      <c r="J49" t="str">
        <f>Tracker[[#This Row],[PRCRState]]</f>
        <v>Task</v>
      </c>
      <c r="K49">
        <f>Tracker[[#This Row],[Planned Start Date
&lt;dd-mm-yyyy&gt;]]</f>
        <v>0</v>
      </c>
      <c r="L49">
        <f>Tracker[[#This Row],[Planned Completion Date
&lt;dd-mm-yyyy&gt;]]</f>
        <v>46177</v>
      </c>
      <c r="M49">
        <f>Tracker[[#This Row],[Actual Start Date
&lt;dd-mm-yyyy&gt;]]</f>
        <v>0</v>
      </c>
      <c r="N49">
        <f>Tracker[[#This Row],[Actual Cmpln Date
&lt;dd-mm-yyyy&gt;]]</f>
        <v>46177</v>
      </c>
      <c r="O49" t="str">
        <f>Tracker[[#This Row],[At Risk]]</f>
        <v>Closed</v>
      </c>
      <c r="P49" t="str">
        <f>Tracker[[#This Row],[
Biz Type]]</f>
        <v>PFS</v>
      </c>
      <c r="Q49" t="str">
        <f t="shared" si="1"/>
        <v xml:space="preserve">Srinadh / </v>
      </c>
    </row>
    <row r="50" spans="1:17">
      <c r="A50" t="str">
        <f>Tracker[[#This Row],[DCR Owner]]</f>
        <v>Chitharenjan Nair (am01f)</v>
      </c>
      <c r="B50" t="str">
        <f t="shared" si="0"/>
        <v>Chitharenjan Nair</v>
      </c>
      <c r="C50">
        <f>Tracker[[#This Row],[DCR ID - PTC]]</f>
        <v>19229743</v>
      </c>
      <c r="D50" t="s">
        <v>1886</v>
      </c>
      <c r="E50">
        <f>Tracker[[#This Row],[Estimated Hrs]]</f>
        <v>0</v>
      </c>
      <c r="F50">
        <f>Tracker[[#This Row],[Actual Efforts (Hrs)]]</f>
        <v>0</v>
      </c>
      <c r="G50">
        <f>Tracker[[#This Row],[Remaining Hrs]]</f>
        <v>0</v>
      </c>
      <c r="H50" t="str">
        <f>Tracker[[#This Row],[Summary]]</f>
        <v>Change Look Up Table Settings as per Task_15591039 Analysis and CSAR Guidelines - AftSCRHtrVirInlTmptr</v>
      </c>
      <c r="I50" t="str">
        <f>Tracker[[#This Row],[DCRType]]</f>
        <v>Change Request</v>
      </c>
      <c r="J50" t="str">
        <f>Tracker[[#This Row],[PRCRState]]</f>
        <v>Implement_NA</v>
      </c>
      <c r="K50">
        <f>Tracker[[#This Row],[Planned Start Date
&lt;dd-mm-yyyy&gt;]]</f>
        <v>0</v>
      </c>
      <c r="L50">
        <f>Tracker[[#This Row],[Planned Completion Date
&lt;dd-mm-yyyy&gt;]]</f>
        <v>0</v>
      </c>
      <c r="M50">
        <f>Tracker[[#This Row],[Actual Start Date
&lt;dd-mm-yyyy&gt;]]</f>
        <v>0</v>
      </c>
      <c r="N50">
        <f>Tracker[[#This Row],[Actual Cmpln Date
&lt;dd-mm-yyyy&gt;]]</f>
        <v>0</v>
      </c>
      <c r="O50">
        <f>Tracker[[#This Row],[At Risk]]</f>
        <v>0</v>
      </c>
      <c r="P50">
        <f>Tracker[[#This Row],[
Biz Type]]</f>
        <v>0</v>
      </c>
      <c r="Q50" t="str">
        <f t="shared" si="1"/>
        <v>Chitharen</v>
      </c>
    </row>
    <row r="51" spans="1:17">
      <c r="A51" t="str">
        <f>Tracker[[#This Row],[DCR Owner]]</f>
        <v>Danduboyina Sindhu (al24v)</v>
      </c>
      <c r="B51" t="str">
        <f t="shared" si="0"/>
        <v>Danduboyina Sindhu</v>
      </c>
      <c r="C51">
        <f>Tracker[[#This Row],[DCR ID - PTC]]</f>
        <v>18490944</v>
      </c>
      <c r="D51" t="s">
        <v>1886</v>
      </c>
      <c r="E51">
        <f>Tracker[[#This Row],[Estimated Hrs]]</f>
        <v>0</v>
      </c>
      <c r="F51">
        <f>Tracker[[#This Row],[Actual Efforts (Hrs)]]</f>
        <v>9.5</v>
      </c>
      <c r="G51">
        <f>Tracker[[#This Row],[Remaining Hrs]]</f>
        <v>-9.5</v>
      </c>
      <c r="H51">
        <f>Tracker[[#This Row],[Summary]]</f>
        <v>0</v>
      </c>
      <c r="I51">
        <f>Tracker[[#This Row],[DCRType]]</f>
        <v>0</v>
      </c>
      <c r="J51" t="str">
        <f>Tracker[[#This Row],[PRCRState]]</f>
        <v>Implement_NA</v>
      </c>
      <c r="K51">
        <f>Tracker[[#This Row],[Planned Start Date
&lt;dd-mm-yyyy&gt;]]</f>
        <v>0</v>
      </c>
      <c r="L51">
        <f>Tracker[[#This Row],[Planned Completion Date
&lt;dd-mm-yyyy&gt;]]</f>
        <v>0</v>
      </c>
      <c r="M51">
        <f>Tracker[[#This Row],[Actual Start Date
&lt;dd-mm-yyyy&gt;]]</f>
        <v>0</v>
      </c>
      <c r="N51">
        <f>Tracker[[#This Row],[Actual Cmpln Date
&lt;dd-mm-yyyy&gt;]]</f>
        <v>0</v>
      </c>
      <c r="O51" t="str">
        <f>Tracker[[#This Row],[At Risk]]</f>
        <v>Closed</v>
      </c>
      <c r="P51">
        <f>Tracker[[#This Row],[
Biz Type]]</f>
        <v>0</v>
      </c>
      <c r="Q51" t="str">
        <f t="shared" si="1"/>
        <v>Danduboyin</v>
      </c>
    </row>
    <row r="52" spans="1:17">
      <c r="A52" t="str">
        <f>Tracker[[#This Row],[DCR Owner]]</f>
        <v>Danduboyina Sindhu (al24v)</v>
      </c>
      <c r="B52" t="str">
        <f t="shared" si="0"/>
        <v>Danduboyina Sindhu</v>
      </c>
      <c r="C52">
        <f>Tracker[[#This Row],[DCR ID - PTC]]</f>
        <v>18387946</v>
      </c>
      <c r="D52" t="s">
        <v>1886</v>
      </c>
      <c r="E52">
        <f>Tracker[[#This Row],[Estimated Hrs]]</f>
        <v>0</v>
      </c>
      <c r="F52">
        <f>Tracker[[#This Row],[Actual Efforts (Hrs)]]</f>
        <v>5</v>
      </c>
      <c r="G52">
        <f>Tracker[[#This Row],[Remaining Hrs]]</f>
        <v>-5</v>
      </c>
      <c r="H52" t="str">
        <f>Tracker[[#This Row],[Summary]]</f>
        <v>AftDiesPartFiltCSLEProc: Update Component Interface sheet for full parameter description coverage and Update code generated a2l for ISM-Override objects with long identifiers using interface sheet descriptions</v>
      </c>
      <c r="I52" t="str">
        <f>Tracker[[#This Row],[DCRType]]</f>
        <v>Change Request</v>
      </c>
      <c r="J52" t="str">
        <f>Tracker[[#This Row],[PRCRState]]</f>
        <v>Implement_NA</v>
      </c>
      <c r="K52">
        <f>Tracker[[#This Row],[Planned Start Date
&lt;dd-mm-yyyy&gt;]]</f>
        <v>0</v>
      </c>
      <c r="L52">
        <f>Tracker[[#This Row],[Planned Completion Date
&lt;dd-mm-yyyy&gt;]]</f>
        <v>0</v>
      </c>
      <c r="M52">
        <f>Tracker[[#This Row],[Actual Start Date
&lt;dd-mm-yyyy&gt;]]</f>
        <v>0</v>
      </c>
      <c r="N52">
        <f>Tracker[[#This Row],[Actual Cmpln Date
&lt;dd-mm-yyyy&gt;]]</f>
        <v>0</v>
      </c>
      <c r="O52" t="str">
        <f>Tracker[[#This Row],[At Risk]]</f>
        <v>Closed</v>
      </c>
      <c r="P52">
        <f>Tracker[[#This Row],[
Biz Type]]</f>
        <v>0</v>
      </c>
      <c r="Q52" t="str">
        <f t="shared" si="1"/>
        <v>Danduboyin</v>
      </c>
    </row>
    <row r="53" spans="1:17">
      <c r="A53" t="str">
        <f>Tracker[[#This Row],[DCR Owner]]</f>
        <v>Danduboyina Sindhu (al24v)</v>
      </c>
      <c r="B53" t="str">
        <f t="shared" si="0"/>
        <v>Danduboyina Sindhu</v>
      </c>
      <c r="C53">
        <f>Tracker[[#This Row],[DCR ID - PTC]]</f>
        <v>18387954</v>
      </c>
      <c r="D53" t="s">
        <v>1886</v>
      </c>
      <c r="E53">
        <f>Tracker[[#This Row],[Estimated Hrs]]</f>
        <v>0</v>
      </c>
      <c r="F53">
        <f>Tracker[[#This Row],[Actual Efforts (Hrs)]]</f>
        <v>2</v>
      </c>
      <c r="G53">
        <f>Tracker[[#This Row],[Remaining Hrs]]</f>
        <v>-2</v>
      </c>
      <c r="H53" t="str">
        <f>Tracker[[#This Row],[Summary]]</f>
        <v>AftDiesPartFiltCSLEProc: Update application guide(s) of component to provide complete parameter object description coverage, parameter usage specification and to update information per missing sections of application guide template</v>
      </c>
      <c r="I53" t="str">
        <f>Tracker[[#This Row],[DCRType]]</f>
        <v>Change Request</v>
      </c>
      <c r="J53" t="str">
        <f>Tracker[[#This Row],[PRCRState]]</f>
        <v>Implement_NA</v>
      </c>
      <c r="K53">
        <f>Tracker[[#This Row],[Planned Start Date
&lt;dd-mm-yyyy&gt;]]</f>
        <v>0</v>
      </c>
      <c r="L53">
        <f>Tracker[[#This Row],[Planned Completion Date
&lt;dd-mm-yyyy&gt;]]</f>
        <v>0</v>
      </c>
      <c r="M53">
        <f>Tracker[[#This Row],[Actual Start Date
&lt;dd-mm-yyyy&gt;]]</f>
        <v>0</v>
      </c>
      <c r="N53">
        <f>Tracker[[#This Row],[Actual Cmpln Date
&lt;dd-mm-yyyy&gt;]]</f>
        <v>0</v>
      </c>
      <c r="O53" t="str">
        <f>Tracker[[#This Row],[At Risk]]</f>
        <v>Closed</v>
      </c>
      <c r="P53">
        <f>Tracker[[#This Row],[
Biz Type]]</f>
        <v>0</v>
      </c>
      <c r="Q53" t="str">
        <f t="shared" si="1"/>
        <v>Danduboyin</v>
      </c>
    </row>
    <row r="54" spans="1:17">
      <c r="A54" t="str">
        <f>Tracker[[#This Row],[DCR Owner]]</f>
        <v>Danduboyina Sindhu (al24v)</v>
      </c>
      <c r="B54" t="str">
        <f t="shared" si="0"/>
        <v>Danduboyina Sindhu</v>
      </c>
      <c r="C54">
        <f>Tracker[[#This Row],[DCR ID - PTC]]</f>
        <v>19555923</v>
      </c>
      <c r="D54" t="s">
        <v>1886</v>
      </c>
      <c r="E54">
        <f>Tracker[[#This Row],[Estimated Hrs]]</f>
        <v>15</v>
      </c>
      <c r="F54">
        <f>Tracker[[#This Row],[Actual Efforts (Hrs)]]</f>
        <v>13.5</v>
      </c>
      <c r="G54">
        <f>Tracker[[#This Row],[Remaining Hrs]]</f>
        <v>1.5</v>
      </c>
      <c r="H54" t="str">
        <f>Tracker[[#This Row],[Summary]]</f>
        <v>cert doc generation error for doc close loop error for barracuda</v>
      </c>
      <c r="I54" t="str">
        <f>Tracker[[#This Row],[DCRType]]</f>
        <v>Change Request</v>
      </c>
      <c r="J54" t="str">
        <f>Tracker[[#This Row],[PRCRState]]</f>
        <v>Implement</v>
      </c>
      <c r="K54">
        <f>Tracker[[#This Row],[Planned Start Date
&lt;dd-mm-yyyy&gt;]]</f>
        <v>0</v>
      </c>
      <c r="L54">
        <f>Tracker[[#This Row],[Planned Completion Date
&lt;dd-mm-yyyy&gt;]]</f>
        <v>46175</v>
      </c>
      <c r="M54">
        <f>Tracker[[#This Row],[Actual Start Date
&lt;dd-mm-yyyy&gt;]]</f>
        <v>0</v>
      </c>
      <c r="N54">
        <f>Tracker[[#This Row],[Actual Cmpln Date
&lt;dd-mm-yyyy&gt;]]</f>
        <v>46176</v>
      </c>
      <c r="O54" t="str">
        <f>Tracker[[#This Row],[At Risk]]</f>
        <v>Closed</v>
      </c>
      <c r="P54" t="str">
        <f>Tracker[[#This Row],[
Biz Type]]</f>
        <v>PFS</v>
      </c>
      <c r="Q54" t="str">
        <f t="shared" si="1"/>
        <v>Danduboyin</v>
      </c>
    </row>
    <row r="55" spans="1:17">
      <c r="A55" t="str">
        <f>Tracker[[#This Row],[DCR Owner]]</f>
        <v>Indumathi M (wf309)</v>
      </c>
      <c r="B55" t="str">
        <f t="shared" si="0"/>
        <v>Indumathi M</v>
      </c>
      <c r="C55">
        <f>Tracker[[#This Row],[DCR ID - PTC]]</f>
        <v>17386788</v>
      </c>
      <c r="D55" t="s">
        <v>1886</v>
      </c>
      <c r="E55">
        <f>Tracker[[#This Row],[Estimated Hrs]]</f>
        <v>0</v>
      </c>
      <c r="F55">
        <f>Tracker[[#This Row],[Actual Efforts (Hrs)]]</f>
        <v>0</v>
      </c>
      <c r="G55">
        <f>Tracker[[#This Row],[Remaining Hrs]]</f>
        <v>0</v>
      </c>
      <c r="H55" t="str">
        <f>Tracker[[#This Row],[Summary]]</f>
        <v>E-heater Stuck on error diagnostic logic update - AftElecHtrIPwrDDiag</v>
      </c>
      <c r="I55" t="str">
        <f>Tracker[[#This Row],[DCRType]]</f>
        <v>Task</v>
      </c>
      <c r="J55" t="str">
        <f>Tracker[[#This Row],[PRCRState]]</f>
        <v>Task_NA</v>
      </c>
      <c r="K55">
        <f>Tracker[[#This Row],[Planned Start Date
&lt;dd-mm-yyyy&gt;]]</f>
        <v>0</v>
      </c>
      <c r="L55">
        <f>Tracker[[#This Row],[Planned Completion Date
&lt;dd-mm-yyyy&gt;]]</f>
        <v>0</v>
      </c>
      <c r="M55">
        <f>Tracker[[#This Row],[Actual Start Date
&lt;dd-mm-yyyy&gt;]]</f>
        <v>0</v>
      </c>
      <c r="N55">
        <f>Tracker[[#This Row],[Actual Cmpln Date
&lt;dd-mm-yyyy&gt;]]</f>
        <v>0</v>
      </c>
      <c r="O55">
        <f>Tracker[[#This Row],[At Risk]]</f>
        <v>0</v>
      </c>
      <c r="P55">
        <f>Tracker[[#This Row],[
Biz Type]]</f>
        <v>0</v>
      </c>
      <c r="Q55" t="str">
        <f t="shared" si="1"/>
        <v>Ind</v>
      </c>
    </row>
    <row r="56" spans="1:17">
      <c r="A56" t="str">
        <f>Tracker[[#This Row],[DCR Owner]]</f>
        <v>Indumathi M (wf309)</v>
      </c>
      <c r="B56" t="str">
        <f t="shared" si="0"/>
        <v>Indumathi M</v>
      </c>
      <c r="C56">
        <f>Tracker[[#This Row],[DCR ID - PTC]]</f>
        <v>19532824</v>
      </c>
      <c r="D56" t="s">
        <v>1886</v>
      </c>
      <c r="E56">
        <f>Tracker[[#This Row],[Estimated Hrs]]</f>
        <v>36.5</v>
      </c>
      <c r="F56">
        <f>Tracker[[#This Row],[Actual Efforts (Hrs)]]</f>
        <v>60</v>
      </c>
      <c r="G56">
        <f>Tracker[[#This Row],[Remaining Hrs]]</f>
        <v>-23.5</v>
      </c>
      <c r="H56" t="str">
        <f>Tracker[[#This Row],[Summary]]</f>
        <v>AFT Dual electric heater service test related changes in AftDualHtrRegenCtrl component for DAF</v>
      </c>
      <c r="I56" t="str">
        <f>Tracker[[#This Row],[DCRType]]</f>
        <v>Change Request</v>
      </c>
      <c r="J56" t="str">
        <f>Tracker[[#This Row],[PRCRState]]</f>
        <v>Implement</v>
      </c>
      <c r="K56">
        <f>Tracker[[#This Row],[Planned Start Date
&lt;dd-mm-yyyy&gt;]]</f>
        <v>0</v>
      </c>
      <c r="L56">
        <f>Tracker[[#This Row],[Planned Completion Date
&lt;dd-mm-yyyy&gt;]]</f>
        <v>46164</v>
      </c>
      <c r="M56">
        <f>Tracker[[#This Row],[Actual Start Date
&lt;dd-mm-yyyy&gt;]]</f>
        <v>0</v>
      </c>
      <c r="N56">
        <f>Tracker[[#This Row],[Actual Cmpln Date
&lt;dd-mm-yyyy&gt;]]</f>
        <v>46164</v>
      </c>
      <c r="O56" t="str">
        <f>Tracker[[#This Row],[At Risk]]</f>
        <v>Closed</v>
      </c>
      <c r="P56" t="str">
        <f>Tracker[[#This Row],[
Biz Type]]</f>
        <v>PFS</v>
      </c>
      <c r="Q56" t="str">
        <f t="shared" si="1"/>
        <v>Ind</v>
      </c>
    </row>
    <row r="57" spans="1:17">
      <c r="A57" t="str">
        <f>Tracker[[#This Row],[DCR Owner]]</f>
        <v>Indumathi M (wf309)</v>
      </c>
      <c r="B57" t="str">
        <f t="shared" si="0"/>
        <v>Indumathi M</v>
      </c>
      <c r="C57">
        <f>Tracker[[#This Row],[DCR ID - PTC]]</f>
        <v>18035598</v>
      </c>
      <c r="D57" t="s">
        <v>1886</v>
      </c>
      <c r="E57">
        <f>Tracker[[#This Row],[Estimated Hrs]]</f>
        <v>0</v>
      </c>
      <c r="F57">
        <f>Tracker[[#This Row],[Actual Efforts (Hrs)]]</f>
        <v>0</v>
      </c>
      <c r="G57">
        <f>Tracker[[#This Row],[Remaining Hrs]]</f>
        <v>0</v>
      </c>
      <c r="H57" t="str">
        <f>Tracker[[#This Row],[Summary]]</f>
        <v>AftDualHtrCtrlIPwrD : Implementation DCR for SA-IPD changes for heater service test.</v>
      </c>
      <c r="I57" t="str">
        <f>Tracker[[#This Row],[DCRType]]</f>
        <v>Change Request</v>
      </c>
      <c r="J57" t="str">
        <f>Tracker[[#This Row],[PRCRState]]</f>
        <v>Task</v>
      </c>
      <c r="K57">
        <f>Tracker[[#This Row],[Planned Start Date
&lt;dd-mm-yyyy&gt;]]</f>
        <v>0</v>
      </c>
      <c r="L57">
        <f>Tracker[[#This Row],[Planned Completion Date
&lt;dd-mm-yyyy&gt;]]</f>
        <v>0</v>
      </c>
      <c r="M57">
        <f>Tracker[[#This Row],[Actual Start Date
&lt;dd-mm-yyyy&gt;]]</f>
        <v>0</v>
      </c>
      <c r="N57">
        <f>Tracker[[#This Row],[Actual Cmpln Date
&lt;dd-mm-yyyy&gt;]]</f>
        <v>0</v>
      </c>
      <c r="O57">
        <f>Tracker[[#This Row],[At Risk]]</f>
        <v>0</v>
      </c>
      <c r="P57">
        <f>Tracker[[#This Row],[
Biz Type]]</f>
        <v>0</v>
      </c>
      <c r="Q57" t="str">
        <f t="shared" si="1"/>
        <v>Ind</v>
      </c>
    </row>
    <row r="58" spans="1:17">
      <c r="A58" t="str">
        <f>Tracker[[#This Row],[DCR Owner]]</f>
        <v>Indumathi M (wf309) / Srinadh</v>
      </c>
      <c r="B58" t="str">
        <f t="shared" si="0"/>
        <v>Indumathi M (wf309) /</v>
      </c>
      <c r="C58">
        <f>Tracker[[#This Row],[DCR ID - PTC]]</f>
        <v>18944494</v>
      </c>
      <c r="D58" t="s">
        <v>1886</v>
      </c>
      <c r="E58">
        <f>Tracker[[#This Row],[Estimated Hrs]]</f>
        <v>0</v>
      </c>
      <c r="F58">
        <f>Tracker[[#This Row],[Actual Efforts (Hrs)]]</f>
        <v>3.5</v>
      </c>
      <c r="G58">
        <f>Tracker[[#This Row],[Remaining Hrs]]</f>
        <v>-3.5</v>
      </c>
      <c r="H58" t="str">
        <f>Tracker[[#This Row],[Summary]]</f>
        <v>Changes to AftDualHtrCtrl</v>
      </c>
      <c r="I58" t="str">
        <f>Tracker[[#This Row],[DCRType]]</f>
        <v>Change Request</v>
      </c>
      <c r="J58" t="str">
        <f>Tracker[[#This Row],[PRCRState]]</f>
        <v>Task</v>
      </c>
      <c r="K58">
        <f>Tracker[[#This Row],[Planned Start Date
&lt;dd-mm-yyyy&gt;]]</f>
        <v>0</v>
      </c>
      <c r="L58">
        <f>Tracker[[#This Row],[Planned Completion Date
&lt;dd-mm-yyyy&gt;]]</f>
        <v>0</v>
      </c>
      <c r="M58">
        <f>Tracker[[#This Row],[Actual Start Date
&lt;dd-mm-yyyy&gt;]]</f>
        <v>0</v>
      </c>
      <c r="N58">
        <f>Tracker[[#This Row],[Actual Cmpln Date
&lt;dd-mm-yyyy&gt;]]</f>
        <v>0</v>
      </c>
      <c r="O58" t="str">
        <f>Tracker[[#This Row],[At Risk]]</f>
        <v>On Track</v>
      </c>
      <c r="P58">
        <f>Tracker[[#This Row],[
Biz Type]]</f>
        <v>0</v>
      </c>
      <c r="Q58" t="str">
        <f t="shared" si="1"/>
        <v>Indumathi M (</v>
      </c>
    </row>
    <row r="59" spans="1:17">
      <c r="A59" t="str">
        <f>Tracker[[#This Row],[DCR Owner]]</f>
        <v>Indumathi M (wf309) / Srinadh</v>
      </c>
      <c r="B59" t="str">
        <f t="shared" si="0"/>
        <v>Indumathi M (wf309) /</v>
      </c>
      <c r="C59">
        <f>Tracker[[#This Row],[DCR ID - PTC]]</f>
        <v>17773433</v>
      </c>
      <c r="D59" t="s">
        <v>1886</v>
      </c>
      <c r="E59">
        <f>Tracker[[#This Row],[Estimated Hrs]]</f>
        <v>30</v>
      </c>
      <c r="F59">
        <f>Tracker[[#This Row],[Actual Efforts (Hrs)]]</f>
        <v>19.75</v>
      </c>
      <c r="G59">
        <f>Tracker[[#This Row],[Remaining Hrs]]</f>
        <v>10.25</v>
      </c>
      <c r="H59" t="str">
        <f>Tracker[[#This Row],[Summary]]</f>
        <v>Since last active regen interval resets outside of a regen due to AftOperModeMgr.ppAftOpModeMgrCtrlCmd.deStruct.RegenRqstID not reseting after a regen</v>
      </c>
      <c r="I59" t="str">
        <f>Tracker[[#This Row],[DCRType]]</f>
        <v>Defect</v>
      </c>
      <c r="J59" t="str">
        <f>Tracker[[#This Row],[PRCRState]]</f>
        <v>Task</v>
      </c>
      <c r="K59">
        <f>Tracker[[#This Row],[Planned Start Date
&lt;dd-mm-yyyy&gt;]]</f>
        <v>0</v>
      </c>
      <c r="L59">
        <f>Tracker[[#This Row],[Planned Completion Date
&lt;dd-mm-yyyy&gt;]]</f>
        <v>0</v>
      </c>
      <c r="M59">
        <f>Tracker[[#This Row],[Actual Start Date
&lt;dd-mm-yyyy&gt;]]</f>
        <v>0</v>
      </c>
      <c r="N59">
        <f>Tracker[[#This Row],[Actual Cmpln Date
&lt;dd-mm-yyyy&gt;]]</f>
        <v>0</v>
      </c>
      <c r="O59" t="str">
        <f>Tracker[[#This Row],[At Risk]]</f>
        <v>On Track</v>
      </c>
      <c r="P59">
        <f>Tracker[[#This Row],[
Biz Type]]</f>
        <v>0</v>
      </c>
      <c r="Q59" t="str">
        <f t="shared" si="1"/>
        <v>Indumathi M (</v>
      </c>
    </row>
    <row r="60" spans="1:17">
      <c r="A60" t="str">
        <f>Tracker[[#This Row],[DCR Owner]]</f>
        <v>iram nazneen (wa667)</v>
      </c>
      <c r="B60" t="str">
        <f t="shared" si="0"/>
        <v>iram nazneen</v>
      </c>
      <c r="C60">
        <f>Tracker[[#This Row],[DCR ID - PTC]]</f>
        <v>15022706</v>
      </c>
      <c r="D60" t="s">
        <v>1886</v>
      </c>
      <c r="E60">
        <f>Tracker[[#This Row],[Estimated Hrs]]</f>
        <v>0</v>
      </c>
      <c r="F60">
        <f>Tracker[[#This Row],[Actual Efforts (Hrs)]]</f>
        <v>2.5</v>
      </c>
      <c r="G60">
        <f>Tracker[[#This Row],[Remaining Hrs]]</f>
        <v>0</v>
      </c>
      <c r="H60" t="str">
        <f>Tracker[[#This Row],[Summary]]</f>
        <v>DDP work - HC Doser Diags</v>
      </c>
      <c r="I60" t="str">
        <f>Tracker[[#This Row],[DCRType]]</f>
        <v>Change Request</v>
      </c>
      <c r="J60" t="str">
        <f>Tracker[[#This Row],[PRCRState]]</f>
        <v>Task_NA</v>
      </c>
      <c r="K60">
        <f>Tracker[[#This Row],[Planned Start Date
&lt;dd-mm-yyyy&gt;]]</f>
        <v>0</v>
      </c>
      <c r="L60">
        <f>Tracker[[#This Row],[Planned Completion Date
&lt;dd-mm-yyyy&gt;]]</f>
        <v>0</v>
      </c>
      <c r="M60">
        <f>Tracker[[#This Row],[Actual Start Date
&lt;dd-mm-yyyy&gt;]]</f>
        <v>0</v>
      </c>
      <c r="N60">
        <f>Tracker[[#This Row],[Actual Cmpln Date
&lt;dd-mm-yyyy&gt;]]</f>
        <v>0</v>
      </c>
      <c r="O60">
        <f>Tracker[[#This Row],[At Risk]]</f>
        <v>0</v>
      </c>
      <c r="P60">
        <f>Tracker[[#This Row],[
Biz Type]]</f>
        <v>0</v>
      </c>
      <c r="Q60" t="str">
        <f t="shared" si="1"/>
        <v>iram</v>
      </c>
    </row>
    <row r="61" spans="1:17">
      <c r="A61" t="str">
        <f>Tracker[[#This Row],[DCR Owner]]</f>
        <v>iram nazneen (wa667)</v>
      </c>
      <c r="B61" t="str">
        <f t="shared" si="0"/>
        <v>iram nazneen</v>
      </c>
      <c r="C61">
        <f>Tracker[[#This Row],[DCR ID - PTC]]</f>
        <v>15194389</v>
      </c>
      <c r="D61" t="s">
        <v>1886</v>
      </c>
      <c r="E61">
        <f>Tracker[[#This Row],[Estimated Hrs]]</f>
        <v>0</v>
      </c>
      <c r="F61">
        <f>Tracker[[#This Row],[Actual Efforts (Hrs)]]</f>
        <v>0</v>
      </c>
      <c r="G61">
        <f>Tracker[[#This Row],[Remaining Hrs]]</f>
        <v>0</v>
      </c>
      <c r="H61" t="str">
        <f>Tracker[[#This Row],[Summary]]</f>
        <v>dmHCDosDFSOVSwapErr: Complete CSAR OBD MS4-5 review</v>
      </c>
      <c r="I61" t="str">
        <f>Tracker[[#This Row],[DCRType]]</f>
        <v>Task</v>
      </c>
      <c r="J61">
        <f>Tracker[[#This Row],[PRCRState]]</f>
        <v>0</v>
      </c>
      <c r="K61">
        <f>Tracker[[#This Row],[Planned Start Date
&lt;dd-mm-yyyy&gt;]]</f>
        <v>0</v>
      </c>
      <c r="L61">
        <f>Tracker[[#This Row],[Planned Completion Date
&lt;dd-mm-yyyy&gt;]]</f>
        <v>0</v>
      </c>
      <c r="M61">
        <f>Tracker[[#This Row],[Actual Start Date
&lt;dd-mm-yyyy&gt;]]</f>
        <v>0</v>
      </c>
      <c r="N61">
        <f>Tracker[[#This Row],[Actual Cmpln Date
&lt;dd-mm-yyyy&gt;]]</f>
        <v>0</v>
      </c>
      <c r="O61">
        <f>Tracker[[#This Row],[At Risk]]</f>
        <v>0</v>
      </c>
      <c r="P61">
        <f>Tracker[[#This Row],[
Biz Type]]</f>
        <v>0</v>
      </c>
      <c r="Q61" t="str">
        <f t="shared" si="1"/>
        <v>iram</v>
      </c>
    </row>
    <row r="62" spans="1:17">
      <c r="A62" t="str">
        <f>Tracker[[#This Row],[DCR Owner]]</f>
        <v>iram nazneen (wa667)</v>
      </c>
      <c r="B62" t="str">
        <f t="shared" si="0"/>
        <v>iram nazneen</v>
      </c>
      <c r="C62">
        <f>Tracker[[#This Row],[DCR ID - PTC]]</f>
        <v>15194491</v>
      </c>
      <c r="D62" t="s">
        <v>1886</v>
      </c>
      <c r="E62">
        <f>Tracker[[#This Row],[Estimated Hrs]]</f>
        <v>0</v>
      </c>
      <c r="F62">
        <f>Tracker[[#This Row],[Actual Efforts (Hrs)]]</f>
        <v>0</v>
      </c>
      <c r="G62">
        <f>Tracker[[#This Row],[Remaining Hrs]]</f>
        <v>0</v>
      </c>
      <c r="H62" t="str">
        <f>Tracker[[#This Row],[Summary]]</f>
        <v>dmHCDosFuelRstrcErr: Complete CSAR OBD MS4-5 review</v>
      </c>
      <c r="I62" t="str">
        <f>Tracker[[#This Row],[DCRType]]</f>
        <v>Task</v>
      </c>
      <c r="J62">
        <f>Tracker[[#This Row],[PRCRState]]</f>
        <v>0</v>
      </c>
      <c r="K62">
        <f>Tracker[[#This Row],[Planned Start Date
&lt;dd-mm-yyyy&gt;]]</f>
        <v>0</v>
      </c>
      <c r="L62">
        <f>Tracker[[#This Row],[Planned Completion Date
&lt;dd-mm-yyyy&gt;]]</f>
        <v>0</v>
      </c>
      <c r="M62">
        <f>Tracker[[#This Row],[Actual Start Date
&lt;dd-mm-yyyy&gt;]]</f>
        <v>0</v>
      </c>
      <c r="N62">
        <f>Tracker[[#This Row],[Actual Cmpln Date
&lt;dd-mm-yyyy&gt;]]</f>
        <v>0</v>
      </c>
      <c r="O62">
        <f>Tracker[[#This Row],[At Risk]]</f>
        <v>0</v>
      </c>
      <c r="P62">
        <f>Tracker[[#This Row],[
Biz Type]]</f>
        <v>0</v>
      </c>
      <c r="Q62" t="str">
        <f t="shared" si="1"/>
        <v>iram</v>
      </c>
    </row>
    <row r="63" spans="1:17">
      <c r="A63" t="str">
        <f>Tracker[[#This Row],[DCR Owner]]</f>
        <v>iram nazneen (wa667)</v>
      </c>
      <c r="B63" t="str">
        <f t="shared" si="0"/>
        <v>iram nazneen</v>
      </c>
      <c r="C63">
        <f>Tracker[[#This Row],[DCR ID - PTC]]</f>
        <v>15194636</v>
      </c>
      <c r="D63" t="s">
        <v>1886</v>
      </c>
      <c r="E63">
        <f>Tracker[[#This Row],[Estimated Hrs]]</f>
        <v>0</v>
      </c>
      <c r="F63">
        <f>Tracker[[#This Row],[Actual Efforts (Hrs)]]</f>
        <v>0</v>
      </c>
      <c r="G63">
        <f>Tracker[[#This Row],[Remaining Hrs]]</f>
        <v>0</v>
      </c>
      <c r="H63" t="str">
        <f>Tracker[[#This Row],[Summary]]</f>
        <v>dmHydroCarbnDosCompnUsedUpErr: Complete CSAR OBD MS4-5 review</v>
      </c>
      <c r="I63" t="str">
        <f>Tracker[[#This Row],[DCRType]]</f>
        <v>Task</v>
      </c>
      <c r="J63">
        <f>Tracker[[#This Row],[PRCRState]]</f>
        <v>0</v>
      </c>
      <c r="K63">
        <f>Tracker[[#This Row],[Planned Start Date
&lt;dd-mm-yyyy&gt;]]</f>
        <v>0</v>
      </c>
      <c r="L63">
        <f>Tracker[[#This Row],[Planned Completion Date
&lt;dd-mm-yyyy&gt;]]</f>
        <v>0</v>
      </c>
      <c r="M63">
        <f>Tracker[[#This Row],[Actual Start Date
&lt;dd-mm-yyyy&gt;]]</f>
        <v>0</v>
      </c>
      <c r="N63">
        <f>Tracker[[#This Row],[Actual Cmpln Date
&lt;dd-mm-yyyy&gt;]]</f>
        <v>0</v>
      </c>
      <c r="O63">
        <f>Tracker[[#This Row],[At Risk]]</f>
        <v>0</v>
      </c>
      <c r="P63">
        <f>Tracker[[#This Row],[
Biz Type]]</f>
        <v>0</v>
      </c>
      <c r="Q63" t="str">
        <f t="shared" si="1"/>
        <v>iram</v>
      </c>
    </row>
    <row r="64" spans="1:17">
      <c r="A64" t="str">
        <f>Tracker[[#This Row],[DCR Owner]]</f>
        <v>iram nazneen (wa667)</v>
      </c>
      <c r="B64" t="str">
        <f t="shared" si="0"/>
        <v>iram nazneen</v>
      </c>
      <c r="C64">
        <f>Tracker[[#This Row],[DCR ID - PTC]]</f>
        <v>15194642</v>
      </c>
      <c r="D64" t="s">
        <v>1886</v>
      </c>
      <c r="E64">
        <f>Tracker[[#This Row],[Estimated Hrs]]</f>
        <v>0</v>
      </c>
      <c r="F64">
        <f>Tracker[[#This Row],[Actual Efforts (Hrs)]]</f>
        <v>0</v>
      </c>
      <c r="G64">
        <f>Tracker[[#This Row],[Remaining Hrs]]</f>
        <v>0</v>
      </c>
      <c r="H64" t="str">
        <f>Tracker[[#This Row],[Summary]]</f>
        <v>dmHCDosFSOVOrifPlgErr: Complete CSAR OBD MS4-5 review</v>
      </c>
      <c r="I64" t="str">
        <f>Tracker[[#This Row],[DCRType]]</f>
        <v>Task</v>
      </c>
      <c r="J64">
        <f>Tracker[[#This Row],[PRCRState]]</f>
        <v>0</v>
      </c>
      <c r="K64">
        <f>Tracker[[#This Row],[Planned Start Date
&lt;dd-mm-yyyy&gt;]]</f>
        <v>0</v>
      </c>
      <c r="L64">
        <f>Tracker[[#This Row],[Planned Completion Date
&lt;dd-mm-yyyy&gt;]]</f>
        <v>0</v>
      </c>
      <c r="M64">
        <f>Tracker[[#This Row],[Actual Start Date
&lt;dd-mm-yyyy&gt;]]</f>
        <v>0</v>
      </c>
      <c r="N64">
        <f>Tracker[[#This Row],[Actual Cmpln Date
&lt;dd-mm-yyyy&gt;]]</f>
        <v>0</v>
      </c>
      <c r="O64">
        <f>Tracker[[#This Row],[At Risk]]</f>
        <v>0</v>
      </c>
      <c r="P64">
        <f>Tracker[[#This Row],[
Biz Type]]</f>
        <v>0</v>
      </c>
      <c r="Q64" t="str">
        <f t="shared" si="1"/>
        <v>iram</v>
      </c>
    </row>
    <row r="65" spans="1:17">
      <c r="A65" t="str">
        <f>Tracker[[#This Row],[DCR Owner]]</f>
        <v>iram nazneen (wa667)</v>
      </c>
      <c r="B65" t="str">
        <f t="shared" si="0"/>
        <v>iram nazneen</v>
      </c>
      <c r="C65">
        <f>Tracker[[#This Row],[DCR ID - PTC]]</f>
        <v>19450352</v>
      </c>
      <c r="D65" t="s">
        <v>1886</v>
      </c>
      <c r="E65">
        <f>Tracker[[#This Row],[Estimated Hrs]]</f>
        <v>0</v>
      </c>
      <c r="F65">
        <f>Tracker[[#This Row],[Actual Efforts (Hrs)]]</f>
        <v>9.5</v>
      </c>
      <c r="G65">
        <f>Tracker[[#This Row],[Remaining Hrs]]</f>
        <v>0</v>
      </c>
      <c r="H65" t="str">
        <f>Tracker[[#This Row],[Summary]]</f>
        <v>PFS DeltaP OutP Autozero Feature Counter Defect</v>
      </c>
      <c r="I65" t="str">
        <f>Tracker[[#This Row],[DCRType]]</f>
        <v>Defect</v>
      </c>
      <c r="J65" t="str">
        <f>Tracker[[#This Row],[PRCRState]]</f>
        <v>Evaluate_NA</v>
      </c>
      <c r="K65">
        <f>Tracker[[#This Row],[Planned Start Date
&lt;dd-mm-yyyy&gt;]]</f>
        <v>0</v>
      </c>
      <c r="L65">
        <f>Tracker[[#This Row],[Planned Completion Date
&lt;dd-mm-yyyy&gt;]]</f>
        <v>0</v>
      </c>
      <c r="M65">
        <f>Tracker[[#This Row],[Actual Start Date
&lt;dd-mm-yyyy&gt;]]</f>
        <v>0</v>
      </c>
      <c r="N65">
        <f>Tracker[[#This Row],[Actual Cmpln Date
&lt;dd-mm-yyyy&gt;]]</f>
        <v>0</v>
      </c>
      <c r="O65" t="str">
        <f>Tracker[[#This Row],[At Risk]]</f>
        <v>Rejected</v>
      </c>
      <c r="P65">
        <f>Tracker[[#This Row],[
Biz Type]]</f>
        <v>0</v>
      </c>
      <c r="Q65" t="str">
        <f t="shared" si="1"/>
        <v>iram</v>
      </c>
    </row>
    <row r="66" spans="1:17">
      <c r="A66" t="str">
        <f>Tracker[[#This Row],[DCR Owner]]</f>
        <v>iram nazneen (wa667)</v>
      </c>
      <c r="B66" t="str">
        <f t="shared" si="0"/>
        <v>iram nazneen</v>
      </c>
      <c r="C66">
        <f>Tracker[[#This Row],[DCR ID - PTC]]</f>
        <v>17817270</v>
      </c>
      <c r="D66" t="s">
        <v>1886</v>
      </c>
      <c r="E66">
        <f>Tracker[[#This Row],[Estimated Hrs]]</f>
        <v>0</v>
      </c>
      <c r="F66">
        <f>Tracker[[#This Row],[Actual Efforts (Hrs)]]</f>
        <v>0</v>
      </c>
      <c r="G66">
        <f>Tracker[[#This Row],[Remaining Hrs]]</f>
        <v>0</v>
      </c>
      <c r="H66" t="str">
        <f>Tracker[[#This Row],[Summary]]</f>
        <v>CertDoc update for HC Doser Fuel restrict diagnostic</v>
      </c>
      <c r="I66" t="str">
        <f>Tracker[[#This Row],[DCRType]]</f>
        <v>Change Request</v>
      </c>
      <c r="J66" t="str">
        <f>Tracker[[#This Row],[PRCRState]]</f>
        <v>Implement_NA</v>
      </c>
      <c r="K66">
        <f>Tracker[[#This Row],[Planned Start Date
&lt;dd-mm-yyyy&gt;]]</f>
        <v>0</v>
      </c>
      <c r="L66">
        <f>Tracker[[#This Row],[Planned Completion Date
&lt;dd-mm-yyyy&gt;]]</f>
        <v>0</v>
      </c>
      <c r="M66">
        <f>Tracker[[#This Row],[Actual Start Date
&lt;dd-mm-yyyy&gt;]]</f>
        <v>0</v>
      </c>
      <c r="N66">
        <f>Tracker[[#This Row],[Actual Cmpln Date
&lt;dd-mm-yyyy&gt;]]</f>
        <v>0</v>
      </c>
      <c r="O66">
        <f>Tracker[[#This Row],[At Risk]]</f>
        <v>0</v>
      </c>
      <c r="P66">
        <f>Tracker[[#This Row],[
Biz Type]]</f>
        <v>0</v>
      </c>
      <c r="Q66" t="str">
        <f t="shared" si="1"/>
        <v>iram</v>
      </c>
    </row>
    <row r="67" spans="1:17">
      <c r="A67" t="str">
        <f>Tracker[[#This Row],[DCR Owner]]</f>
        <v>jayant patil (wl795)</v>
      </c>
      <c r="B67" t="str">
        <f t="shared" ref="B67:B130" si="2">MID(A67,1,LEN(A67)-8)</f>
        <v>jayant patil</v>
      </c>
      <c r="C67">
        <f>Tracker[[#This Row],[DCR ID - PTC]]</f>
        <v>17151985</v>
      </c>
      <c r="D67" t="s">
        <v>1886</v>
      </c>
      <c r="E67">
        <f>Tracker[[#This Row],[Estimated Hrs]]</f>
        <v>120</v>
      </c>
      <c r="F67">
        <f>Tracker[[#This Row],[Actual Efforts (Hrs)]]</f>
        <v>90</v>
      </c>
      <c r="G67">
        <f>Tracker[[#This Row],[Remaining Hrs]]</f>
        <v>30</v>
      </c>
      <c r="H67" t="str">
        <f>Tracker[[#This Row],[Summary]]</f>
        <v>DDP work for MS5 is for the dmDOCSbtrMissErr in the AftDiesOxidCatPresDiag component.</v>
      </c>
      <c r="I67" t="str">
        <f>Tracker[[#This Row],[DCRType]]</f>
        <v>Task</v>
      </c>
      <c r="J67" t="str">
        <f>Tracker[[#This Row],[PRCRState]]</f>
        <v>Task</v>
      </c>
      <c r="K67">
        <f>Tracker[[#This Row],[Planned Start Date
&lt;dd-mm-yyyy&gt;]]</f>
        <v>0</v>
      </c>
      <c r="L67">
        <f>Tracker[[#This Row],[Planned Completion Date
&lt;dd-mm-yyyy&gt;]]</f>
        <v>0</v>
      </c>
      <c r="M67">
        <f>Tracker[[#This Row],[Actual Start Date
&lt;dd-mm-yyyy&gt;]]</f>
        <v>0</v>
      </c>
      <c r="N67">
        <f>Tracker[[#This Row],[Actual Cmpln Date
&lt;dd-mm-yyyy&gt;]]</f>
        <v>0</v>
      </c>
      <c r="O67" t="str">
        <f>Tracker[[#This Row],[At Risk]]</f>
        <v>On Track</v>
      </c>
      <c r="P67">
        <f>Tracker[[#This Row],[
Biz Type]]</f>
        <v>0</v>
      </c>
      <c r="Q67" t="str">
        <f t="shared" ref="Q67:Q130" si="3">MID(B67,1,LEN(B67)-8)</f>
        <v>jaya</v>
      </c>
    </row>
    <row r="68" spans="1:17">
      <c r="A68" t="str">
        <f>Tracker[[#This Row],[DCR Owner]]</f>
        <v>jayant patil (wl795)</v>
      </c>
      <c r="B68" t="str">
        <f t="shared" si="2"/>
        <v>jayant patil</v>
      </c>
      <c r="C68">
        <f>Tracker[[#This Row],[DCR ID - PTC]]</f>
        <v>18880503</v>
      </c>
      <c r="D68" t="s">
        <v>1886</v>
      </c>
      <c r="E68">
        <f>Tracker[[#This Row],[Estimated Hrs]]</f>
        <v>120</v>
      </c>
      <c r="F68">
        <f>Tracker[[#This Row],[Actual Efforts (Hrs)]]</f>
        <v>108.5</v>
      </c>
      <c r="G68">
        <f>Tracker[[#This Row],[Remaining Hrs]]</f>
        <v>11.5</v>
      </c>
      <c r="H68" t="str">
        <f>Tracker[[#This Row],[Summary]]</f>
        <v xml:space="preserve">Dual Heater service test should have highest priority over SCR thermal management mode </v>
      </c>
      <c r="I68" t="str">
        <f>Tracker[[#This Row],[DCRType]]</f>
        <v>Change Request</v>
      </c>
      <c r="J68" t="str">
        <f>Tracker[[#This Row],[PRCRState]]</f>
        <v>Implement</v>
      </c>
      <c r="K68">
        <f>Tracker[[#This Row],[Planned Start Date
&lt;dd-mm-yyyy&gt;]]</f>
        <v>0</v>
      </c>
      <c r="L68">
        <f>Tracker[[#This Row],[Planned Completion Date
&lt;dd-mm-yyyy&gt;]]</f>
        <v>46164</v>
      </c>
      <c r="M68">
        <f>Tracker[[#This Row],[Actual Start Date
&lt;dd-mm-yyyy&gt;]]</f>
        <v>0</v>
      </c>
      <c r="N68">
        <f>Tracker[[#This Row],[Actual Cmpln Date
&lt;dd-mm-yyyy&gt;]]</f>
        <v>46167</v>
      </c>
      <c r="O68" t="str">
        <f>Tracker[[#This Row],[At Risk]]</f>
        <v>Closed</v>
      </c>
      <c r="P68" t="str">
        <f>Tracker[[#This Row],[
Biz Type]]</f>
        <v>PFS</v>
      </c>
      <c r="Q68" t="str">
        <f t="shared" si="3"/>
        <v>jaya</v>
      </c>
    </row>
    <row r="69" spans="1:17">
      <c r="A69" t="str">
        <f>Tracker[[#This Row],[DCR Owner]]</f>
        <v>jayant patil (wl795)</v>
      </c>
      <c r="B69" t="str">
        <f t="shared" si="2"/>
        <v>jayant patil</v>
      </c>
      <c r="C69">
        <f>Tracker[[#This Row],[DCR ID - PTC]]</f>
        <v>18216449</v>
      </c>
      <c r="D69" t="s">
        <v>1886</v>
      </c>
      <c r="E69">
        <f>Tracker[[#This Row],[Estimated Hrs]]</f>
        <v>0</v>
      </c>
      <c r="F69">
        <f>Tracker[[#This Row],[Actual Efforts (Hrs)]]</f>
        <v>0</v>
      </c>
      <c r="G69">
        <f>Tracker[[#This Row],[Remaining Hrs]]</f>
        <v>0</v>
      </c>
      <c r="H69" t="str">
        <f>Tracker[[#This Row],[Summary]]</f>
        <v>Reset the Diagnostic counter when OECS &amp; CSERS diagnostics take PASS/FAIL decision for AftElecHtr2Diag</v>
      </c>
      <c r="I69" t="str">
        <f>Tracker[[#This Row],[DCRType]]</f>
        <v>Change Request</v>
      </c>
      <c r="J69" t="str">
        <f>Tracker[[#This Row],[PRCRState]]</f>
        <v>Task</v>
      </c>
      <c r="K69">
        <f>Tracker[[#This Row],[Planned Start Date
&lt;dd-mm-yyyy&gt;]]</f>
        <v>0</v>
      </c>
      <c r="L69">
        <f>Tracker[[#This Row],[Planned Completion Date
&lt;dd-mm-yyyy&gt;]]</f>
        <v>0</v>
      </c>
      <c r="M69">
        <f>Tracker[[#This Row],[Actual Start Date
&lt;dd-mm-yyyy&gt;]]</f>
        <v>0</v>
      </c>
      <c r="N69">
        <f>Tracker[[#This Row],[Actual Cmpln Date
&lt;dd-mm-yyyy&gt;]]</f>
        <v>0</v>
      </c>
      <c r="O69" t="str">
        <f>Tracker[[#This Row],[At Risk]]</f>
        <v>Yet to start</v>
      </c>
      <c r="P69">
        <f>Tracker[[#This Row],[
Biz Type]]</f>
        <v>0</v>
      </c>
      <c r="Q69" t="str">
        <f t="shared" si="3"/>
        <v>jaya</v>
      </c>
    </row>
    <row r="70" spans="1:17">
      <c r="A70" t="str">
        <f>Tracker[[#This Row],[DCR Owner]]</f>
        <v>Nileema Pailwan (mt618)</v>
      </c>
      <c r="B70" t="str">
        <f t="shared" si="2"/>
        <v>Nileema Pailwan</v>
      </c>
      <c r="C70">
        <f>Tracker[[#This Row],[DCR ID - PTC]]</f>
        <v>8085369</v>
      </c>
      <c r="D70" t="s">
        <v>1886</v>
      </c>
      <c r="E70">
        <f>Tracker[[#This Row],[Estimated Hrs]]</f>
        <v>0</v>
      </c>
      <c r="F70">
        <f>Tracker[[#This Row],[Actual Efforts (Hrs)]]</f>
        <v>0</v>
      </c>
      <c r="G70">
        <f>Tracker[[#This Row],[Remaining Hrs]]</f>
        <v>0</v>
      </c>
      <c r="H70" t="str">
        <f>Tracker[[#This Row],[Summary]]</f>
        <v>Update energy controller appguide as per CES format and missing requirements.</v>
      </c>
      <c r="I70" t="str">
        <f>Tracker[[#This Row],[DCRType]]</f>
        <v>Change Request</v>
      </c>
      <c r="J70">
        <f>Tracker[[#This Row],[PRCRState]]</f>
        <v>0</v>
      </c>
      <c r="K70">
        <f>Tracker[[#This Row],[Planned Start Date
&lt;dd-mm-yyyy&gt;]]</f>
        <v>0</v>
      </c>
      <c r="L70">
        <f>Tracker[[#This Row],[Planned Completion Date
&lt;dd-mm-yyyy&gt;]]</f>
        <v>0</v>
      </c>
      <c r="M70">
        <f>Tracker[[#This Row],[Actual Start Date
&lt;dd-mm-yyyy&gt;]]</f>
        <v>0</v>
      </c>
      <c r="N70">
        <f>Tracker[[#This Row],[Actual Cmpln Date
&lt;dd-mm-yyyy&gt;]]</f>
        <v>0</v>
      </c>
      <c r="O70">
        <f>Tracker[[#This Row],[At Risk]]</f>
        <v>0</v>
      </c>
      <c r="P70">
        <f>Tracker[[#This Row],[
Biz Type]]</f>
        <v>0</v>
      </c>
      <c r="Q70" t="str">
        <f t="shared" si="3"/>
        <v>Nileema</v>
      </c>
    </row>
    <row r="71" spans="1:17">
      <c r="A71" t="str">
        <f>Tracker[[#This Row],[DCR Owner]]</f>
        <v>Nileema Pailwan (mt618)</v>
      </c>
      <c r="B71" t="str">
        <f t="shared" si="2"/>
        <v>Nileema Pailwan</v>
      </c>
      <c r="C71">
        <f>Tracker[[#This Row],[DCR ID - PTC]]</f>
        <v>11978560</v>
      </c>
      <c r="D71" t="s">
        <v>1886</v>
      </c>
      <c r="E71">
        <f>Tracker[[#This Row],[Estimated Hrs]]</f>
        <v>0</v>
      </c>
      <c r="F71">
        <f>Tracker[[#This Row],[Actual Efforts (Hrs)]]</f>
        <v>0</v>
      </c>
      <c r="G71">
        <f>Tracker[[#This Row],[Remaining Hrs]]</f>
        <v>0</v>
      </c>
      <c r="H71" t="str">
        <f>Tracker[[#This Row],[Summary]]</f>
        <v>Appguide creation for "AftSCRAInTmptrProc" component</v>
      </c>
      <c r="I71" t="str">
        <f>Tracker[[#This Row],[DCRType]]</f>
        <v>Change Request</v>
      </c>
      <c r="J71">
        <f>Tracker[[#This Row],[PRCRState]]</f>
        <v>0</v>
      </c>
      <c r="K71">
        <f>Tracker[[#This Row],[Planned Start Date
&lt;dd-mm-yyyy&gt;]]</f>
        <v>0</v>
      </c>
      <c r="L71">
        <f>Tracker[[#This Row],[Planned Completion Date
&lt;dd-mm-yyyy&gt;]]</f>
        <v>0</v>
      </c>
      <c r="M71">
        <f>Tracker[[#This Row],[Actual Start Date
&lt;dd-mm-yyyy&gt;]]</f>
        <v>0</v>
      </c>
      <c r="N71">
        <f>Tracker[[#This Row],[Actual Cmpln Date
&lt;dd-mm-yyyy&gt;]]</f>
        <v>0</v>
      </c>
      <c r="O71">
        <f>Tracker[[#This Row],[At Risk]]</f>
        <v>0</v>
      </c>
      <c r="P71">
        <f>Tracker[[#This Row],[
Biz Type]]</f>
        <v>0</v>
      </c>
      <c r="Q71" t="str">
        <f t="shared" si="3"/>
        <v>Nileema</v>
      </c>
    </row>
    <row r="72" spans="1:17" hidden="1">
      <c r="A72" t="str">
        <f>Tracker[[#This Row],[DCR Owner]]</f>
        <v>Nileema Pailwan (mt618)</v>
      </c>
      <c r="B72" t="str">
        <f t="shared" si="2"/>
        <v>Nileema Pailwan</v>
      </c>
      <c r="C72">
        <f>Tracker[[#This Row],[DCR ID - PTC]]</f>
        <v>11978892</v>
      </c>
      <c r="D72" t="s">
        <v>1886</v>
      </c>
      <c r="E72">
        <f>Tracker[[#This Row],[Estimated Hrs]]</f>
        <v>0</v>
      </c>
      <c r="F72">
        <f>Tracker[[#This Row],[Actual Efforts (Hrs)]]</f>
        <v>0</v>
      </c>
      <c r="G72">
        <f>Tracker[[#This Row],[Remaining Hrs]]</f>
        <v>0</v>
      </c>
      <c r="H72" t="str">
        <f>Tracker[[#This Row],[Summary]]</f>
        <v>Sync Up Migration to add "V_ATD_bs_MidNOx_Errs" and "V_MidNOx_ppm_PreClamp_NOx_Filt" in "AftMidNOxSen" component as global output</v>
      </c>
      <c r="I72" t="str">
        <f>Tracker[[#This Row],[DCRType]]</f>
        <v>Change Request</v>
      </c>
      <c r="J72">
        <f>Tracker[[#This Row],[PRCRState]]</f>
        <v>0</v>
      </c>
      <c r="K72">
        <f>Tracker[[#This Row],[Planned Start Date
&lt;dd-mm-yyyy&gt;]]</f>
        <v>0</v>
      </c>
      <c r="L72">
        <f>Tracker[[#This Row],[Planned Completion Date
&lt;dd-mm-yyyy&gt;]]</f>
        <v>0</v>
      </c>
      <c r="M72">
        <f>Tracker[[#This Row],[Actual Start Date
&lt;dd-mm-yyyy&gt;]]</f>
        <v>0</v>
      </c>
      <c r="N72">
        <f>Tracker[[#This Row],[Actual Cmpln Date
&lt;dd-mm-yyyy&gt;]]</f>
        <v>0</v>
      </c>
      <c r="O72">
        <f>Tracker[[#This Row],[At Risk]]</f>
        <v>0</v>
      </c>
      <c r="P72">
        <f>Tracker[[#This Row],[
Biz Type]]</f>
        <v>0</v>
      </c>
      <c r="Q72" t="str">
        <f t="shared" si="3"/>
        <v>Nileema</v>
      </c>
    </row>
    <row r="73" spans="1:17">
      <c r="A73" t="str">
        <f>Tracker[[#This Row],[DCR Owner]]</f>
        <v>Nileema Pailwan (mt618)</v>
      </c>
      <c r="B73" t="str">
        <f t="shared" si="2"/>
        <v>Nileema Pailwan</v>
      </c>
      <c r="C73">
        <f>Tracker[[#This Row],[DCR ID - PTC]]</f>
        <v>12383995</v>
      </c>
      <c r="D73" t="s">
        <v>1886</v>
      </c>
      <c r="E73">
        <f>Tracker[[#This Row],[Estimated Hrs]]</f>
        <v>0</v>
      </c>
      <c r="F73">
        <f>Tracker[[#This Row],[Actual Efforts (Hrs)]]</f>
        <v>0</v>
      </c>
      <c r="G73">
        <f>Tracker[[#This Row],[Remaining Hrs]]</f>
        <v>0</v>
      </c>
      <c r="H73" t="str">
        <f>Tracker[[#This Row],[Summary]]</f>
        <v>Interface sheet creation for AftSCRAClsLoopDiag and AftSCRATmptrTampDiag</v>
      </c>
      <c r="I73" t="str">
        <f>Tracker[[#This Row],[DCRType]]</f>
        <v>Task</v>
      </c>
      <c r="J73">
        <f>Tracker[[#This Row],[PRCRState]]</f>
        <v>0</v>
      </c>
      <c r="K73">
        <f>Tracker[[#This Row],[Planned Start Date
&lt;dd-mm-yyyy&gt;]]</f>
        <v>0</v>
      </c>
      <c r="L73">
        <f>Tracker[[#This Row],[Planned Completion Date
&lt;dd-mm-yyyy&gt;]]</f>
        <v>0</v>
      </c>
      <c r="M73">
        <f>Tracker[[#This Row],[Actual Start Date
&lt;dd-mm-yyyy&gt;]]</f>
        <v>0</v>
      </c>
      <c r="N73">
        <f>Tracker[[#This Row],[Actual Cmpln Date
&lt;dd-mm-yyyy&gt;]]</f>
        <v>0</v>
      </c>
      <c r="O73">
        <f>Tracker[[#This Row],[At Risk]]</f>
        <v>0</v>
      </c>
      <c r="P73">
        <f>Tracker[[#This Row],[
Biz Type]]</f>
        <v>0</v>
      </c>
      <c r="Q73" t="str">
        <f t="shared" si="3"/>
        <v>Nileema</v>
      </c>
    </row>
    <row r="74" spans="1:17">
      <c r="A74" t="str">
        <f>Tracker[[#This Row],[DCR Owner]]</f>
        <v>Nileema Pailwan (mt618)</v>
      </c>
      <c r="B74" t="str">
        <f t="shared" si="2"/>
        <v>Nileema Pailwan</v>
      </c>
      <c r="C74">
        <f>Tracker[[#This Row],[DCR ID - PTC]]</f>
        <v>13325900</v>
      </c>
      <c r="D74" t="s">
        <v>1886</v>
      </c>
      <c r="E74">
        <f>Tracker[[#This Row],[Estimated Hrs]]</f>
        <v>0</v>
      </c>
      <c r="F74">
        <f>Tracker[[#This Row],[Actual Efforts (Hrs)]]</f>
        <v>0</v>
      </c>
      <c r="G74">
        <f>Tracker[[#This Row],[Remaining Hrs]]</f>
        <v>0</v>
      </c>
      <c r="H74" t="str">
        <f>Tracker[[#This Row],[Summary]]</f>
        <v>ISMs needed for AftDiesOxidCatCSERSAgrsvDiag component</v>
      </c>
      <c r="I74" t="str">
        <f>Tracker[[#This Row],[DCRType]]</f>
        <v>Change Request</v>
      </c>
      <c r="J74">
        <f>Tracker[[#This Row],[PRCRState]]</f>
        <v>0</v>
      </c>
      <c r="K74">
        <f>Tracker[[#This Row],[Planned Start Date
&lt;dd-mm-yyyy&gt;]]</f>
        <v>0</v>
      </c>
      <c r="L74">
        <f>Tracker[[#This Row],[Planned Completion Date
&lt;dd-mm-yyyy&gt;]]</f>
        <v>0</v>
      </c>
      <c r="M74">
        <f>Tracker[[#This Row],[Actual Start Date
&lt;dd-mm-yyyy&gt;]]</f>
        <v>0</v>
      </c>
      <c r="N74">
        <f>Tracker[[#This Row],[Actual Cmpln Date
&lt;dd-mm-yyyy&gt;]]</f>
        <v>0</v>
      </c>
      <c r="O74">
        <f>Tracker[[#This Row],[At Risk]]</f>
        <v>0</v>
      </c>
      <c r="P74">
        <f>Tracker[[#This Row],[
Biz Type]]</f>
        <v>0</v>
      </c>
      <c r="Q74" t="str">
        <f t="shared" si="3"/>
        <v>Nileema</v>
      </c>
    </row>
    <row r="75" spans="1:17">
      <c r="A75" t="str">
        <f>Tracker[[#This Row],[DCR Owner]]</f>
        <v>Nileema Pailwan (mt618)</v>
      </c>
      <c r="B75" t="str">
        <f t="shared" si="2"/>
        <v>Nileema Pailwan</v>
      </c>
      <c r="C75">
        <f>Tracker[[#This Row],[DCR ID - PTC]]</f>
        <v>13753031</v>
      </c>
      <c r="D75" t="s">
        <v>1886</v>
      </c>
      <c r="E75">
        <f>Tracker[[#This Row],[Estimated Hrs]]</f>
        <v>0</v>
      </c>
      <c r="F75">
        <f>Tracker[[#This Row],[Actual Efforts (Hrs)]]</f>
        <v>0</v>
      </c>
      <c r="G75">
        <f>Tracker[[#This Row],[Remaining Hrs]]</f>
        <v>0</v>
      </c>
      <c r="H75" t="str">
        <f>Tracker[[#This Row],[Summary]]</f>
        <v xml:space="preserve">CSAR - Documentation Update for AftDiesPartFiltOutPrRatDiag component </v>
      </c>
      <c r="I75" t="str">
        <f>Tracker[[#This Row],[DCRType]]</f>
        <v>Change Request</v>
      </c>
      <c r="J75">
        <f>Tracker[[#This Row],[PRCRState]]</f>
        <v>0</v>
      </c>
      <c r="K75">
        <f>Tracker[[#This Row],[Planned Start Date
&lt;dd-mm-yyyy&gt;]]</f>
        <v>0</v>
      </c>
      <c r="L75">
        <f>Tracker[[#This Row],[Planned Completion Date
&lt;dd-mm-yyyy&gt;]]</f>
        <v>0</v>
      </c>
      <c r="M75">
        <f>Tracker[[#This Row],[Actual Start Date
&lt;dd-mm-yyyy&gt;]]</f>
        <v>0</v>
      </c>
      <c r="N75">
        <f>Tracker[[#This Row],[Actual Cmpln Date
&lt;dd-mm-yyyy&gt;]]</f>
        <v>0</v>
      </c>
      <c r="O75">
        <f>Tracker[[#This Row],[At Risk]]</f>
        <v>0</v>
      </c>
      <c r="P75">
        <f>Tracker[[#This Row],[
Biz Type]]</f>
        <v>0</v>
      </c>
      <c r="Q75" t="str">
        <f t="shared" si="3"/>
        <v>Nileema</v>
      </c>
    </row>
    <row r="76" spans="1:17">
      <c r="A76" t="str">
        <f>Tracker[[#This Row],[DCR Owner]]</f>
        <v>Nileema Pailwan (mt618)</v>
      </c>
      <c r="B76" t="str">
        <f t="shared" si="2"/>
        <v>Nileema Pailwan</v>
      </c>
      <c r="C76">
        <f>Tracker[[#This Row],[DCR ID - PTC]]</f>
        <v>13779219</v>
      </c>
      <c r="D76" t="s">
        <v>1886</v>
      </c>
      <c r="E76">
        <f>Tracker[[#This Row],[Estimated Hrs]]</f>
        <v>0</v>
      </c>
      <c r="F76">
        <f>Tracker[[#This Row],[Actual Efforts (Hrs)]]</f>
        <v>0</v>
      </c>
      <c r="G76">
        <f>Tracker[[#This Row],[Remaining Hrs]]</f>
        <v>0</v>
      </c>
      <c r="H76" t="str">
        <f>Tracker[[#This Row],[Summary]]</f>
        <v>Develop heater replacement logic for DOC and SCR heater</v>
      </c>
      <c r="I76" t="str">
        <f>Tracker[[#This Row],[DCRType]]</f>
        <v>Change Request</v>
      </c>
      <c r="J76">
        <f>Tracker[[#This Row],[PRCRState]]</f>
        <v>0</v>
      </c>
      <c r="K76">
        <f>Tracker[[#This Row],[Planned Start Date
&lt;dd-mm-yyyy&gt;]]</f>
        <v>0</v>
      </c>
      <c r="L76">
        <f>Tracker[[#This Row],[Planned Completion Date
&lt;dd-mm-yyyy&gt;]]</f>
        <v>0</v>
      </c>
      <c r="M76">
        <f>Tracker[[#This Row],[Actual Start Date
&lt;dd-mm-yyyy&gt;]]</f>
        <v>0</v>
      </c>
      <c r="N76">
        <f>Tracker[[#This Row],[Actual Cmpln Date
&lt;dd-mm-yyyy&gt;]]</f>
        <v>0</v>
      </c>
      <c r="O76">
        <f>Tracker[[#This Row],[At Risk]]</f>
        <v>0</v>
      </c>
      <c r="P76">
        <f>Tracker[[#This Row],[
Biz Type]]</f>
        <v>0</v>
      </c>
      <c r="Q76" t="str">
        <f t="shared" si="3"/>
        <v>Nileema</v>
      </c>
    </row>
    <row r="77" spans="1:17">
      <c r="A77" t="str">
        <f>Tracker[[#This Row],[DCR Owner]]</f>
        <v>Nileema Pailwan (mt618)</v>
      </c>
      <c r="B77" t="str">
        <f t="shared" si="2"/>
        <v>Nileema Pailwan</v>
      </c>
      <c r="C77">
        <f>Tracker[[#This Row],[DCR ID - PTC]]</f>
        <v>14114589</v>
      </c>
      <c r="D77" t="s">
        <v>1886</v>
      </c>
      <c r="E77">
        <f>Tracker[[#This Row],[Estimated Hrs]]</f>
        <v>0</v>
      </c>
      <c r="F77">
        <f>Tracker[[#This Row],[Actual Efforts (Hrs)]]</f>
        <v>0</v>
      </c>
      <c r="G77">
        <f>Tracker[[#This Row],[Remaining Hrs]]</f>
        <v>0</v>
      </c>
      <c r="H77" t="str">
        <f>Tracker[[#This Row],[Summary]]</f>
        <v>The capability data is present in R connectIsmAftDiesPartFiltOutPrRatDiagOutPHiLog but no data is coming up</v>
      </c>
      <c r="I77" t="str">
        <f>Tracker[[#This Row],[DCRType]]</f>
        <v>Change Request</v>
      </c>
      <c r="J77">
        <f>Tracker[[#This Row],[PRCRState]]</f>
        <v>0</v>
      </c>
      <c r="K77">
        <f>Tracker[[#This Row],[Planned Start Date
&lt;dd-mm-yyyy&gt;]]</f>
        <v>0</v>
      </c>
      <c r="L77">
        <f>Tracker[[#This Row],[Planned Completion Date
&lt;dd-mm-yyyy&gt;]]</f>
        <v>0</v>
      </c>
      <c r="M77">
        <f>Tracker[[#This Row],[Actual Start Date
&lt;dd-mm-yyyy&gt;]]</f>
        <v>0</v>
      </c>
      <c r="N77">
        <f>Tracker[[#This Row],[Actual Cmpln Date
&lt;dd-mm-yyyy&gt;]]</f>
        <v>0</v>
      </c>
      <c r="O77">
        <f>Tracker[[#This Row],[At Risk]]</f>
        <v>0</v>
      </c>
      <c r="P77">
        <f>Tracker[[#This Row],[
Biz Type]]</f>
        <v>0</v>
      </c>
      <c r="Q77" t="str">
        <f t="shared" si="3"/>
        <v>Nileema</v>
      </c>
    </row>
    <row r="78" spans="1:17">
      <c r="A78" t="str">
        <f>Tracker[[#This Row],[DCR Owner]]</f>
        <v>Nileema Pailwan (mt618)</v>
      </c>
      <c r="B78" t="str">
        <f t="shared" si="2"/>
        <v>Nileema Pailwan</v>
      </c>
      <c r="C78">
        <f>Tracker[[#This Row],[DCR ID - PTC]]</f>
        <v>14114621</v>
      </c>
      <c r="D78" t="s">
        <v>1886</v>
      </c>
      <c r="E78">
        <f>Tracker[[#This Row],[Estimated Hrs]]</f>
        <v>0</v>
      </c>
      <c r="F78">
        <f>Tracker[[#This Row],[Actual Efforts (Hrs)]]</f>
        <v>0</v>
      </c>
      <c r="G78">
        <f>Tracker[[#This Row],[Remaining Hrs]]</f>
        <v>0</v>
      </c>
      <c r="H78" t="str">
        <f>Tracker[[#This Row],[Summary]]</f>
        <v>The capability data is present in R connectIsmAftDiesPartFiltDltPrRatDiagHiLog  but no data is coming up</v>
      </c>
      <c r="I78" t="str">
        <f>Tracker[[#This Row],[DCRType]]</f>
        <v>Change Request</v>
      </c>
      <c r="J78">
        <f>Tracker[[#This Row],[PRCRState]]</f>
        <v>0</v>
      </c>
      <c r="K78">
        <f>Tracker[[#This Row],[Planned Start Date
&lt;dd-mm-yyyy&gt;]]</f>
        <v>0</v>
      </c>
      <c r="L78">
        <f>Tracker[[#This Row],[Planned Completion Date
&lt;dd-mm-yyyy&gt;]]</f>
        <v>0</v>
      </c>
      <c r="M78">
        <f>Tracker[[#This Row],[Actual Start Date
&lt;dd-mm-yyyy&gt;]]</f>
        <v>0</v>
      </c>
      <c r="N78">
        <f>Tracker[[#This Row],[Actual Cmpln Date
&lt;dd-mm-yyyy&gt;]]</f>
        <v>0</v>
      </c>
      <c r="O78">
        <f>Tracker[[#This Row],[At Risk]]</f>
        <v>0</v>
      </c>
      <c r="P78">
        <f>Tracker[[#This Row],[
Biz Type]]</f>
        <v>0</v>
      </c>
      <c r="Q78" t="str">
        <f t="shared" si="3"/>
        <v>Nileema</v>
      </c>
    </row>
    <row r="79" spans="1:17">
      <c r="A79" t="str">
        <f>Tracker[[#This Row],[DCR Owner]]</f>
        <v>Nileema Pailwan (mt618)</v>
      </c>
      <c r="B79" t="str">
        <f t="shared" si="2"/>
        <v>Nileema Pailwan</v>
      </c>
      <c r="C79">
        <f>Tracker[[#This Row],[DCR ID - PTC]]</f>
        <v>14744133</v>
      </c>
      <c r="D79" t="s">
        <v>1886</v>
      </c>
      <c r="E79">
        <f>Tracker[[#This Row],[Estimated Hrs]]</f>
        <v>0</v>
      </c>
      <c r="F79">
        <f>Tracker[[#This Row],[Actual Efforts (Hrs)]]</f>
        <v>0</v>
      </c>
      <c r="G79">
        <f>Tracker[[#This Row],[Remaining Hrs]]</f>
        <v>0</v>
      </c>
      <c r="H79" t="str">
        <f>Tracker[[#This Row],[Summary]]</f>
        <v>ISMs need to be implement and Update iDFMEA for High temperature Mode request in AftPartFiltSysPasvDestAsstProc component</v>
      </c>
      <c r="I79" t="str">
        <f>Tracker[[#This Row],[DCRType]]</f>
        <v>Change Request</v>
      </c>
      <c r="J79">
        <f>Tracker[[#This Row],[PRCRState]]</f>
        <v>0</v>
      </c>
      <c r="K79">
        <f>Tracker[[#This Row],[Planned Start Date
&lt;dd-mm-yyyy&gt;]]</f>
        <v>0</v>
      </c>
      <c r="L79">
        <f>Tracker[[#This Row],[Planned Completion Date
&lt;dd-mm-yyyy&gt;]]</f>
        <v>0</v>
      </c>
      <c r="M79">
        <f>Tracker[[#This Row],[Actual Start Date
&lt;dd-mm-yyyy&gt;]]</f>
        <v>0</v>
      </c>
      <c r="N79">
        <f>Tracker[[#This Row],[Actual Cmpln Date
&lt;dd-mm-yyyy&gt;]]</f>
        <v>0</v>
      </c>
      <c r="O79">
        <f>Tracker[[#This Row],[At Risk]]</f>
        <v>0</v>
      </c>
      <c r="P79">
        <f>Tracker[[#This Row],[
Biz Type]]</f>
        <v>0</v>
      </c>
      <c r="Q79" t="str">
        <f t="shared" si="3"/>
        <v>Nileema</v>
      </c>
    </row>
    <row r="80" spans="1:17">
      <c r="A80" t="str">
        <f>Tracker[[#This Row],[DCR Owner]]</f>
        <v>Nileema Pailwan (mt618)</v>
      </c>
      <c r="B80" t="str">
        <f t="shared" si="2"/>
        <v>Nileema Pailwan</v>
      </c>
      <c r="C80">
        <f>Tracker[[#This Row],[DCR ID - PTC]]</f>
        <v>14847366</v>
      </c>
      <c r="D80" t="s">
        <v>1886</v>
      </c>
      <c r="E80">
        <f>Tracker[[#This Row],[Estimated Hrs]]</f>
        <v>0</v>
      </c>
      <c r="F80">
        <f>Tracker[[#This Row],[Actual Efforts (Hrs)]]</f>
        <v>0</v>
      </c>
      <c r="G80">
        <f>Tracker[[#This Row],[Remaining Hrs]]</f>
        <v>0</v>
      </c>
      <c r="H80" t="str">
        <f>Tracker[[#This Row],[Summary]]</f>
        <v>AftDiesPartFiltDltPrRatDiag :: Update SRS and create iDFMEA Document</v>
      </c>
      <c r="I80" t="str">
        <f>Tracker[[#This Row],[DCRType]]</f>
        <v>Change Request</v>
      </c>
      <c r="J80">
        <f>Tracker[[#This Row],[PRCRState]]</f>
        <v>0</v>
      </c>
      <c r="K80">
        <f>Tracker[[#This Row],[Planned Start Date
&lt;dd-mm-yyyy&gt;]]</f>
        <v>0</v>
      </c>
      <c r="L80">
        <f>Tracker[[#This Row],[Planned Completion Date
&lt;dd-mm-yyyy&gt;]]</f>
        <v>0</v>
      </c>
      <c r="M80">
        <f>Tracker[[#This Row],[Actual Start Date
&lt;dd-mm-yyyy&gt;]]</f>
        <v>0</v>
      </c>
      <c r="N80">
        <f>Tracker[[#This Row],[Actual Cmpln Date
&lt;dd-mm-yyyy&gt;]]</f>
        <v>0</v>
      </c>
      <c r="O80">
        <f>Tracker[[#This Row],[At Risk]]</f>
        <v>0</v>
      </c>
      <c r="P80">
        <f>Tracker[[#This Row],[
Biz Type]]</f>
        <v>0</v>
      </c>
      <c r="Q80" t="str">
        <f t="shared" si="3"/>
        <v>Nileema</v>
      </c>
    </row>
    <row r="81" spans="1:17">
      <c r="A81" t="str">
        <f>Tracker[[#This Row],[DCR Owner]]</f>
        <v>Nileema Pailwan (mt618)</v>
      </c>
      <c r="B81" t="str">
        <f t="shared" si="2"/>
        <v>Nileema Pailwan</v>
      </c>
      <c r="C81">
        <f>Tracker[[#This Row],[DCR ID - PTC]]</f>
        <v>14931436</v>
      </c>
      <c r="D81" t="s">
        <v>1886</v>
      </c>
      <c r="E81">
        <f>Tracker[[#This Row],[Estimated Hrs]]</f>
        <v>0</v>
      </c>
      <c r="F81">
        <f>Tracker[[#This Row],[Actual Efforts (Hrs)]]</f>
        <v>0</v>
      </c>
      <c r="G81">
        <f>Tracker[[#This Row],[Remaining Hrs]]</f>
        <v>0</v>
      </c>
      <c r="H81" t="str">
        <f>Tracker[[#This Row],[Summary]]</f>
        <v>afthcdfmdiag: critical orange check and bug finder checks reported in polyspace</v>
      </c>
      <c r="I81" t="str">
        <f>Tracker[[#This Row],[DCRType]]</f>
        <v>Change Request</v>
      </c>
      <c r="J81">
        <f>Tracker[[#This Row],[PRCRState]]</f>
        <v>0</v>
      </c>
      <c r="K81">
        <f>Tracker[[#This Row],[Planned Start Date
&lt;dd-mm-yyyy&gt;]]</f>
        <v>0</v>
      </c>
      <c r="L81">
        <f>Tracker[[#This Row],[Planned Completion Date
&lt;dd-mm-yyyy&gt;]]</f>
        <v>0</v>
      </c>
      <c r="M81">
        <f>Tracker[[#This Row],[Actual Start Date
&lt;dd-mm-yyyy&gt;]]</f>
        <v>0</v>
      </c>
      <c r="N81">
        <f>Tracker[[#This Row],[Actual Cmpln Date
&lt;dd-mm-yyyy&gt;]]</f>
        <v>0</v>
      </c>
      <c r="O81">
        <f>Tracker[[#This Row],[At Risk]]</f>
        <v>0</v>
      </c>
      <c r="P81">
        <f>Tracker[[#This Row],[
Biz Type]]</f>
        <v>0</v>
      </c>
      <c r="Q81" t="str">
        <f t="shared" si="3"/>
        <v>Nileema</v>
      </c>
    </row>
    <row r="82" spans="1:17">
      <c r="A82" t="str">
        <f>Tracker[[#This Row],[DCR Owner]]</f>
        <v>Nileema Pailwan (mt618)</v>
      </c>
      <c r="B82" t="str">
        <f t="shared" si="2"/>
        <v>Nileema Pailwan</v>
      </c>
      <c r="C82">
        <f>Tracker[[#This Row],[DCR ID - PTC]]</f>
        <v>15123510</v>
      </c>
      <c r="D82" t="s">
        <v>1886</v>
      </c>
      <c r="E82">
        <f>Tracker[[#This Row],[Estimated Hrs]]</f>
        <v>0</v>
      </c>
      <c r="F82">
        <f>Tracker[[#This Row],[Actual Efforts (Hrs)]]</f>
        <v>0</v>
      </c>
      <c r="G82">
        <f>Tracker[[#This Row],[Remaining Hrs]]</f>
        <v>0</v>
      </c>
      <c r="H82" t="str">
        <f>Tracker[[#This Row],[Summary]]</f>
        <v>MS5 revisit for DTR implementation for  dmDiesOxidCatInTmptrIRLErr diagnostics.</v>
      </c>
      <c r="I82" t="str">
        <f>Tracker[[#This Row],[DCRType]]</f>
        <v>Task</v>
      </c>
      <c r="J82">
        <f>Tracker[[#This Row],[PRCRState]]</f>
        <v>0</v>
      </c>
      <c r="K82">
        <f>Tracker[[#This Row],[Planned Start Date
&lt;dd-mm-yyyy&gt;]]</f>
        <v>0</v>
      </c>
      <c r="L82">
        <f>Tracker[[#This Row],[Planned Completion Date
&lt;dd-mm-yyyy&gt;]]</f>
        <v>0</v>
      </c>
      <c r="M82">
        <f>Tracker[[#This Row],[Actual Start Date
&lt;dd-mm-yyyy&gt;]]</f>
        <v>0</v>
      </c>
      <c r="N82">
        <f>Tracker[[#This Row],[Actual Cmpln Date
&lt;dd-mm-yyyy&gt;]]</f>
        <v>0</v>
      </c>
      <c r="O82">
        <f>Tracker[[#This Row],[At Risk]]</f>
        <v>0</v>
      </c>
      <c r="P82">
        <f>Tracker[[#This Row],[
Biz Type]]</f>
        <v>0</v>
      </c>
      <c r="Q82" t="str">
        <f t="shared" si="3"/>
        <v>Nileema</v>
      </c>
    </row>
    <row r="83" spans="1:17">
      <c r="A83" t="str">
        <f>Tracker[[#This Row],[DCR Owner]]</f>
        <v>Nileema Pailwan (mt618)</v>
      </c>
      <c r="B83" t="str">
        <f t="shared" si="2"/>
        <v>Nileema Pailwan</v>
      </c>
      <c r="C83">
        <f>Tracker[[#This Row],[DCR ID - PTC]]</f>
        <v>15123512</v>
      </c>
      <c r="D83" t="s">
        <v>1886</v>
      </c>
      <c r="E83">
        <f>Tracker[[#This Row],[Estimated Hrs]]</f>
        <v>0</v>
      </c>
      <c r="F83">
        <f>Tracker[[#This Row],[Actual Efforts (Hrs)]]</f>
        <v>0</v>
      </c>
      <c r="G83">
        <f>Tracker[[#This Row],[Remaining Hrs]]</f>
        <v>0</v>
      </c>
      <c r="H83" t="str">
        <f>Tracker[[#This Row],[Summary]]</f>
        <v>MS5 revisit for DTR implementation for  dmDiesOxidCatInTmptrSenDltIRErr diagnostics.</v>
      </c>
      <c r="I83" t="str">
        <f>Tracker[[#This Row],[DCRType]]</f>
        <v>Task</v>
      </c>
      <c r="J83">
        <f>Tracker[[#This Row],[PRCRState]]</f>
        <v>0</v>
      </c>
      <c r="K83">
        <f>Tracker[[#This Row],[Planned Start Date
&lt;dd-mm-yyyy&gt;]]</f>
        <v>0</v>
      </c>
      <c r="L83">
        <f>Tracker[[#This Row],[Planned Completion Date
&lt;dd-mm-yyyy&gt;]]</f>
        <v>0</v>
      </c>
      <c r="M83">
        <f>Tracker[[#This Row],[Actual Start Date
&lt;dd-mm-yyyy&gt;]]</f>
        <v>0</v>
      </c>
      <c r="N83">
        <f>Tracker[[#This Row],[Actual Cmpln Date
&lt;dd-mm-yyyy&gt;]]</f>
        <v>0</v>
      </c>
      <c r="O83">
        <f>Tracker[[#This Row],[At Risk]]</f>
        <v>0</v>
      </c>
      <c r="P83">
        <f>Tracker[[#This Row],[
Biz Type]]</f>
        <v>0</v>
      </c>
      <c r="Q83" t="str">
        <f t="shared" si="3"/>
        <v>Nileema</v>
      </c>
    </row>
    <row r="84" spans="1:17">
      <c r="A84" t="str">
        <f>Tracker[[#This Row],[DCR Owner]]</f>
        <v>Nileema Pailwan (mt618)</v>
      </c>
      <c r="B84" t="str">
        <f t="shared" si="2"/>
        <v>Nileema Pailwan</v>
      </c>
      <c r="C84">
        <f>Tracker[[#This Row],[DCR ID - PTC]]</f>
        <v>15123513</v>
      </c>
      <c r="D84" t="s">
        <v>1886</v>
      </c>
      <c r="E84">
        <f>Tracker[[#This Row],[Estimated Hrs]]</f>
        <v>0</v>
      </c>
      <c r="F84">
        <f>Tracker[[#This Row],[Actual Efforts (Hrs)]]</f>
        <v>0</v>
      </c>
      <c r="G84">
        <f>Tracker[[#This Row],[Remaining Hrs]]</f>
        <v>0</v>
      </c>
      <c r="H84" t="str">
        <f>Tracker[[#This Row],[Summary]]</f>
        <v>MS5 revisit for DTR implementation for  dmDiesOxidCatOutTmptrIRLErr diagnostics.</v>
      </c>
      <c r="I84" t="str">
        <f>Tracker[[#This Row],[DCRType]]</f>
        <v>Task</v>
      </c>
      <c r="J84">
        <f>Tracker[[#This Row],[PRCRState]]</f>
        <v>0</v>
      </c>
      <c r="K84">
        <f>Tracker[[#This Row],[Planned Start Date
&lt;dd-mm-yyyy&gt;]]</f>
        <v>0</v>
      </c>
      <c r="L84">
        <f>Tracker[[#This Row],[Planned Completion Date
&lt;dd-mm-yyyy&gt;]]</f>
        <v>0</v>
      </c>
      <c r="M84">
        <f>Tracker[[#This Row],[Actual Start Date
&lt;dd-mm-yyyy&gt;]]</f>
        <v>0</v>
      </c>
      <c r="N84">
        <f>Tracker[[#This Row],[Actual Cmpln Date
&lt;dd-mm-yyyy&gt;]]</f>
        <v>0</v>
      </c>
      <c r="O84">
        <f>Tracker[[#This Row],[At Risk]]</f>
        <v>0</v>
      </c>
      <c r="P84">
        <f>Tracker[[#This Row],[
Biz Type]]</f>
        <v>0</v>
      </c>
      <c r="Q84" t="str">
        <f t="shared" si="3"/>
        <v>Nileema</v>
      </c>
    </row>
    <row r="85" spans="1:17">
      <c r="A85" t="str">
        <f>Tracker[[#This Row],[DCR Owner]]</f>
        <v>Nileema Pailwan (mt618)</v>
      </c>
      <c r="B85" t="str">
        <f t="shared" si="2"/>
        <v>Nileema Pailwan</v>
      </c>
      <c r="C85">
        <f>Tracker[[#This Row],[DCR ID - PTC]]</f>
        <v>15123514</v>
      </c>
      <c r="D85" t="s">
        <v>1886</v>
      </c>
      <c r="E85">
        <f>Tracker[[#This Row],[Estimated Hrs]]</f>
        <v>0</v>
      </c>
      <c r="F85">
        <f>Tracker[[#This Row],[Actual Efforts (Hrs)]]</f>
        <v>0</v>
      </c>
      <c r="G85">
        <f>Tracker[[#This Row],[Remaining Hrs]]</f>
        <v>0</v>
      </c>
      <c r="H85" t="str">
        <f>Tracker[[#This Row],[Summary]]</f>
        <v>MS5 revisit for DTR implementation for  dmDOCOutTmptrKeyOnIRLErr  diagnostics.</v>
      </c>
      <c r="I85" t="str">
        <f>Tracker[[#This Row],[DCRType]]</f>
        <v>Task</v>
      </c>
      <c r="J85">
        <f>Tracker[[#This Row],[PRCRState]]</f>
        <v>0</v>
      </c>
      <c r="K85">
        <f>Tracker[[#This Row],[Planned Start Date
&lt;dd-mm-yyyy&gt;]]</f>
        <v>0</v>
      </c>
      <c r="L85">
        <f>Tracker[[#This Row],[Planned Completion Date
&lt;dd-mm-yyyy&gt;]]</f>
        <v>0</v>
      </c>
      <c r="M85">
        <f>Tracker[[#This Row],[Actual Start Date
&lt;dd-mm-yyyy&gt;]]</f>
        <v>0</v>
      </c>
      <c r="N85">
        <f>Tracker[[#This Row],[Actual Cmpln Date
&lt;dd-mm-yyyy&gt;]]</f>
        <v>0</v>
      </c>
      <c r="O85">
        <f>Tracker[[#This Row],[At Risk]]</f>
        <v>0</v>
      </c>
      <c r="P85">
        <f>Tracker[[#This Row],[
Biz Type]]</f>
        <v>0</v>
      </c>
      <c r="Q85" t="str">
        <f t="shared" si="3"/>
        <v>Nileema</v>
      </c>
    </row>
    <row r="86" spans="1:17">
      <c r="A86" t="str">
        <f>Tracker[[#This Row],[DCR Owner]]</f>
        <v>Nileema Pailwan (mt618)</v>
      </c>
      <c r="B86" t="str">
        <f t="shared" si="2"/>
        <v>Nileema Pailwan</v>
      </c>
      <c r="C86">
        <f>Tracker[[#This Row],[DCR ID - PTC]]</f>
        <v>15599977</v>
      </c>
      <c r="D86" t="s">
        <v>1886</v>
      </c>
      <c r="E86">
        <f>Tracker[[#This Row],[Estimated Hrs]]</f>
        <v>0</v>
      </c>
      <c r="F86">
        <f>Tracker[[#This Row],[Actual Efforts (Hrs)]]</f>
        <v>0</v>
      </c>
      <c r="G86">
        <f>Tracker[[#This Row],[Remaining Hrs]]</f>
        <v>0</v>
      </c>
      <c r="H86" t="str">
        <f>Tracker[[#This Row],[Summary]]</f>
        <v>Need to fix open port in AftElecHtrParamDet</v>
      </c>
      <c r="I86" t="str">
        <f>Tracker[[#This Row],[DCRType]]</f>
        <v>Change Request</v>
      </c>
      <c r="J86">
        <f>Tracker[[#This Row],[PRCRState]]</f>
        <v>0</v>
      </c>
      <c r="K86">
        <f>Tracker[[#This Row],[Planned Start Date
&lt;dd-mm-yyyy&gt;]]</f>
        <v>0</v>
      </c>
      <c r="L86">
        <f>Tracker[[#This Row],[Planned Completion Date
&lt;dd-mm-yyyy&gt;]]</f>
        <v>0</v>
      </c>
      <c r="M86">
        <f>Tracker[[#This Row],[Actual Start Date
&lt;dd-mm-yyyy&gt;]]</f>
        <v>0</v>
      </c>
      <c r="N86">
        <f>Tracker[[#This Row],[Actual Cmpln Date
&lt;dd-mm-yyyy&gt;]]</f>
        <v>0</v>
      </c>
      <c r="O86">
        <f>Tracker[[#This Row],[At Risk]]</f>
        <v>0</v>
      </c>
      <c r="P86">
        <f>Tracker[[#This Row],[
Biz Type]]</f>
        <v>0</v>
      </c>
      <c r="Q86" t="str">
        <f t="shared" si="3"/>
        <v>Nileema</v>
      </c>
    </row>
    <row r="87" spans="1:17">
      <c r="A87" t="str">
        <f>Tracker[[#This Row],[DCR Owner]]</f>
        <v>Nileema Pailwan (mt618)</v>
      </c>
      <c r="B87" t="str">
        <f t="shared" si="2"/>
        <v>Nileema Pailwan</v>
      </c>
      <c r="C87">
        <f>Tracker[[#This Row],[DCR ID - PTC]]</f>
        <v>16484890</v>
      </c>
      <c r="D87" t="s">
        <v>1886</v>
      </c>
      <c r="E87">
        <f>Tracker[[#This Row],[Estimated Hrs]]</f>
        <v>0</v>
      </c>
      <c r="F87">
        <f>Tracker[[#This Row],[Actual Efforts (Hrs)]]</f>
        <v>0</v>
      </c>
      <c r="G87">
        <f>Tracker[[#This Row],[Remaining Hrs]]</f>
        <v>0</v>
      </c>
      <c r="H87" t="str">
        <f>Tracker[[#This Row],[Summary]]</f>
        <v>Need to create pp pp port for "ppDOCTmptrPIDCtrlSlipUsedUpErrFIMInfo.deVal "</v>
      </c>
      <c r="I87" t="str">
        <f>Tracker[[#This Row],[DCRType]]</f>
        <v>Change Request</v>
      </c>
      <c r="J87">
        <f>Tracker[[#This Row],[PRCRState]]</f>
        <v>0</v>
      </c>
      <c r="K87">
        <f>Tracker[[#This Row],[Planned Start Date
&lt;dd-mm-yyyy&gt;]]</f>
        <v>0</v>
      </c>
      <c r="L87">
        <f>Tracker[[#This Row],[Planned Completion Date
&lt;dd-mm-yyyy&gt;]]</f>
        <v>0</v>
      </c>
      <c r="M87">
        <f>Tracker[[#This Row],[Actual Start Date
&lt;dd-mm-yyyy&gt;]]</f>
        <v>0</v>
      </c>
      <c r="N87">
        <f>Tracker[[#This Row],[Actual Cmpln Date
&lt;dd-mm-yyyy&gt;]]</f>
        <v>0</v>
      </c>
      <c r="O87">
        <f>Tracker[[#This Row],[At Risk]]</f>
        <v>0</v>
      </c>
      <c r="P87">
        <f>Tracker[[#This Row],[
Biz Type]]</f>
        <v>0</v>
      </c>
      <c r="Q87" t="str">
        <f t="shared" si="3"/>
        <v>Nileema</v>
      </c>
    </row>
    <row r="88" spans="1:17">
      <c r="A88" t="str">
        <f>Tracker[[#This Row],[DCR Owner]]</f>
        <v>Nileema Pailwan (mt618)</v>
      </c>
      <c r="B88" t="str">
        <f t="shared" si="2"/>
        <v>Nileema Pailwan</v>
      </c>
      <c r="C88">
        <f>Tracker[[#This Row],[DCR ID - PTC]]</f>
        <v>18651276</v>
      </c>
      <c r="D88" t="s">
        <v>1886</v>
      </c>
      <c r="E88">
        <f>Tracker[[#This Row],[Estimated Hrs]]</f>
        <v>0</v>
      </c>
      <c r="F88">
        <f>Tracker[[#This Row],[Actual Efforts (Hrs)]]</f>
        <v>0</v>
      </c>
      <c r="G88">
        <f>Tracker[[#This Row],[Remaining Hrs]]</f>
        <v>0</v>
      </c>
      <c r="H88" t="str">
        <f>Tracker[[#This Row],[Summary]]</f>
        <v>AftDualHtrRegenCtrl: Update application guide(s) of component to provide complete parameter object description coverage, parameter usage specification and to update information per missing sections of application guide template</v>
      </c>
      <c r="I88" t="str">
        <f>Tracker[[#This Row],[DCRType]]</f>
        <v>Change Request</v>
      </c>
      <c r="J88">
        <f>Tracker[[#This Row],[PRCRState]]</f>
        <v>0</v>
      </c>
      <c r="K88">
        <f>Tracker[[#This Row],[Planned Start Date
&lt;dd-mm-yyyy&gt;]]</f>
        <v>0</v>
      </c>
      <c r="L88">
        <f>Tracker[[#This Row],[Planned Completion Date
&lt;dd-mm-yyyy&gt;]]</f>
        <v>0</v>
      </c>
      <c r="M88">
        <f>Tracker[[#This Row],[Actual Start Date
&lt;dd-mm-yyyy&gt;]]</f>
        <v>0</v>
      </c>
      <c r="N88">
        <f>Tracker[[#This Row],[Actual Cmpln Date
&lt;dd-mm-yyyy&gt;]]</f>
        <v>0</v>
      </c>
      <c r="O88">
        <f>Tracker[[#This Row],[At Risk]]</f>
        <v>0</v>
      </c>
      <c r="P88">
        <f>Tracker[[#This Row],[
Biz Type]]</f>
        <v>0</v>
      </c>
      <c r="Q88" t="str">
        <f t="shared" si="3"/>
        <v>Nileema</v>
      </c>
    </row>
    <row r="89" spans="1:17">
      <c r="A89" t="str">
        <f>Tracker[[#This Row],[DCR Owner]]</f>
        <v>Nileema Pailwan (mt618)</v>
      </c>
      <c r="B89" t="str">
        <f t="shared" si="2"/>
        <v>Nileema Pailwan</v>
      </c>
      <c r="C89">
        <f>Tracker[[#This Row],[DCR ID - PTC]]</f>
        <v>5525332</v>
      </c>
      <c r="D89" t="s">
        <v>1886</v>
      </c>
      <c r="E89">
        <f>Tracker[[#This Row],[Estimated Hrs]]</f>
        <v>0</v>
      </c>
      <c r="F89">
        <f>Tracker[[#This Row],[Actual Efforts (Hrs)]]</f>
        <v>0</v>
      </c>
      <c r="G89">
        <f>Tracker[[#This Row],[Remaining Hrs]]</f>
        <v>0</v>
      </c>
      <c r="H89" t="str">
        <f>Tracker[[#This Row],[Summary]]</f>
        <v>CSAR Regen Pause during DEF pump initialization period</v>
      </c>
      <c r="I89" t="str">
        <f>Tracker[[#This Row],[DCRType]]</f>
        <v>Change Request</v>
      </c>
      <c r="J89">
        <f>Tracker[[#This Row],[PRCRState]]</f>
        <v>0</v>
      </c>
      <c r="K89">
        <f>Tracker[[#This Row],[Planned Start Date
&lt;dd-mm-yyyy&gt;]]</f>
        <v>0</v>
      </c>
      <c r="L89">
        <f>Tracker[[#This Row],[Planned Completion Date
&lt;dd-mm-yyyy&gt;]]</f>
        <v>0</v>
      </c>
      <c r="M89">
        <f>Tracker[[#This Row],[Actual Start Date
&lt;dd-mm-yyyy&gt;]]</f>
        <v>0</v>
      </c>
      <c r="N89">
        <f>Tracker[[#This Row],[Actual Cmpln Date
&lt;dd-mm-yyyy&gt;]]</f>
        <v>0</v>
      </c>
      <c r="O89">
        <f>Tracker[[#This Row],[At Risk]]</f>
        <v>0</v>
      </c>
      <c r="P89">
        <f>Tracker[[#This Row],[
Biz Type]]</f>
        <v>0</v>
      </c>
      <c r="Q89" t="str">
        <f t="shared" si="3"/>
        <v>Nileema</v>
      </c>
    </row>
    <row r="90" spans="1:17">
      <c r="A90" t="str">
        <f>Tracker[[#This Row],[DCR Owner]]</f>
        <v>Nileema Pailwan (mt618)</v>
      </c>
      <c r="B90" t="str">
        <f t="shared" si="2"/>
        <v>Nileema Pailwan</v>
      </c>
      <c r="C90">
        <f>Tracker[[#This Row],[DCR ID - PTC]]</f>
        <v>15554144</v>
      </c>
      <c r="D90" t="s">
        <v>1886</v>
      </c>
      <c r="E90">
        <f>Tracker[[#This Row],[Estimated Hrs]]</f>
        <v>0</v>
      </c>
      <c r="F90">
        <f>Tracker[[#This Row],[Actual Efforts (Hrs)]]</f>
        <v>0</v>
      </c>
      <c r="G90">
        <f>Tracker[[#This Row],[Remaining Hrs]]</f>
        <v>0</v>
      </c>
      <c r="H90" t="str">
        <f>Tracker[[#This Row],[Summary]]</f>
        <v>MCDC Coverage improvements for AftDiesOxidCatCSERSAgrsvDiag component</v>
      </c>
      <c r="I90" t="str">
        <f>Tracker[[#This Row],[DCRType]]</f>
        <v>Change Request</v>
      </c>
      <c r="J90">
        <f>Tracker[[#This Row],[PRCRState]]</f>
        <v>0</v>
      </c>
      <c r="K90">
        <f>Tracker[[#This Row],[Planned Start Date
&lt;dd-mm-yyyy&gt;]]</f>
        <v>0</v>
      </c>
      <c r="L90">
        <f>Tracker[[#This Row],[Planned Completion Date
&lt;dd-mm-yyyy&gt;]]</f>
        <v>0</v>
      </c>
      <c r="M90">
        <f>Tracker[[#This Row],[Actual Start Date
&lt;dd-mm-yyyy&gt;]]</f>
        <v>0</v>
      </c>
      <c r="N90">
        <f>Tracker[[#This Row],[Actual Cmpln Date
&lt;dd-mm-yyyy&gt;]]</f>
        <v>0</v>
      </c>
      <c r="O90">
        <f>Tracker[[#This Row],[At Risk]]</f>
        <v>0</v>
      </c>
      <c r="P90">
        <f>Tracker[[#This Row],[
Biz Type]]</f>
        <v>0</v>
      </c>
      <c r="Q90" t="str">
        <f t="shared" si="3"/>
        <v>Nileema</v>
      </c>
    </row>
    <row r="91" spans="1:17">
      <c r="A91" t="str">
        <f>Tracker[[#This Row],[DCR Owner]]</f>
        <v>Nileema Pailwan (mt618)</v>
      </c>
      <c r="B91" t="str">
        <f t="shared" si="2"/>
        <v>Nileema Pailwan</v>
      </c>
      <c r="C91">
        <f>Tracker[[#This Row],[DCR ID - PTC]]</f>
        <v>13153843</v>
      </c>
      <c r="D91" t="s">
        <v>1886</v>
      </c>
      <c r="E91">
        <f>Tracker[[#This Row],[Estimated Hrs]]</f>
        <v>0</v>
      </c>
      <c r="F91">
        <f>Tracker[[#This Row],[Actual Efforts (Hrs)]]</f>
        <v>0</v>
      </c>
      <c r="G91">
        <f>Tracker[[#This Row],[Remaining Hrs]]</f>
        <v>0</v>
      </c>
      <c r="H91" t="str">
        <f>Tracker[[#This Row],[Summary]]</f>
        <v xml:space="preserve">CSAR Sync - Up: New Setting Strategy Non-mission Regen </v>
      </c>
      <c r="I91" t="str">
        <f>Tracker[[#This Row],[DCRType]]</f>
        <v>Change Request</v>
      </c>
      <c r="J91">
        <f>Tracker[[#This Row],[PRCRState]]</f>
        <v>0</v>
      </c>
      <c r="K91">
        <f>Tracker[[#This Row],[Planned Start Date
&lt;dd-mm-yyyy&gt;]]</f>
        <v>0</v>
      </c>
      <c r="L91">
        <f>Tracker[[#This Row],[Planned Completion Date
&lt;dd-mm-yyyy&gt;]]</f>
        <v>0</v>
      </c>
      <c r="M91">
        <f>Tracker[[#This Row],[Actual Start Date
&lt;dd-mm-yyyy&gt;]]</f>
        <v>0</v>
      </c>
      <c r="N91">
        <f>Tracker[[#This Row],[Actual Cmpln Date
&lt;dd-mm-yyyy&gt;]]</f>
        <v>0</v>
      </c>
      <c r="O91">
        <f>Tracker[[#This Row],[At Risk]]</f>
        <v>0</v>
      </c>
      <c r="P91">
        <f>Tracker[[#This Row],[
Biz Type]]</f>
        <v>0</v>
      </c>
      <c r="Q91" t="str">
        <f t="shared" si="3"/>
        <v>Nileema</v>
      </c>
    </row>
    <row r="92" spans="1:17">
      <c r="A92" t="str">
        <f>Tracker[[#This Row],[DCR Owner]]</f>
        <v>Nileema Pailwan (mt618)</v>
      </c>
      <c r="B92" t="str">
        <f t="shared" si="2"/>
        <v>Nileema Pailwan</v>
      </c>
      <c r="C92">
        <f>Tracker[[#This Row],[DCR ID - PTC]]</f>
        <v>15756823</v>
      </c>
      <c r="D92" t="s">
        <v>1886</v>
      </c>
      <c r="E92">
        <f>Tracker[[#This Row],[Estimated Hrs]]</f>
        <v>0</v>
      </c>
      <c r="F92">
        <f>Tracker[[#This Row],[Actual Efforts (Hrs)]]</f>
        <v>0</v>
      </c>
      <c r="G92">
        <f>Tracker[[#This Row],[Remaining Hrs]]</f>
        <v>0</v>
      </c>
      <c r="H92" t="str">
        <f>Tracker[[#This Row],[Summary]]</f>
        <v>Develop heater replacement logic for DOC and SCR heater for IPD</v>
      </c>
      <c r="I92" t="str">
        <f>Tracker[[#This Row],[DCRType]]</f>
        <v>Change Request</v>
      </c>
      <c r="J92">
        <f>Tracker[[#This Row],[PRCRState]]</f>
        <v>0</v>
      </c>
      <c r="K92">
        <f>Tracker[[#This Row],[Planned Start Date
&lt;dd-mm-yyyy&gt;]]</f>
        <v>0</v>
      </c>
      <c r="L92">
        <f>Tracker[[#This Row],[Planned Completion Date
&lt;dd-mm-yyyy&gt;]]</f>
        <v>0</v>
      </c>
      <c r="M92">
        <f>Tracker[[#This Row],[Actual Start Date
&lt;dd-mm-yyyy&gt;]]</f>
        <v>0</v>
      </c>
      <c r="N92">
        <f>Tracker[[#This Row],[Actual Cmpln Date
&lt;dd-mm-yyyy&gt;]]</f>
        <v>0</v>
      </c>
      <c r="O92">
        <f>Tracker[[#This Row],[At Risk]]</f>
        <v>0</v>
      </c>
      <c r="P92">
        <f>Tracker[[#This Row],[
Biz Type]]</f>
        <v>0</v>
      </c>
      <c r="Q92" t="str">
        <f t="shared" si="3"/>
        <v>Nileema</v>
      </c>
    </row>
    <row r="93" spans="1:17">
      <c r="A93" t="str">
        <f>Tracker[[#This Row],[DCR Owner]]</f>
        <v>Nileema Pailwan (mt618)</v>
      </c>
      <c r="B93" t="str">
        <f t="shared" si="2"/>
        <v>Nileema Pailwan</v>
      </c>
      <c r="C93">
        <f>Tracker[[#This Row],[DCR ID - PTC]]</f>
        <v>12933353</v>
      </c>
      <c r="D93" t="s">
        <v>1886</v>
      </c>
      <c r="E93">
        <f>Tracker[[#This Row],[Estimated Hrs]]</f>
        <v>0</v>
      </c>
      <c r="F93">
        <f>Tracker[[#This Row],[Actual Efforts (Hrs)]]</f>
        <v>0</v>
      </c>
      <c r="G93">
        <f>Tracker[[#This Row],[Remaining Hrs]]</f>
        <v>0</v>
      </c>
      <c r="H93" t="str">
        <f>Tracker[[#This Row],[Summary]]</f>
        <v xml:space="preserve">AftDiesOxidCatCSERSAgrsvDiag:  Create missing CertDoc and review attached ppt for any other issue </v>
      </c>
      <c r="I93" t="str">
        <f>Tracker[[#This Row],[DCRType]]</f>
        <v>Change Request</v>
      </c>
      <c r="J93">
        <f>Tracker[[#This Row],[PRCRState]]</f>
        <v>0</v>
      </c>
      <c r="K93">
        <f>Tracker[[#This Row],[Planned Start Date
&lt;dd-mm-yyyy&gt;]]</f>
        <v>0</v>
      </c>
      <c r="L93">
        <f>Tracker[[#This Row],[Planned Completion Date
&lt;dd-mm-yyyy&gt;]]</f>
        <v>0</v>
      </c>
      <c r="M93">
        <f>Tracker[[#This Row],[Actual Start Date
&lt;dd-mm-yyyy&gt;]]</f>
        <v>0</v>
      </c>
      <c r="N93">
        <f>Tracker[[#This Row],[Actual Cmpln Date
&lt;dd-mm-yyyy&gt;]]</f>
        <v>0</v>
      </c>
      <c r="O93">
        <f>Tracker[[#This Row],[At Risk]]</f>
        <v>0</v>
      </c>
      <c r="P93">
        <f>Tracker[[#This Row],[
Biz Type]]</f>
        <v>0</v>
      </c>
      <c r="Q93" t="str">
        <f t="shared" si="3"/>
        <v>Nileema</v>
      </c>
    </row>
    <row r="94" spans="1:17">
      <c r="A94" t="str">
        <f>Tracker[[#This Row],[DCR Owner]]</f>
        <v>Nileema Pailwan (mt618)</v>
      </c>
      <c r="B94" t="str">
        <f t="shared" si="2"/>
        <v>Nileema Pailwan</v>
      </c>
      <c r="C94">
        <f>Tracker[[#This Row],[DCR ID - PTC]]</f>
        <v>13130251</v>
      </c>
      <c r="D94" t="s">
        <v>1886</v>
      </c>
      <c r="E94">
        <f>Tracker[[#This Row],[Estimated Hrs]]</f>
        <v>0</v>
      </c>
      <c r="F94">
        <f>Tracker[[#This Row],[Actual Efforts (Hrs)]]</f>
        <v>0</v>
      </c>
      <c r="G94">
        <f>Tracker[[#This Row],[Remaining Hrs]]</f>
        <v>0</v>
      </c>
      <c r="H94" t="str">
        <f>Tracker[[#This Row],[Summary]]</f>
        <v>Create Application Guide for AftPartFiltSysPerfErrsBtmp1</v>
      </c>
      <c r="I94" t="str">
        <f>Tracker[[#This Row],[DCRType]]</f>
        <v>Change Request</v>
      </c>
      <c r="J94">
        <f>Tracker[[#This Row],[PRCRState]]</f>
        <v>0</v>
      </c>
      <c r="K94">
        <f>Tracker[[#This Row],[Planned Start Date
&lt;dd-mm-yyyy&gt;]]</f>
        <v>0</v>
      </c>
      <c r="L94">
        <f>Tracker[[#This Row],[Planned Completion Date
&lt;dd-mm-yyyy&gt;]]</f>
        <v>0</v>
      </c>
      <c r="M94">
        <f>Tracker[[#This Row],[Actual Start Date
&lt;dd-mm-yyyy&gt;]]</f>
        <v>0</v>
      </c>
      <c r="N94">
        <f>Tracker[[#This Row],[Actual Cmpln Date
&lt;dd-mm-yyyy&gt;]]</f>
        <v>0</v>
      </c>
      <c r="O94">
        <f>Tracker[[#This Row],[At Risk]]</f>
        <v>0</v>
      </c>
      <c r="P94">
        <f>Tracker[[#This Row],[
Biz Type]]</f>
        <v>0</v>
      </c>
      <c r="Q94" t="str">
        <f t="shared" si="3"/>
        <v>Nileema</v>
      </c>
    </row>
    <row r="95" spans="1:17">
      <c r="A95" t="str">
        <f>Tracker[[#This Row],[DCR Owner]]</f>
        <v>Nileema Pailwan (mt618)</v>
      </c>
      <c r="B95" t="str">
        <f t="shared" si="2"/>
        <v>Nileema Pailwan</v>
      </c>
      <c r="C95">
        <f>Tracker[[#This Row],[DCR ID - PTC]]</f>
        <v>13129138</v>
      </c>
      <c r="D95" t="s">
        <v>1886</v>
      </c>
      <c r="E95">
        <f>Tracker[[#This Row],[Estimated Hrs]]</f>
        <v>0</v>
      </c>
      <c r="F95">
        <f>Tracker[[#This Row],[Actual Efforts (Hrs)]]</f>
        <v>0</v>
      </c>
      <c r="G95">
        <f>Tracker[[#This Row],[Remaining Hrs]]</f>
        <v>0</v>
      </c>
      <c r="H95" t="str">
        <f>Tracker[[#This Row],[Summary]]</f>
        <v xml:space="preserve">Create Application Guide for AftPartMatSenCErrsBtmp2 </v>
      </c>
      <c r="I95" t="str">
        <f>Tracker[[#This Row],[DCRType]]</f>
        <v>Change Request</v>
      </c>
      <c r="J95">
        <f>Tracker[[#This Row],[PRCRState]]</f>
        <v>0</v>
      </c>
      <c r="K95">
        <f>Tracker[[#This Row],[Planned Start Date
&lt;dd-mm-yyyy&gt;]]</f>
        <v>0</v>
      </c>
      <c r="L95">
        <f>Tracker[[#This Row],[Planned Completion Date
&lt;dd-mm-yyyy&gt;]]</f>
        <v>0</v>
      </c>
      <c r="M95">
        <f>Tracker[[#This Row],[Actual Start Date
&lt;dd-mm-yyyy&gt;]]</f>
        <v>0</v>
      </c>
      <c r="N95">
        <f>Tracker[[#This Row],[Actual Cmpln Date
&lt;dd-mm-yyyy&gt;]]</f>
        <v>0</v>
      </c>
      <c r="O95">
        <f>Tracker[[#This Row],[At Risk]]</f>
        <v>0</v>
      </c>
      <c r="P95">
        <f>Tracker[[#This Row],[
Biz Type]]</f>
        <v>0</v>
      </c>
      <c r="Q95" t="str">
        <f t="shared" si="3"/>
        <v>Nileema</v>
      </c>
    </row>
    <row r="96" spans="1:17">
      <c r="A96" t="str">
        <f>Tracker[[#This Row],[DCR Owner]]</f>
        <v>Nileema Pailwan (mt618)</v>
      </c>
      <c r="B96" t="str">
        <f t="shared" si="2"/>
        <v>Nileema Pailwan</v>
      </c>
      <c r="C96">
        <f>Tracker[[#This Row],[DCR ID - PTC]]</f>
        <v>13129388</v>
      </c>
      <c r="D96" t="s">
        <v>1886</v>
      </c>
      <c r="E96">
        <f>Tracker[[#This Row],[Estimated Hrs]]</f>
        <v>0</v>
      </c>
      <c r="F96">
        <f>Tracker[[#This Row],[Actual Efforts (Hrs)]]</f>
        <v>0</v>
      </c>
      <c r="G96">
        <f>Tracker[[#This Row],[Remaining Hrs]]</f>
        <v>0</v>
      </c>
      <c r="H96" t="str">
        <f>Tracker[[#This Row],[Summary]]</f>
        <v>Create Application Guide for AftPartMatSenCErrsBtmp</v>
      </c>
      <c r="I96" t="str">
        <f>Tracker[[#This Row],[DCRType]]</f>
        <v>Change Request</v>
      </c>
      <c r="J96">
        <f>Tracker[[#This Row],[PRCRState]]</f>
        <v>0</v>
      </c>
      <c r="K96">
        <f>Tracker[[#This Row],[Planned Start Date
&lt;dd-mm-yyyy&gt;]]</f>
        <v>0</v>
      </c>
      <c r="L96">
        <f>Tracker[[#This Row],[Planned Completion Date
&lt;dd-mm-yyyy&gt;]]</f>
        <v>0</v>
      </c>
      <c r="M96">
        <f>Tracker[[#This Row],[Actual Start Date
&lt;dd-mm-yyyy&gt;]]</f>
        <v>0</v>
      </c>
      <c r="N96">
        <f>Tracker[[#This Row],[Actual Cmpln Date
&lt;dd-mm-yyyy&gt;]]</f>
        <v>0</v>
      </c>
      <c r="O96">
        <f>Tracker[[#This Row],[At Risk]]</f>
        <v>0</v>
      </c>
      <c r="P96">
        <f>Tracker[[#This Row],[
Biz Type]]</f>
        <v>0</v>
      </c>
      <c r="Q96" t="str">
        <f t="shared" si="3"/>
        <v>Nileema</v>
      </c>
    </row>
    <row r="97" spans="1:17">
      <c r="A97" t="str">
        <f>Tracker[[#This Row],[DCR Owner]]</f>
        <v>Nileema Pailwan (mt618)</v>
      </c>
      <c r="B97" t="str">
        <f t="shared" si="2"/>
        <v>Nileema Pailwan</v>
      </c>
      <c r="C97">
        <f>Tracker[[#This Row],[DCR ID - PTC]]</f>
        <v>12721478</v>
      </c>
      <c r="D97" t="s">
        <v>1886</v>
      </c>
      <c r="E97">
        <f>Tracker[[#This Row],[Estimated Hrs]]</f>
        <v>0</v>
      </c>
      <c r="F97">
        <f>Tracker[[#This Row],[Actual Efforts (Hrs)]]</f>
        <v>0</v>
      </c>
      <c r="G97">
        <f>Tracker[[#This Row],[Remaining Hrs]]</f>
        <v>0</v>
      </c>
      <c r="H97" t="str">
        <f>Tracker[[#This Row],[Summary]]</f>
        <v xml:space="preserve">CSAR Sync up: UQM OBDC development </v>
      </c>
      <c r="I97" t="str">
        <f>Tracker[[#This Row],[DCRType]]</f>
        <v>Change Request</v>
      </c>
      <c r="J97">
        <f>Tracker[[#This Row],[PRCRState]]</f>
        <v>0</v>
      </c>
      <c r="K97">
        <f>Tracker[[#This Row],[Planned Start Date
&lt;dd-mm-yyyy&gt;]]</f>
        <v>0</v>
      </c>
      <c r="L97">
        <f>Tracker[[#This Row],[Planned Completion Date
&lt;dd-mm-yyyy&gt;]]</f>
        <v>0</v>
      </c>
      <c r="M97">
        <f>Tracker[[#This Row],[Actual Start Date
&lt;dd-mm-yyyy&gt;]]</f>
        <v>0</v>
      </c>
      <c r="N97">
        <f>Tracker[[#This Row],[Actual Cmpln Date
&lt;dd-mm-yyyy&gt;]]</f>
        <v>0</v>
      </c>
      <c r="O97">
        <f>Tracker[[#This Row],[At Risk]]</f>
        <v>0</v>
      </c>
      <c r="P97">
        <f>Tracker[[#This Row],[
Biz Type]]</f>
        <v>0</v>
      </c>
      <c r="Q97" t="str">
        <f t="shared" si="3"/>
        <v>Nileema</v>
      </c>
    </row>
    <row r="98" spans="1:17">
      <c r="A98" t="str">
        <f>Tracker[[#This Row],[DCR Owner]]</f>
        <v>Nileema Pailwan (mt618)</v>
      </c>
      <c r="B98" t="str">
        <f t="shared" si="2"/>
        <v>Nileema Pailwan</v>
      </c>
      <c r="C98">
        <f>Tracker[[#This Row],[DCR ID - PTC]]</f>
        <v>17311990</v>
      </c>
      <c r="D98" t="s">
        <v>1886</v>
      </c>
      <c r="E98">
        <f>Tracker[[#This Row],[Estimated Hrs]]</f>
        <v>0</v>
      </c>
      <c r="F98">
        <f>Tracker[[#This Row],[Actual Efforts (Hrs)]]</f>
        <v>70</v>
      </c>
      <c r="G98">
        <f>Tracker[[#This Row],[Remaining Hrs]]</f>
        <v>-70</v>
      </c>
      <c r="H98" t="str">
        <f>Tracker[[#This Row],[Summary]]</f>
        <v>Differentiate the CSERS mode detection conditions for diagnostic enable logic and denominator logic</v>
      </c>
      <c r="I98" t="str">
        <f>Tracker[[#This Row],[DCRType]]</f>
        <v>Change Request</v>
      </c>
      <c r="J98">
        <f>Tracker[[#This Row],[PRCRState]]</f>
        <v>0</v>
      </c>
      <c r="K98">
        <f>Tracker[[#This Row],[Planned Start Date
&lt;dd-mm-yyyy&gt;]]</f>
        <v>0</v>
      </c>
      <c r="L98">
        <f>Tracker[[#This Row],[Planned Completion Date
&lt;dd-mm-yyyy&gt;]]</f>
        <v>0</v>
      </c>
      <c r="M98">
        <f>Tracker[[#This Row],[Actual Start Date
&lt;dd-mm-yyyy&gt;]]</f>
        <v>0</v>
      </c>
      <c r="N98">
        <f>Tracker[[#This Row],[Actual Cmpln Date
&lt;dd-mm-yyyy&gt;]]</f>
        <v>0</v>
      </c>
      <c r="O98">
        <f>Tracker[[#This Row],[At Risk]]</f>
        <v>0</v>
      </c>
      <c r="P98">
        <f>Tracker[[#This Row],[
Biz Type]]</f>
        <v>0</v>
      </c>
      <c r="Q98" t="str">
        <f t="shared" si="3"/>
        <v>Nileema</v>
      </c>
    </row>
    <row r="99" spans="1:17">
      <c r="A99" t="str">
        <f>Tracker[[#This Row],[DCR Owner]]</f>
        <v>Nileema Pailwan (mt618)</v>
      </c>
      <c r="B99" t="str">
        <f t="shared" si="2"/>
        <v>Nileema Pailwan</v>
      </c>
      <c r="C99">
        <f>Tracker[[#This Row],[DCR ID - PTC]]</f>
        <v>16070941</v>
      </c>
      <c r="D99" t="s">
        <v>1886</v>
      </c>
      <c r="E99">
        <f>Tracker[[#This Row],[Estimated Hrs]]</f>
        <v>0</v>
      </c>
      <c r="F99">
        <f>Tracker[[#This Row],[Actual Efforts (Hrs)]]</f>
        <v>123</v>
      </c>
      <c r="G99">
        <f>Tracker[[#This Row],[Remaining Hrs]]</f>
        <v>0</v>
      </c>
      <c r="H99" t="str">
        <f>Tracker[[#This Row],[Summary]]</f>
        <v>HCU Internal Driver Error Signal and supporting diagnostic</v>
      </c>
      <c r="I99" t="str">
        <f>Tracker[[#This Row],[DCRType]]</f>
        <v>Change Request</v>
      </c>
      <c r="J99">
        <f>Tracker[[#This Row],[PRCRState]]</f>
        <v>0</v>
      </c>
      <c r="K99">
        <f>Tracker[[#This Row],[Planned Start Date
&lt;dd-mm-yyyy&gt;]]</f>
        <v>0</v>
      </c>
      <c r="L99">
        <f>Tracker[[#This Row],[Planned Completion Date
&lt;dd-mm-yyyy&gt;]]</f>
        <v>0</v>
      </c>
      <c r="M99">
        <f>Tracker[[#This Row],[Actual Start Date
&lt;dd-mm-yyyy&gt;]]</f>
        <v>0</v>
      </c>
      <c r="N99">
        <f>Tracker[[#This Row],[Actual Cmpln Date
&lt;dd-mm-yyyy&gt;]]</f>
        <v>0</v>
      </c>
      <c r="O99">
        <f>Tracker[[#This Row],[At Risk]]</f>
        <v>0</v>
      </c>
      <c r="P99">
        <f>Tracker[[#This Row],[
Biz Type]]</f>
        <v>0</v>
      </c>
      <c r="Q99" t="str">
        <f t="shared" si="3"/>
        <v>Nileema</v>
      </c>
    </row>
    <row r="100" spans="1:17">
      <c r="A100" t="str">
        <f>Tracker[[#This Row],[DCR Owner]]</f>
        <v>sumitkumar patil (wf330)</v>
      </c>
      <c r="B100" t="str">
        <f t="shared" si="2"/>
        <v>sumitkumar patil</v>
      </c>
      <c r="C100">
        <f>Tracker[[#This Row],[DCR ID - PTC]]</f>
        <v>17270728</v>
      </c>
      <c r="D100" t="s">
        <v>1886</v>
      </c>
      <c r="E100">
        <f>Tracker[[#This Row],[Estimated Hrs]]</f>
        <v>100</v>
      </c>
      <c r="F100">
        <f>Tracker[[#This Row],[Actual Efforts (Hrs)]]</f>
        <v>82.5</v>
      </c>
      <c r="G100">
        <f>Tracker[[#This Row],[Remaining Hrs]]</f>
        <v>17.5</v>
      </c>
      <c r="H100" t="str">
        <f>Tracker[[#This Row],[Summary]]</f>
        <v>Move from abort condition (Rate of change of Heater Inlet Temp) to Pause condition - OECS/CSERS Diagnostics</v>
      </c>
      <c r="I100" t="str">
        <f>Tracker[[#This Row],[DCRType]]</f>
        <v>Change Request</v>
      </c>
      <c r="J100" t="str">
        <f>Tracker[[#This Row],[PRCRState]]</f>
        <v>Task</v>
      </c>
      <c r="K100">
        <f>Tracker[[#This Row],[Planned Start Date
&lt;dd-mm-yyyy&gt;]]</f>
        <v>0</v>
      </c>
      <c r="L100">
        <f>Tracker[[#This Row],[Planned Completion Date
&lt;dd-mm-yyyy&gt;]]</f>
        <v>0</v>
      </c>
      <c r="M100">
        <f>Tracker[[#This Row],[Actual Start Date
&lt;dd-mm-yyyy&gt;]]</f>
        <v>0</v>
      </c>
      <c r="N100">
        <f>Tracker[[#This Row],[Actual Cmpln Date
&lt;dd-mm-yyyy&gt;]]</f>
        <v>0</v>
      </c>
      <c r="O100" t="str">
        <f>Tracker[[#This Row],[At Risk]]</f>
        <v>On Track</v>
      </c>
      <c r="P100">
        <f>Tracker[[#This Row],[
Biz Type]]</f>
        <v>0</v>
      </c>
      <c r="Q100" t="str">
        <f t="shared" si="3"/>
        <v>sumitkum</v>
      </c>
    </row>
    <row r="101" spans="1:17">
      <c r="A101" t="str">
        <f>Tracker[[#This Row],[DCR Owner]]</f>
        <v>Nileema Pailwan (mt618)</v>
      </c>
      <c r="B101" t="str">
        <f t="shared" si="2"/>
        <v>Nileema Pailwan</v>
      </c>
      <c r="C101">
        <f>Tracker[[#This Row],[DCR ID - PTC]]</f>
        <v>16824279</v>
      </c>
      <c r="D101" t="s">
        <v>1886</v>
      </c>
      <c r="E101">
        <f>Tracker[[#This Row],[Estimated Hrs]]</f>
        <v>0</v>
      </c>
      <c r="F101">
        <f>Tracker[[#This Row],[Actual Efforts (Hrs)]]</f>
        <v>0</v>
      </c>
      <c r="G101">
        <f>Tracker[[#This Row],[Remaining Hrs]]</f>
        <v>0</v>
      </c>
      <c r="H101" t="str">
        <f>Tracker[[#This Row],[Summary]]</f>
        <v>OEM needs to have DOC CSERS monitor 'dmAftElecDOCHtrPwrDgrdCSERSErr'</v>
      </c>
      <c r="I101" t="str">
        <f>Tracker[[#This Row],[DCRType]]</f>
        <v>Change Request</v>
      </c>
      <c r="J101">
        <f>Tracker[[#This Row],[PRCRState]]</f>
        <v>0</v>
      </c>
      <c r="K101">
        <f>Tracker[[#This Row],[Planned Start Date
&lt;dd-mm-yyyy&gt;]]</f>
        <v>0</v>
      </c>
      <c r="L101">
        <f>Tracker[[#This Row],[Planned Completion Date
&lt;dd-mm-yyyy&gt;]]</f>
        <v>0</v>
      </c>
      <c r="M101">
        <f>Tracker[[#This Row],[Actual Start Date
&lt;dd-mm-yyyy&gt;]]</f>
        <v>0</v>
      </c>
      <c r="N101">
        <f>Tracker[[#This Row],[Actual Cmpln Date
&lt;dd-mm-yyyy&gt;]]</f>
        <v>0</v>
      </c>
      <c r="O101">
        <f>Tracker[[#This Row],[At Risk]]</f>
        <v>0</v>
      </c>
      <c r="P101">
        <f>Tracker[[#This Row],[
Biz Type]]</f>
        <v>0</v>
      </c>
      <c r="Q101" t="str">
        <f t="shared" si="3"/>
        <v>Nileema</v>
      </c>
    </row>
    <row r="102" spans="1:17">
      <c r="A102" t="str">
        <f>Tracker[[#This Row],[DCR Owner]]</f>
        <v>Srinadh</v>
      </c>
      <c r="B102" t="e">
        <f t="shared" si="2"/>
        <v>#VALUE!</v>
      </c>
      <c r="C102">
        <f>Tracker[[#This Row],[DCR ID - PTC]]</f>
        <v>17551019</v>
      </c>
      <c r="D102" t="s">
        <v>1886</v>
      </c>
      <c r="E102">
        <f>Tracker[[#This Row],[Estimated Hrs]]</f>
        <v>40</v>
      </c>
      <c r="F102">
        <f>Tracker[[#This Row],[Actual Efforts (Hrs)]]</f>
        <v>2.75</v>
      </c>
      <c r="G102">
        <f>Tracker[[#This Row],[Remaining Hrs]]</f>
        <v>37.25</v>
      </c>
      <c r="H102" t="str">
        <f>Tracker[[#This Row],[Summary]]</f>
        <v>Reset the Diagnostic counter when OECS &amp; CSERS diagnostics take PASS/FAIL decision</v>
      </c>
      <c r="I102" t="str">
        <f>Tracker[[#This Row],[DCRType]]</f>
        <v>Change Request</v>
      </c>
      <c r="J102" t="str">
        <f>Tracker[[#This Row],[PRCRState]]</f>
        <v>Task</v>
      </c>
      <c r="K102">
        <f>Tracker[[#This Row],[Planned Start Date
&lt;dd-mm-yyyy&gt;]]</f>
        <v>0</v>
      </c>
      <c r="L102">
        <f>Tracker[[#This Row],[Planned Completion Date
&lt;dd-mm-yyyy&gt;]]</f>
        <v>0</v>
      </c>
      <c r="M102">
        <f>Tracker[[#This Row],[Actual Start Date
&lt;dd-mm-yyyy&gt;]]</f>
        <v>0</v>
      </c>
      <c r="N102">
        <f>Tracker[[#This Row],[Actual Cmpln Date
&lt;dd-mm-yyyy&gt;]]</f>
        <v>0</v>
      </c>
      <c r="O102">
        <f>Tracker[[#This Row],[At Risk]]</f>
        <v>0</v>
      </c>
      <c r="P102">
        <f>Tracker[[#This Row],[
Biz Type]]</f>
        <v>0</v>
      </c>
      <c r="Q102" t="e">
        <f t="shared" si="3"/>
        <v>#VALUE!</v>
      </c>
    </row>
    <row r="103" spans="1:17">
      <c r="A103" t="str">
        <f>Tracker[[#This Row],[DCR Owner]]</f>
        <v>sumitkumar patil (wf330)</v>
      </c>
      <c r="B103" t="str">
        <f t="shared" si="2"/>
        <v>sumitkumar patil</v>
      </c>
      <c r="C103">
        <f>Tracker[[#This Row],[DCR ID - PTC]]</f>
        <v>18919143</v>
      </c>
      <c r="D103" t="s">
        <v>1886</v>
      </c>
      <c r="E103">
        <f>Tracker[[#This Row],[Estimated Hrs]]</f>
        <v>0</v>
      </c>
      <c r="F103">
        <f>Tracker[[#This Row],[Actual Efforts (Hrs)]]</f>
        <v>0</v>
      </c>
      <c r="G103">
        <f>Tracker[[#This Row],[Remaining Hrs]]</f>
        <v>0</v>
      </c>
      <c r="H103" t="str">
        <f>Tracker[[#This Row],[Summary]]</f>
        <v>Change Sdm port names in AftElecHtrDiag for Heater Power Degraded Diagnostics</v>
      </c>
      <c r="I103" t="str">
        <f>Tracker[[#This Row],[DCRType]]</f>
        <v>Change Request</v>
      </c>
      <c r="J103" t="str">
        <f>Tracker[[#This Row],[PRCRState]]</f>
        <v>Task</v>
      </c>
      <c r="K103">
        <f>Tracker[[#This Row],[Planned Start Date
&lt;dd-mm-yyyy&gt;]]</f>
        <v>0</v>
      </c>
      <c r="L103">
        <f>Tracker[[#This Row],[Planned Completion Date
&lt;dd-mm-yyyy&gt;]]</f>
        <v>0</v>
      </c>
      <c r="M103">
        <f>Tracker[[#This Row],[Actual Start Date
&lt;dd-mm-yyyy&gt;]]</f>
        <v>0</v>
      </c>
      <c r="N103">
        <f>Tracker[[#This Row],[Actual Cmpln Date
&lt;dd-mm-yyyy&gt;]]</f>
        <v>0</v>
      </c>
      <c r="O103" t="str">
        <f>Tracker[[#This Row],[At Risk]]</f>
        <v>On Track</v>
      </c>
      <c r="P103">
        <f>Tracker[[#This Row],[
Biz Type]]</f>
        <v>0</v>
      </c>
      <c r="Q103" t="str">
        <f t="shared" si="3"/>
        <v>sumitkum</v>
      </c>
    </row>
    <row r="104" spans="1:17">
      <c r="A104" t="str">
        <f>Tracker[[#This Row],[DCR Owner]]</f>
        <v>Omkar A Shinde (sz417)</v>
      </c>
      <c r="B104" t="str">
        <f t="shared" si="2"/>
        <v>Omkar A Shinde</v>
      </c>
      <c r="C104">
        <f>Tracker[[#This Row],[DCR ID - PTC]]</f>
        <v>18656113</v>
      </c>
      <c r="D104" t="s">
        <v>1886</v>
      </c>
      <c r="E104">
        <f>Tracker[[#This Row],[Estimated Hrs]]</f>
        <v>0</v>
      </c>
      <c r="F104">
        <f>Tracker[[#This Row],[Actual Efforts (Hrs)]]</f>
        <v>0</v>
      </c>
      <c r="G104">
        <f>Tracker[[#This Row],[Remaining Hrs]]</f>
        <v>0</v>
      </c>
      <c r="H104" t="str">
        <f>Tracker[[#This Row],[Summary]]</f>
        <v>Update in the global input name from ppNvReactRegenTrigRqstBtmp to ppNvSCRReactRegenTrigRqstBtmp in AftDPFTimeBasedRegenTrigProc component.</v>
      </c>
      <c r="I104" t="str">
        <f>Tracker[[#This Row],[DCRType]]</f>
        <v>Change Request</v>
      </c>
      <c r="J104" t="str">
        <f>Tracker[[#This Row],[PRCRState]]</f>
        <v>Task</v>
      </c>
      <c r="K104">
        <f>Tracker[[#This Row],[Planned Start Date
&lt;dd-mm-yyyy&gt;]]</f>
        <v>0</v>
      </c>
      <c r="L104">
        <f>Tracker[[#This Row],[Planned Completion Date
&lt;dd-mm-yyyy&gt;]]</f>
        <v>0</v>
      </c>
      <c r="M104">
        <f>Tracker[[#This Row],[Actual Start Date
&lt;dd-mm-yyyy&gt;]]</f>
        <v>0</v>
      </c>
      <c r="N104">
        <f>Tracker[[#This Row],[Actual Cmpln Date
&lt;dd-mm-yyyy&gt;]]</f>
        <v>0</v>
      </c>
      <c r="O104" t="str">
        <f>Tracker[[#This Row],[At Risk]]</f>
        <v>Yet to start</v>
      </c>
      <c r="P104">
        <f>Tracker[[#This Row],[
Biz Type]]</f>
        <v>0</v>
      </c>
      <c r="Q104" t="str">
        <f t="shared" si="3"/>
        <v xml:space="preserve">Omkar </v>
      </c>
    </row>
    <row r="105" spans="1:17">
      <c r="A105" t="str">
        <f>Tracker[[#This Row],[DCR Owner]]</f>
        <v>Prathyusha Guttapalem (ag14k)</v>
      </c>
      <c r="B105" t="str">
        <f t="shared" si="2"/>
        <v>Prathyusha Guttapalem</v>
      </c>
      <c r="C105">
        <f>Tracker[[#This Row],[DCR ID - PTC]]</f>
        <v>19340545</v>
      </c>
      <c r="D105" t="s">
        <v>1886</v>
      </c>
      <c r="E105">
        <f>Tracker[[#This Row],[Estimated Hrs]]</f>
        <v>15</v>
      </c>
      <c r="F105">
        <f>Tracker[[#This Row],[Actual Efforts (Hrs)]]</f>
        <v>13.75</v>
      </c>
      <c r="G105">
        <f>Tracker[[#This Row],[Remaining Hrs]]</f>
        <v>1.25</v>
      </c>
      <c r="H105" t="str">
        <f>Tracker[[#This Row],[Summary]]</f>
        <v>CSAR: AftDiesOxidCatParamDet: Create VCOND and P-Port for ppDiesOxidCatTotInlHydroCarbnFlowRateVal.deVal in OBDM File</v>
      </c>
      <c r="I105" t="str">
        <f>Tracker[[#This Row],[DCRType]]</f>
        <v>Change Request</v>
      </c>
      <c r="J105" t="str">
        <f>Tracker[[#This Row],[PRCRState]]</f>
        <v>Implement</v>
      </c>
      <c r="K105">
        <f>Tracker[[#This Row],[Planned Start Date
&lt;dd-mm-yyyy&gt;]]</f>
        <v>0</v>
      </c>
      <c r="L105">
        <f>Tracker[[#This Row],[Planned Completion Date
&lt;dd-mm-yyyy&gt;]]</f>
        <v>0</v>
      </c>
      <c r="M105">
        <f>Tracker[[#This Row],[Actual Start Date
&lt;dd-mm-yyyy&gt;]]</f>
        <v>0</v>
      </c>
      <c r="N105">
        <f>Tracker[[#This Row],[Actual Cmpln Date
&lt;dd-mm-yyyy&gt;]]</f>
        <v>0</v>
      </c>
      <c r="O105" t="str">
        <f>Tracker[[#This Row],[At Risk]]</f>
        <v>Closed</v>
      </c>
      <c r="P105">
        <f>Tracker[[#This Row],[
Biz Type]]</f>
        <v>0</v>
      </c>
      <c r="Q105" t="str">
        <f t="shared" si="3"/>
        <v>Prathyusha Gu</v>
      </c>
    </row>
    <row r="106" spans="1:17">
      <c r="A106" t="str">
        <f>Tracker[[#This Row],[DCR Owner]]</f>
        <v>Prathyusha Guttapalem (ag14k)</v>
      </c>
      <c r="B106" t="str">
        <f t="shared" si="2"/>
        <v>Prathyusha Guttapalem</v>
      </c>
      <c r="C106">
        <f>Tracker[[#This Row],[DCR ID - PTC]]</f>
        <v>19340756</v>
      </c>
      <c r="D106" t="s">
        <v>1886</v>
      </c>
      <c r="E106">
        <f>Tracker[[#This Row],[Estimated Hrs]]</f>
        <v>20</v>
      </c>
      <c r="F106">
        <f>Tracker[[#This Row],[Actual Efforts (Hrs)]]</f>
        <v>26.25</v>
      </c>
      <c r="G106">
        <f>Tracker[[#This Row],[Remaining Hrs]]</f>
        <v>-6.25</v>
      </c>
      <c r="H106" t="str">
        <f>Tracker[[#This Row],[Summary]]</f>
        <v>CSAR: AftPartMatSenCProc: Create VCOND and P-Port for ppPartMatSysOutDefStatFlag.deVal &amp; ppPartMatSysOutMdlStatFlag.deVal in OBDM File</v>
      </c>
      <c r="I106" t="str">
        <f>Tracker[[#This Row],[DCRType]]</f>
        <v>Change Request</v>
      </c>
      <c r="J106" t="str">
        <f>Tracker[[#This Row],[PRCRState]]</f>
        <v>Implement</v>
      </c>
      <c r="K106">
        <f>Tracker[[#This Row],[Planned Start Date
&lt;dd-mm-yyyy&gt;]]</f>
        <v>0</v>
      </c>
      <c r="L106">
        <f>Tracker[[#This Row],[Planned Completion Date
&lt;dd-mm-yyyy&gt;]]</f>
        <v>0</v>
      </c>
      <c r="M106">
        <f>Tracker[[#This Row],[Actual Start Date
&lt;dd-mm-yyyy&gt;]]</f>
        <v>0</v>
      </c>
      <c r="N106">
        <f>Tracker[[#This Row],[Actual Cmpln Date
&lt;dd-mm-yyyy&gt;]]</f>
        <v>0</v>
      </c>
      <c r="O106" t="str">
        <f>Tracker[[#This Row],[At Risk]]</f>
        <v>Closed</v>
      </c>
      <c r="P106">
        <f>Tracker[[#This Row],[
Biz Type]]</f>
        <v>0</v>
      </c>
      <c r="Q106" t="str">
        <f t="shared" si="3"/>
        <v>Prathyusha Gu</v>
      </c>
    </row>
    <row r="107" spans="1:17">
      <c r="A107" t="str">
        <f>Tracker[[#This Row],[DCR Owner]]</f>
        <v>Prathyusha Guttapalem (ag14k)</v>
      </c>
      <c r="B107" t="str">
        <f t="shared" si="2"/>
        <v>Prathyusha Guttapalem</v>
      </c>
      <c r="C107">
        <f>Tracker[[#This Row],[DCR ID - PTC]]</f>
        <v>19340781</v>
      </c>
      <c r="D107" t="s">
        <v>1886</v>
      </c>
      <c r="E107">
        <f>Tracker[[#This Row],[Estimated Hrs]]</f>
        <v>25</v>
      </c>
      <c r="F107">
        <f>Tracker[[#This Row],[Actual Efforts (Hrs)]]</f>
        <v>11.75</v>
      </c>
      <c r="G107">
        <f>Tracker[[#This Row],[Remaining Hrs]]</f>
        <v>13.25</v>
      </c>
      <c r="H107" t="str">
        <f>Tracker[[#This Row],[Summary]]</f>
        <v>CSAR: AftDiesPartFiltSysOutPrSenProc: Creation of OBDM for creating VCOND and P-Port for ppDiesPartFiltOutGaugePrDefStatFlag.deVal &amp; ppDiesPartFiltOutGaugePrMdlStatFlag.deVal in OBDM File</v>
      </c>
      <c r="I107" t="str">
        <f>Tracker[[#This Row],[DCRType]]</f>
        <v>Change Request</v>
      </c>
      <c r="J107" t="str">
        <f>Tracker[[#This Row],[PRCRState]]</f>
        <v>Implement</v>
      </c>
      <c r="K107">
        <f>Tracker[[#This Row],[Planned Start Date
&lt;dd-mm-yyyy&gt;]]</f>
        <v>0</v>
      </c>
      <c r="L107">
        <f>Tracker[[#This Row],[Planned Completion Date
&lt;dd-mm-yyyy&gt;]]</f>
        <v>0</v>
      </c>
      <c r="M107">
        <f>Tracker[[#This Row],[Actual Start Date
&lt;dd-mm-yyyy&gt;]]</f>
        <v>0</v>
      </c>
      <c r="N107">
        <f>Tracker[[#This Row],[Actual Cmpln Date
&lt;dd-mm-yyyy&gt;]]</f>
        <v>0</v>
      </c>
      <c r="O107" t="str">
        <f>Tracker[[#This Row],[At Risk]]</f>
        <v>On Hold</v>
      </c>
      <c r="P107">
        <f>Tracker[[#This Row],[
Biz Type]]</f>
        <v>0</v>
      </c>
      <c r="Q107" t="str">
        <f t="shared" si="3"/>
        <v>Prathyusha Gu</v>
      </c>
    </row>
    <row r="108" spans="1:17">
      <c r="A108" t="str">
        <f>Tracker[[#This Row],[DCR Owner]]</f>
        <v>Prathyusha Guttapalem (ag14k)</v>
      </c>
      <c r="B108" t="str">
        <f t="shared" si="2"/>
        <v>Prathyusha Guttapalem</v>
      </c>
      <c r="C108">
        <f>Tracker[[#This Row],[DCR ID - PTC]]</f>
        <v>19340887</v>
      </c>
      <c r="D108" t="s">
        <v>1886</v>
      </c>
      <c r="E108">
        <f>Tracker[[#This Row],[Estimated Hrs]]</f>
        <v>0</v>
      </c>
      <c r="F108">
        <f>Tracker[[#This Row],[Actual Efforts (Hrs)]]</f>
        <v>0.5</v>
      </c>
      <c r="G108">
        <f>Tracker[[#This Row],[Remaining Hrs]]</f>
        <v>0</v>
      </c>
      <c r="H108" t="str">
        <f>Tracker[[#This Row],[Summary]]</f>
        <v>CSAR: AftDPFLoRngHiResDltPrSenProc: Creation of OBDM for creating VCOND and P-Port for ppDiesPartFiltLoRngDltPrDefStatFlag.deVal &amp; ppDiesPartFiltLoRngDltPrMdlStatFlag.deVal in OBDM File</v>
      </c>
      <c r="I108" t="str">
        <f>Tracker[[#This Row],[DCRType]]</f>
        <v>Change Request</v>
      </c>
      <c r="J108" t="str">
        <f>Tracker[[#This Row],[PRCRState]]</f>
        <v>Implement_NA</v>
      </c>
      <c r="K108">
        <f>Tracker[[#This Row],[Planned Start Date
&lt;dd-mm-yyyy&gt;]]</f>
        <v>0</v>
      </c>
      <c r="L108">
        <f>Tracker[[#This Row],[Planned Completion Date
&lt;dd-mm-yyyy&gt;]]</f>
        <v>0</v>
      </c>
      <c r="M108">
        <f>Tracker[[#This Row],[Actual Start Date
&lt;dd-mm-yyyy&gt;]]</f>
        <v>0</v>
      </c>
      <c r="N108">
        <f>Tracker[[#This Row],[Actual Cmpln Date
&lt;dd-mm-yyyy&gt;]]</f>
        <v>0</v>
      </c>
      <c r="O108" t="str">
        <f>Tracker[[#This Row],[At Risk]]</f>
        <v>Cancelled</v>
      </c>
      <c r="P108">
        <f>Tracker[[#This Row],[
Biz Type]]</f>
        <v>0</v>
      </c>
      <c r="Q108" t="str">
        <f t="shared" si="3"/>
        <v>Prathyusha Gu</v>
      </c>
    </row>
    <row r="109" spans="1:17">
      <c r="A109" t="str">
        <f>Tracker[[#This Row],[DCR Owner]]</f>
        <v>Prathyusha Guttapalem (ag14k)</v>
      </c>
      <c r="B109" t="str">
        <f t="shared" si="2"/>
        <v>Prathyusha Guttapalem</v>
      </c>
      <c r="C109">
        <f>Tracker[[#This Row],[DCR ID - PTC]]</f>
        <v>19340986</v>
      </c>
      <c r="D109" t="s">
        <v>1886</v>
      </c>
      <c r="E109">
        <f>Tracker[[#This Row],[Estimated Hrs]]</f>
        <v>20</v>
      </c>
      <c r="F109">
        <f>Tracker[[#This Row],[Actual Efforts (Hrs)]]</f>
        <v>6</v>
      </c>
      <c r="G109">
        <f>Tracker[[#This Row],[Remaining Hrs]]</f>
        <v>14</v>
      </c>
      <c r="H109" t="str">
        <f>Tracker[[#This Row],[Summary]]</f>
        <v>CSAR: AftPartFiltSysDataStatBtmp: P-Port bitpacking for ppAftPartMatFiltSysSenFailStBtmp.deVal in OBDM File</v>
      </c>
      <c r="I109" t="str">
        <f>Tracker[[#This Row],[DCRType]]</f>
        <v>Change Request</v>
      </c>
      <c r="J109" t="str">
        <f>Tracker[[#This Row],[PRCRState]]</f>
        <v>Implement</v>
      </c>
      <c r="K109">
        <f>Tracker[[#This Row],[Planned Start Date
&lt;dd-mm-yyyy&gt;]]</f>
        <v>0</v>
      </c>
      <c r="L109">
        <f>Tracker[[#This Row],[Planned Completion Date
&lt;dd-mm-yyyy&gt;]]</f>
        <v>0</v>
      </c>
      <c r="M109">
        <f>Tracker[[#This Row],[Actual Start Date
&lt;dd-mm-yyyy&gt;]]</f>
        <v>0</v>
      </c>
      <c r="N109">
        <f>Tracker[[#This Row],[Actual Cmpln Date
&lt;dd-mm-yyyy&gt;]]</f>
        <v>0</v>
      </c>
      <c r="O109" t="str">
        <f>Tracker[[#This Row],[At Risk]]</f>
        <v>On Hold</v>
      </c>
      <c r="P109">
        <f>Tracker[[#This Row],[
Biz Type]]</f>
        <v>0</v>
      </c>
      <c r="Q109" t="str">
        <f t="shared" si="3"/>
        <v>Prathyusha Gu</v>
      </c>
    </row>
    <row r="110" spans="1:17">
      <c r="A110" t="str">
        <f>Tracker[[#This Row],[DCR Owner]]</f>
        <v>Prathyusha Guttapalem (ag14k)</v>
      </c>
      <c r="B110" t="str">
        <f t="shared" si="2"/>
        <v>Prathyusha Guttapalem</v>
      </c>
      <c r="C110">
        <f>Tracker[[#This Row],[DCR ID - PTC]]</f>
        <v>19459316</v>
      </c>
      <c r="D110" t="s">
        <v>1886</v>
      </c>
      <c r="E110">
        <f>Tracker[[#This Row],[Estimated Hrs]]</f>
        <v>33</v>
      </c>
      <c r="F110">
        <f>Tracker[[#This Row],[Actual Efforts (Hrs)]]</f>
        <v>36.75</v>
      </c>
      <c r="G110">
        <f>Tracker[[#This Row],[Remaining Hrs]]</f>
        <v>-3.75</v>
      </c>
      <c r="H110" t="str">
        <f>Tracker[[#This Row],[Summary]]</f>
        <v>MY27 Fracas160849MY27: DPSLE Ash Adjustment increasing during the LLC cycle #8944</v>
      </c>
      <c r="I110" t="str">
        <f>Tracker[[#This Row],[DCRType]]</f>
        <v>Defect</v>
      </c>
      <c r="J110" t="str">
        <f>Tracker[[#This Row],[PRCRState]]</f>
        <v>Evaluate</v>
      </c>
      <c r="K110">
        <f>Tracker[[#This Row],[Planned Start Date
&lt;dd-mm-yyyy&gt;]]</f>
        <v>0</v>
      </c>
      <c r="L110">
        <f>Tracker[[#This Row],[Planned Completion Date
&lt;dd-mm-yyyy&gt;]]</f>
        <v>46154</v>
      </c>
      <c r="M110">
        <f>Tracker[[#This Row],[Actual Start Date
&lt;dd-mm-yyyy&gt;]]</f>
        <v>0</v>
      </c>
      <c r="N110">
        <f>Tracker[[#This Row],[Actual Cmpln Date
&lt;dd-mm-yyyy&gt;]]</f>
        <v>46155</v>
      </c>
      <c r="O110" t="str">
        <f>Tracker[[#This Row],[At Risk]]</f>
        <v>Closed</v>
      </c>
      <c r="P110" t="str">
        <f>Tracker[[#This Row],[
Biz Type]]</f>
        <v>PFS</v>
      </c>
      <c r="Q110" t="str">
        <f t="shared" si="3"/>
        <v>Prathyusha Gu</v>
      </c>
    </row>
    <row r="111" spans="1:17">
      <c r="A111" t="str">
        <f>Tracker[[#This Row],[DCR Owner]]</f>
        <v>Prathyusha Guttapalem (ag14k)</v>
      </c>
      <c r="B111" t="str">
        <f t="shared" si="2"/>
        <v>Prathyusha Guttapalem</v>
      </c>
      <c r="C111">
        <f>Tracker[[#This Row],[DCR ID - PTC]]</f>
        <v>19552762</v>
      </c>
      <c r="D111" t="s">
        <v>1886</v>
      </c>
      <c r="E111">
        <f>Tracker[[#This Row],[Estimated Hrs]]</f>
        <v>0</v>
      </c>
      <c r="F111">
        <f>Tracker[[#This Row],[Actual Efforts (Hrs)]]</f>
        <v>0</v>
      </c>
      <c r="G111">
        <f>Tracker[[#This Row],[Remaining Hrs]]</f>
        <v>0</v>
      </c>
      <c r="H111" t="str">
        <f>Tracker[[#This Row],[Summary]]</f>
        <v>AftSootFiltMgrDeepCleanAdj Change the input port name from ppCaDiesPartFiltRstrcTestToolEnbl_deVal to ppCaFtis5492DPFRstrcTestDispEnbl</v>
      </c>
      <c r="I111" t="str">
        <f>Tracker[[#This Row],[DCRType]]</f>
        <v>Defect</v>
      </c>
      <c r="J111" t="str">
        <f>Tracker[[#This Row],[PRCRState]]</f>
        <v>Evaluate</v>
      </c>
      <c r="K111">
        <f>Tracker[[#This Row],[Planned Start Date
&lt;dd-mm-yyyy&gt;]]</f>
        <v>0</v>
      </c>
      <c r="L111">
        <f>Tracker[[#This Row],[Planned Completion Date
&lt;dd-mm-yyyy&gt;]]</f>
        <v>46154</v>
      </c>
      <c r="M111">
        <f>Tracker[[#This Row],[Actual Start Date
&lt;dd-mm-yyyy&gt;]]</f>
        <v>0</v>
      </c>
      <c r="N111">
        <f>Tracker[[#This Row],[Actual Cmpln Date
&lt;dd-mm-yyyy&gt;]]</f>
        <v>46155</v>
      </c>
      <c r="O111" t="str">
        <f>Tracker[[#This Row],[At Risk]]</f>
        <v>Closed</v>
      </c>
      <c r="P111" t="str">
        <f>Tracker[[#This Row],[
Biz Type]]</f>
        <v>PFS</v>
      </c>
      <c r="Q111" t="str">
        <f t="shared" si="3"/>
        <v>Prathyusha Gu</v>
      </c>
    </row>
    <row r="112" spans="1:17">
      <c r="A112" t="str">
        <f>Tracker[[#This Row],[DCR Owner]]</f>
        <v>Prathyusha Guttapalem (ag14k)</v>
      </c>
      <c r="B112" t="str">
        <f t="shared" si="2"/>
        <v>Prathyusha Guttapalem</v>
      </c>
      <c r="C112">
        <f>Tracker[[#This Row],[DCR ID - PTC]]</f>
        <v>19532799</v>
      </c>
      <c r="D112" t="s">
        <v>1886</v>
      </c>
      <c r="E112">
        <f>Tracker[[#This Row],[Estimated Hrs]]</f>
        <v>0</v>
      </c>
      <c r="F112">
        <f>Tracker[[#This Row],[Actual Efforts (Hrs)]]</f>
        <v>0</v>
      </c>
      <c r="G112">
        <f>Tracker[[#This Row],[Remaining Hrs]]</f>
        <v>0</v>
      </c>
      <c r="H112" t="str">
        <f>Tracker[[#This Row],[Summary]]</f>
        <v>AFT Dual electric heater service test related changes for AftDualHtrCtrl component</v>
      </c>
      <c r="I112" t="str">
        <f>Tracker[[#This Row],[DCRType]]</f>
        <v>Change Request</v>
      </c>
      <c r="J112" t="str">
        <f>Tracker[[#This Row],[PRCRState]]</f>
        <v>Task</v>
      </c>
      <c r="K112">
        <f>Tracker[[#This Row],[Planned Start Date
&lt;dd-mm-yyyy&gt;]]</f>
        <v>0</v>
      </c>
      <c r="L112">
        <f>Tracker[[#This Row],[Planned Completion Date
&lt;dd-mm-yyyy&gt;]]</f>
        <v>0</v>
      </c>
      <c r="M112">
        <f>Tracker[[#This Row],[Actual Start Date
&lt;dd-mm-yyyy&gt;]]</f>
        <v>0</v>
      </c>
      <c r="N112">
        <f>Tracker[[#This Row],[Actual Cmpln Date
&lt;dd-mm-yyyy&gt;]]</f>
        <v>0</v>
      </c>
      <c r="O112" t="str">
        <f>Tracker[[#This Row],[At Risk]]</f>
        <v>Yet to start</v>
      </c>
      <c r="P112">
        <f>Tracker[[#This Row],[
Biz Type]]</f>
        <v>0</v>
      </c>
      <c r="Q112" t="str">
        <f t="shared" si="3"/>
        <v>Prathyusha Gu</v>
      </c>
    </row>
    <row r="113" spans="1:17" hidden="1">
      <c r="A113" t="str">
        <f>Tracker[[#This Row],[DCR Owner]]</f>
        <v>Prathyusha Guttapalem (ag14k)</v>
      </c>
      <c r="B113" t="str">
        <f t="shared" si="2"/>
        <v>Prathyusha Guttapalem</v>
      </c>
      <c r="C113">
        <f>Tracker[[#This Row],[DCR ID - PTC]]</f>
        <v>19459316</v>
      </c>
      <c r="D113" t="s">
        <v>1886</v>
      </c>
      <c r="E113">
        <f>Tracker[[#This Row],[Estimated Hrs]]</f>
        <v>44</v>
      </c>
      <c r="F113">
        <f>Tracker[[#This Row],[Actual Efforts (Hrs)]]</f>
        <v>58.5</v>
      </c>
      <c r="G113">
        <f>Tracker[[#This Row],[Remaining Hrs]]</f>
        <v>-14.5</v>
      </c>
      <c r="H113" t="str">
        <f>Tracker[[#This Row],[Summary]]</f>
        <v>MY27 Fracas160849MY27: DPSLE Ash Adjustment increasing during the LLC cycle #8944</v>
      </c>
      <c r="I113" t="str">
        <f>Tracker[[#This Row],[DCRType]]</f>
        <v>Defect</v>
      </c>
      <c r="J113" t="str">
        <f>Tracker[[#This Row],[PRCRState]]</f>
        <v>Implement</v>
      </c>
      <c r="K113">
        <f>Tracker[[#This Row],[Planned Start Date
&lt;dd-mm-yyyy&gt;]]</f>
        <v>0</v>
      </c>
      <c r="L113">
        <f>Tracker[[#This Row],[Planned Completion Date
&lt;dd-mm-yyyy&gt;]]</f>
        <v>46164</v>
      </c>
      <c r="M113">
        <f>Tracker[[#This Row],[Actual Start Date
&lt;dd-mm-yyyy&gt;]]</f>
        <v>0</v>
      </c>
      <c r="N113">
        <f>Tracker[[#This Row],[Actual Cmpln Date
&lt;dd-mm-yyyy&gt;]]</f>
        <v>46168</v>
      </c>
      <c r="O113" t="str">
        <f>Tracker[[#This Row],[At Risk]]</f>
        <v>Closed</v>
      </c>
      <c r="P113" t="e">
        <v>#REF!</v>
      </c>
      <c r="Q113" t="str">
        <f t="shared" si="3"/>
        <v>Prathyusha Gu</v>
      </c>
    </row>
    <row r="114" spans="1:17" hidden="1">
      <c r="A114" t="str">
        <f>Tracker[[#This Row],[DCR Owner]]</f>
        <v>Prathyusha Guttapalem (ag14k)</v>
      </c>
      <c r="B114" t="str">
        <f t="shared" si="2"/>
        <v>Prathyusha Guttapalem</v>
      </c>
      <c r="C114">
        <f>Tracker[[#This Row],[DCR ID - PTC]]</f>
        <v>19552762</v>
      </c>
      <c r="D114" t="s">
        <v>1886</v>
      </c>
      <c r="E114">
        <f>Tracker[[#This Row],[Estimated Hrs]]</f>
        <v>0</v>
      </c>
      <c r="F114">
        <f>Tracker[[#This Row],[Actual Efforts (Hrs)]]</f>
        <v>0</v>
      </c>
      <c r="G114">
        <f>Tracker[[#This Row],[Remaining Hrs]]</f>
        <v>0</v>
      </c>
      <c r="H114" t="str">
        <f>Tracker[[#This Row],[Summary]]</f>
        <v>AftSootFiltMgrDeepCleanAdj Change the input port name from ppCaDiesPartFiltRstrcTestToolEnbl_deVal to ppCaFtis5492DPFRstrcTestDispEnbl</v>
      </c>
      <c r="I114" t="str">
        <f>Tracker[[#This Row],[DCRType]]</f>
        <v>Defect</v>
      </c>
      <c r="J114" t="str">
        <f>Tracker[[#This Row],[PRCRState]]</f>
        <v>Implement</v>
      </c>
      <c r="K114">
        <f>Tracker[[#This Row],[Planned Start Date
&lt;dd-mm-yyyy&gt;]]</f>
        <v>0</v>
      </c>
      <c r="L114">
        <f>Tracker[[#This Row],[Planned Completion Date
&lt;dd-mm-yyyy&gt;]]</f>
        <v>46164</v>
      </c>
      <c r="M114">
        <f>Tracker[[#This Row],[Actual Start Date
&lt;dd-mm-yyyy&gt;]]</f>
        <v>0</v>
      </c>
      <c r="N114">
        <f>Tracker[[#This Row],[Actual Cmpln Date
&lt;dd-mm-yyyy&gt;]]</f>
        <v>46168</v>
      </c>
      <c r="O114" t="str">
        <f>Tracker[[#This Row],[At Risk]]</f>
        <v>Closed</v>
      </c>
      <c r="P114" t="e">
        <v>#REF!</v>
      </c>
      <c r="Q114" t="str">
        <f t="shared" si="3"/>
        <v>Prathyusha Gu</v>
      </c>
    </row>
    <row r="115" spans="1:17" hidden="1">
      <c r="A115" t="str">
        <f>Tracker[[#This Row],[DCR Owner]]</f>
        <v>Prathyusha Guttapalem (ag14k) / Arpitha  K</v>
      </c>
      <c r="B115" t="str">
        <f t="shared" si="2"/>
        <v>Prathyusha Guttapalem (ag14k) / Ar</v>
      </c>
      <c r="C115">
        <f>Tracker[[#This Row],[DCR ID - PTC]]</f>
        <v>17625100</v>
      </c>
      <c r="D115" t="s">
        <v>1886</v>
      </c>
      <c r="E115">
        <f>Tracker[[#This Row],[Estimated Hrs]]</f>
        <v>80</v>
      </c>
      <c r="F115">
        <f>Tracker[[#This Row],[Actual Efforts (Hrs)]]</f>
        <v>155.5</v>
      </c>
      <c r="G115">
        <f>Tracker[[#This Row],[Remaining Hrs]]</f>
        <v>0</v>
      </c>
      <c r="H115" t="str">
        <f>Tracker[[#This Row],[Summary]]</f>
        <v>AftDiesOxidCatPIDFdbkCtrl: Update application guide(s) of component to provide complete parameter object description coverage, parameter usage specification and to update information per missing sections of application guide template</v>
      </c>
      <c r="I115" t="str">
        <f>Tracker[[#This Row],[DCRType]]</f>
        <v>Change Request</v>
      </c>
      <c r="J115" t="str">
        <f>Tracker[[#This Row],[PRCRState]]</f>
        <v>Implement</v>
      </c>
      <c r="K115">
        <f>Tracker[[#This Row],[Planned Start Date
&lt;dd-mm-yyyy&gt;]]</f>
        <v>0</v>
      </c>
      <c r="L115">
        <f>Tracker[[#This Row],[Planned Completion Date
&lt;dd-mm-yyyy&gt;]]</f>
        <v>0</v>
      </c>
      <c r="M115">
        <f>Tracker[[#This Row],[Actual Start Date
&lt;dd-mm-yyyy&gt;]]</f>
        <v>0</v>
      </c>
      <c r="N115">
        <f>Tracker[[#This Row],[Actual Cmpln Date
&lt;dd-mm-yyyy&gt;]]</f>
        <v>0</v>
      </c>
      <c r="O115" t="str">
        <f>Tracker[[#This Row],[At Risk]]</f>
        <v>On Track</v>
      </c>
      <c r="P115" t="e">
        <v>#REF!</v>
      </c>
      <c r="Q115" t="str">
        <f t="shared" si="3"/>
        <v>Prathyusha Guttapalem (ag1</v>
      </c>
    </row>
    <row r="116" spans="1:17" hidden="1">
      <c r="A116" t="str">
        <f>Tracker[[#This Row],[DCR Owner]]</f>
        <v>Prathyusha Guttapalem (ag14k) / Arpitha  K</v>
      </c>
      <c r="B116" t="str">
        <f t="shared" si="2"/>
        <v>Prathyusha Guttapalem (ag14k) / Ar</v>
      </c>
      <c r="C116">
        <f>Tracker[[#This Row],[DCR ID - PTC]]</f>
        <v>17625104</v>
      </c>
      <c r="D116" t="s">
        <v>1886</v>
      </c>
      <c r="E116">
        <f>Tracker[[#This Row],[Estimated Hrs]]</f>
        <v>0</v>
      </c>
      <c r="F116">
        <f>Tracker[[#This Row],[Actual Efforts (Hrs)]]</f>
        <v>0</v>
      </c>
      <c r="G116">
        <f>Tracker[[#This Row],[Remaining Hrs]]</f>
        <v>0</v>
      </c>
      <c r="H116" t="str">
        <f>Tracker[[#This Row],[Summary]]</f>
        <v>AftDiesOxidCatPIDFdbkCtrl: Clean up App-guide(s) for non-CMI customer reported issues</v>
      </c>
      <c r="I116" t="str">
        <f>Tracker[[#This Row],[DCRType]]</f>
        <v>Change Request</v>
      </c>
      <c r="J116" t="str">
        <f>Tracker[[#This Row],[PRCRState]]</f>
        <v>Implement</v>
      </c>
      <c r="K116">
        <f>Tracker[[#This Row],[Planned Start Date
&lt;dd-mm-yyyy&gt;]]</f>
        <v>0</v>
      </c>
      <c r="L116">
        <f>Tracker[[#This Row],[Planned Completion Date
&lt;dd-mm-yyyy&gt;]]</f>
        <v>0</v>
      </c>
      <c r="M116">
        <f>Tracker[[#This Row],[Actual Start Date
&lt;dd-mm-yyyy&gt;]]</f>
        <v>0</v>
      </c>
      <c r="N116">
        <f>Tracker[[#This Row],[Actual Cmpln Date
&lt;dd-mm-yyyy&gt;]]</f>
        <v>0</v>
      </c>
      <c r="O116" t="str">
        <f>Tracker[[#This Row],[At Risk]]</f>
        <v>On Track</v>
      </c>
      <c r="P116" t="e">
        <v>#REF!</v>
      </c>
      <c r="Q116" t="str">
        <f t="shared" si="3"/>
        <v>Prathyusha Guttapalem (ag1</v>
      </c>
    </row>
    <row r="117" spans="1:17" hidden="1">
      <c r="A117" t="str">
        <f>Tracker[[#This Row],[DCR Owner]]</f>
        <v>sheetal Vishwakarma (wa663)</v>
      </c>
      <c r="B117" t="str">
        <f t="shared" si="2"/>
        <v>sheetal Vishwakarma</v>
      </c>
      <c r="C117">
        <f>Tracker[[#This Row],[DCR ID - PTC]]</f>
        <v>17119319</v>
      </c>
      <c r="D117" t="s">
        <v>1886</v>
      </c>
      <c r="E117">
        <f>Tracker[[#This Row],[Estimated Hrs]]</f>
        <v>0</v>
      </c>
      <c r="F117">
        <f>Tracker[[#This Row],[Actual Efforts (Hrs)]]</f>
        <v>0</v>
      </c>
      <c r="G117">
        <f>Tracker[[#This Row],[Remaining Hrs]]</f>
        <v>0</v>
      </c>
      <c r="H117" t="str">
        <f>Tracker[[#This Row],[Summary]]</f>
        <v>TD7419 - DPF Filt Eff Error - Cal name not representative of use compared to Core2</v>
      </c>
      <c r="I117" t="str">
        <f>Tracker[[#This Row],[DCRType]]</f>
        <v>Change Request</v>
      </c>
      <c r="J117">
        <f>Tracker[[#This Row],[PRCRState]]</f>
        <v>0</v>
      </c>
      <c r="K117">
        <f>Tracker[[#This Row],[Planned Start Date
&lt;dd-mm-yyyy&gt;]]</f>
        <v>0</v>
      </c>
      <c r="L117">
        <f>Tracker[[#This Row],[Planned Completion Date
&lt;dd-mm-yyyy&gt;]]</f>
        <v>0</v>
      </c>
      <c r="M117">
        <f>Tracker[[#This Row],[Actual Start Date
&lt;dd-mm-yyyy&gt;]]</f>
        <v>0</v>
      </c>
      <c r="N117">
        <f>Tracker[[#This Row],[Actual Cmpln Date
&lt;dd-mm-yyyy&gt;]]</f>
        <v>0</v>
      </c>
      <c r="O117">
        <f>Tracker[[#This Row],[At Risk]]</f>
        <v>0</v>
      </c>
      <c r="P117" t="e">
        <v>#REF!</v>
      </c>
      <c r="Q117" t="str">
        <f t="shared" si="3"/>
        <v>sheetal Vis</v>
      </c>
    </row>
    <row r="118" spans="1:17" hidden="1">
      <c r="A118" t="str">
        <f>Tracker[[#This Row],[DCR Owner]]</f>
        <v>sheetal Vishwakarma (wa663)</v>
      </c>
      <c r="B118" t="str">
        <f t="shared" si="2"/>
        <v>sheetal Vishwakarma</v>
      </c>
      <c r="C118">
        <f>Tracker[[#This Row],[DCR ID - PTC]]</f>
        <v>18480332</v>
      </c>
      <c r="D118" t="s">
        <v>1886</v>
      </c>
      <c r="E118">
        <f>Tracker[[#This Row],[Estimated Hrs]]</f>
        <v>0</v>
      </c>
      <c r="F118">
        <f>Tracker[[#This Row],[Actual Efforts (Hrs)]]</f>
        <v>0</v>
      </c>
      <c r="G118">
        <f>Tracker[[#This Row],[Remaining Hrs]]</f>
        <v>0</v>
      </c>
      <c r="H118" t="str">
        <f>Tracker[[#This Row],[Summary]]</f>
        <v>Need to removing Upshift Mode from Enum constant - AftElecHtrProc2 Component</v>
      </c>
      <c r="I118" t="str">
        <f>Tracker[[#This Row],[DCRType]]</f>
        <v>Change Request</v>
      </c>
      <c r="J118">
        <f>Tracker[[#This Row],[PRCRState]]</f>
        <v>0</v>
      </c>
      <c r="K118">
        <f>Tracker[[#This Row],[Planned Start Date
&lt;dd-mm-yyyy&gt;]]</f>
        <v>0</v>
      </c>
      <c r="L118">
        <f>Tracker[[#This Row],[Planned Completion Date
&lt;dd-mm-yyyy&gt;]]</f>
        <v>0</v>
      </c>
      <c r="M118">
        <f>Tracker[[#This Row],[Actual Start Date
&lt;dd-mm-yyyy&gt;]]</f>
        <v>0</v>
      </c>
      <c r="N118">
        <f>Tracker[[#This Row],[Actual Cmpln Date
&lt;dd-mm-yyyy&gt;]]</f>
        <v>0</v>
      </c>
      <c r="O118">
        <f>Tracker[[#This Row],[At Risk]]</f>
        <v>0</v>
      </c>
      <c r="P118" t="e">
        <v>#REF!</v>
      </c>
      <c r="Q118" t="str">
        <f t="shared" si="3"/>
        <v>sheetal Vis</v>
      </c>
    </row>
    <row r="119" spans="1:17" hidden="1">
      <c r="A119" t="str">
        <f>Tracker[[#This Row],[DCR Owner]]</f>
        <v>Sumitkumar Patil</v>
      </c>
      <c r="B119" t="str">
        <f t="shared" si="2"/>
        <v>Sumitkum</v>
      </c>
      <c r="C119">
        <f>Tracker[[#This Row],[DCR ID - PTC]]</f>
        <v>18901997</v>
      </c>
      <c r="D119" t="s">
        <v>1886</v>
      </c>
      <c r="E119">
        <f>Tracker[[#This Row],[Estimated Hrs]]</f>
        <v>0</v>
      </c>
      <c r="F119">
        <f>Tracker[[#This Row],[Actual Efforts (Hrs)]]</f>
        <v>6.5</v>
      </c>
      <c r="G119">
        <f>Tracker[[#This Row],[Remaining Hrs]]</f>
        <v>0</v>
      </c>
      <c r="H119" t="str">
        <f>Tracker[[#This Row],[Summary]]</f>
        <v>E-heater Stuck on error diagnostic logic update</v>
      </c>
      <c r="I119" t="str">
        <f>Tracker[[#This Row],[DCRType]]</f>
        <v>Defect</v>
      </c>
      <c r="J119" t="str">
        <f>Tracker[[#This Row],[PRCRState]]</f>
        <v>Task</v>
      </c>
      <c r="K119">
        <f>Tracker[[#This Row],[Planned Start Date
&lt;dd-mm-yyyy&gt;]]</f>
        <v>0</v>
      </c>
      <c r="L119">
        <f>Tracker[[#This Row],[Planned Completion Date
&lt;dd-mm-yyyy&gt;]]</f>
        <v>0</v>
      </c>
      <c r="M119">
        <f>Tracker[[#This Row],[Actual Start Date
&lt;dd-mm-yyyy&gt;]]</f>
        <v>0</v>
      </c>
      <c r="N119">
        <f>Tracker[[#This Row],[Actual Cmpln Date
&lt;dd-mm-yyyy&gt;]]</f>
        <v>0</v>
      </c>
      <c r="O119" t="str">
        <f>Tracker[[#This Row],[At Risk]]</f>
        <v>On Track</v>
      </c>
      <c r="P119" t="e">
        <v>#REF!</v>
      </c>
      <c r="Q119" t="str">
        <f t="shared" si="3"/>
        <v/>
      </c>
    </row>
    <row r="120" spans="1:17" hidden="1">
      <c r="A120" t="str">
        <f>Tracker[[#This Row],[DCR Owner]]</f>
        <v>sheetal Vishwakarma (wa663)</v>
      </c>
      <c r="B120" t="str">
        <f t="shared" si="2"/>
        <v>sheetal Vishwakarma</v>
      </c>
      <c r="C120">
        <f>Tracker[[#This Row],[DCR ID - PTC]]</f>
        <v>18929504</v>
      </c>
      <c r="D120" t="s">
        <v>1886</v>
      </c>
      <c r="E120">
        <f>Tracker[[#This Row],[Estimated Hrs]]</f>
        <v>0</v>
      </c>
      <c r="F120">
        <f>Tracker[[#This Row],[Actual Efforts (Hrs)]]</f>
        <v>0</v>
      </c>
      <c r="G120">
        <f>Tracker[[#This Row],[Remaining Hrs]]</f>
        <v>0</v>
      </c>
      <c r="H120" t="str">
        <f>Tracker[[#This Row],[Summary]]</f>
        <v>Titanium AftElecHtrDiag: Heater 48V 48V IRL diagnostics false fault.</v>
      </c>
      <c r="I120" t="str">
        <f>Tracker[[#This Row],[DCRType]]</f>
        <v>Defect</v>
      </c>
      <c r="J120">
        <f>Tracker[[#This Row],[PRCRState]]</f>
        <v>0</v>
      </c>
      <c r="K120">
        <f>Tracker[[#This Row],[Planned Start Date
&lt;dd-mm-yyyy&gt;]]</f>
        <v>0</v>
      </c>
      <c r="L120">
        <f>Tracker[[#This Row],[Planned Completion Date
&lt;dd-mm-yyyy&gt;]]</f>
        <v>0</v>
      </c>
      <c r="M120">
        <f>Tracker[[#This Row],[Actual Start Date
&lt;dd-mm-yyyy&gt;]]</f>
        <v>0</v>
      </c>
      <c r="N120">
        <f>Tracker[[#This Row],[Actual Cmpln Date
&lt;dd-mm-yyyy&gt;]]</f>
        <v>0</v>
      </c>
      <c r="O120">
        <f>Tracker[[#This Row],[At Risk]]</f>
        <v>0</v>
      </c>
      <c r="P120" t="e">
        <v>#REF!</v>
      </c>
      <c r="Q120" t="str">
        <f t="shared" si="3"/>
        <v>sheetal Vis</v>
      </c>
    </row>
    <row r="121" spans="1:17" hidden="1">
      <c r="A121" t="str">
        <f>Tracker[[#This Row],[DCR Owner]]</f>
        <v>sheetal Vishwakarma (wa663)</v>
      </c>
      <c r="B121" t="str">
        <f t="shared" si="2"/>
        <v>sheetal Vishwakarma</v>
      </c>
      <c r="C121">
        <f>Tracker[[#This Row],[DCR ID - PTC]]</f>
        <v>19391708</v>
      </c>
      <c r="D121" t="s">
        <v>1886</v>
      </c>
      <c r="E121">
        <f>Tracker[[#This Row],[Estimated Hrs]]</f>
        <v>0</v>
      </c>
      <c r="F121">
        <f>Tracker[[#This Row],[Actual Efforts (Hrs)]]</f>
        <v>0</v>
      </c>
      <c r="G121">
        <f>Tracker[[#This Row],[Remaining Hrs]]</f>
        <v>0</v>
      </c>
      <c r="H121" t="str">
        <f>Tracker[[#This Row],[Summary]]</f>
        <v>TD9310 - HCU FET Temperature too High fault for DOC HCU Functionality Issue</v>
      </c>
      <c r="I121" t="str">
        <f>Tracker[[#This Row],[DCRType]]</f>
        <v>Defect</v>
      </c>
      <c r="J121">
        <f>Tracker[[#This Row],[PRCRState]]</f>
        <v>0</v>
      </c>
      <c r="K121">
        <f>Tracker[[#This Row],[Planned Start Date
&lt;dd-mm-yyyy&gt;]]</f>
        <v>0</v>
      </c>
      <c r="L121">
        <f>Tracker[[#This Row],[Planned Completion Date
&lt;dd-mm-yyyy&gt;]]</f>
        <v>0</v>
      </c>
      <c r="M121">
        <f>Tracker[[#This Row],[Actual Start Date
&lt;dd-mm-yyyy&gt;]]</f>
        <v>0</v>
      </c>
      <c r="N121">
        <f>Tracker[[#This Row],[Actual Cmpln Date
&lt;dd-mm-yyyy&gt;]]</f>
        <v>0</v>
      </c>
      <c r="O121">
        <f>Tracker[[#This Row],[At Risk]]</f>
        <v>0</v>
      </c>
      <c r="P121" t="e">
        <v>#REF!</v>
      </c>
      <c r="Q121" t="str">
        <f t="shared" si="3"/>
        <v>sheetal Vis</v>
      </c>
    </row>
    <row r="122" spans="1:17" hidden="1">
      <c r="A122" t="str">
        <f>Tracker[[#This Row],[DCR Owner]]</f>
        <v>sheetal Vishwakarma (wa663)</v>
      </c>
      <c r="B122" t="str">
        <f t="shared" si="2"/>
        <v>sheetal Vishwakarma</v>
      </c>
      <c r="C122">
        <f>Tracker[[#This Row],[DCR ID - PTC]]</f>
        <v>17965355</v>
      </c>
      <c r="D122" t="s">
        <v>1886</v>
      </c>
      <c r="E122">
        <f>Tracker[[#This Row],[Estimated Hrs]]</f>
        <v>0</v>
      </c>
      <c r="F122">
        <f>Tracker[[#This Row],[Actual Efforts (Hrs)]]</f>
        <v>0</v>
      </c>
      <c r="G122">
        <f>Tracker[[#This Row],[Remaining Hrs]]</f>
        <v>0</v>
      </c>
      <c r="H122" t="str">
        <f>Tracker[[#This Row],[Summary]]</f>
        <v>Dual eHTR Regen Controller not interfaced with Proc components correctly - AftElecHtrProc2 Component</v>
      </c>
      <c r="I122" t="str">
        <f>Tracker[[#This Row],[DCRType]]</f>
        <v>Defect</v>
      </c>
      <c r="J122" t="str">
        <f>Tracker[[#This Row],[PRCRState]]</f>
        <v>Task</v>
      </c>
      <c r="K122">
        <f>Tracker[[#This Row],[Planned Start Date
&lt;dd-mm-yyyy&gt;]]</f>
        <v>0</v>
      </c>
      <c r="L122">
        <f>Tracker[[#This Row],[Planned Completion Date
&lt;dd-mm-yyyy&gt;]]</f>
        <v>0</v>
      </c>
      <c r="M122">
        <f>Tracker[[#This Row],[Actual Start Date
&lt;dd-mm-yyyy&gt;]]</f>
        <v>0</v>
      </c>
      <c r="N122">
        <f>Tracker[[#This Row],[Actual Cmpln Date
&lt;dd-mm-yyyy&gt;]]</f>
        <v>0</v>
      </c>
      <c r="O122">
        <f>Tracker[[#This Row],[At Risk]]</f>
        <v>0</v>
      </c>
      <c r="P122" t="e">
        <v>#REF!</v>
      </c>
      <c r="Q122" t="str">
        <f t="shared" si="3"/>
        <v>sheetal Vis</v>
      </c>
    </row>
    <row r="123" spans="1:17">
      <c r="A123" t="str">
        <f>Tracker[[#This Row],[DCR Owner]]</f>
        <v>sheetal Vishwakarma (wa663)</v>
      </c>
      <c r="B123" t="str">
        <f t="shared" si="2"/>
        <v>sheetal Vishwakarma</v>
      </c>
      <c r="C123">
        <f>Tracker[[#This Row],[DCR ID - PTC]]</f>
        <v>19564373</v>
      </c>
      <c r="D123" t="s">
        <v>1886</v>
      </c>
      <c r="E123">
        <f>Tracker[[#This Row],[Estimated Hrs]]</f>
        <v>30</v>
      </c>
      <c r="F123">
        <f>Tracker[[#This Row],[Actual Efforts (Hrs)]]</f>
        <v>32</v>
      </c>
      <c r="G123">
        <f>Tracker[[#This Row],[Remaining Hrs]]</f>
        <v>-2</v>
      </c>
      <c r="H123" t="str">
        <f>Tracker[[#This Row],[Summary]]</f>
        <v>Pre DOC heater disable logic update required as it needs to be considered only when eheater service test is triggered</v>
      </c>
      <c r="I123" t="str">
        <f>Tracker[[#This Row],[DCRType]]</f>
        <v>Change Request</v>
      </c>
      <c r="J123" t="str">
        <f>Tracker[[#This Row],[PRCRState]]</f>
        <v>Evaluate</v>
      </c>
      <c r="K123">
        <f>Tracker[[#This Row],[Planned Start Date
&lt;dd-mm-yyyy&gt;]]</f>
        <v>0</v>
      </c>
      <c r="L123">
        <f>Tracker[[#This Row],[Planned Completion Date
&lt;dd-mm-yyyy&gt;]]</f>
        <v>46157</v>
      </c>
      <c r="M123">
        <f>Tracker[[#This Row],[Actual Start Date
&lt;dd-mm-yyyy&gt;]]</f>
        <v>0</v>
      </c>
      <c r="N123">
        <f>Tracker[[#This Row],[Actual Cmpln Date
&lt;dd-mm-yyyy&gt;]]</f>
        <v>46160</v>
      </c>
      <c r="O123" t="str">
        <f>Tracker[[#This Row],[At Risk]]</f>
        <v>Closed</v>
      </c>
      <c r="P123" t="str">
        <f>Tracker[[#This Row],[
Biz Type]]</f>
        <v>PFS</v>
      </c>
      <c r="Q123" t="str">
        <f t="shared" si="3"/>
        <v>sheetal Vis</v>
      </c>
    </row>
    <row r="124" spans="1:17" hidden="1">
      <c r="A124" t="str">
        <f>Tracker[[#This Row],[DCR Owner]]</f>
        <v>sheetal Vishwakarma (wa663)</v>
      </c>
      <c r="B124" t="str">
        <f t="shared" si="2"/>
        <v>sheetal Vishwakarma</v>
      </c>
      <c r="C124">
        <f>Tracker[[#This Row],[DCR ID - PTC]]</f>
        <v>19564373</v>
      </c>
      <c r="D124" t="s">
        <v>1886</v>
      </c>
      <c r="E124">
        <f>Tracker[[#This Row],[Estimated Hrs]]</f>
        <v>32.5</v>
      </c>
      <c r="F124">
        <f>Tracker[[#This Row],[Actual Efforts (Hrs)]]</f>
        <v>26</v>
      </c>
      <c r="G124">
        <f>Tracker[[#This Row],[Remaining Hrs]]</f>
        <v>6.5</v>
      </c>
      <c r="H124" t="str">
        <f>Tracker[[#This Row],[Summary]]</f>
        <v>Pre DOC heater disable logic update required as it needs to be considered only when eheater service test is triggered</v>
      </c>
      <c r="I124" t="str">
        <f>Tracker[[#This Row],[DCRType]]</f>
        <v>Change Request</v>
      </c>
      <c r="J124" t="str">
        <f>Tracker[[#This Row],[PRCRState]]</f>
        <v>Implement</v>
      </c>
      <c r="K124">
        <f>Tracker[[#This Row],[Planned Start Date
&lt;dd-mm-yyyy&gt;]]</f>
        <v>0</v>
      </c>
      <c r="L124">
        <f>Tracker[[#This Row],[Planned Completion Date
&lt;dd-mm-yyyy&gt;]]</f>
        <v>46164</v>
      </c>
      <c r="M124">
        <f>Tracker[[#This Row],[Actual Start Date
&lt;dd-mm-yyyy&gt;]]</f>
        <v>0</v>
      </c>
      <c r="N124">
        <f>Tracker[[#This Row],[Actual Cmpln Date
&lt;dd-mm-yyyy&gt;]]</f>
        <v>46164</v>
      </c>
      <c r="O124" t="str">
        <f>Tracker[[#This Row],[At Risk]]</f>
        <v>Closed</v>
      </c>
      <c r="P124" t="e">
        <v>#REF!</v>
      </c>
      <c r="Q124" t="str">
        <f t="shared" si="3"/>
        <v>sheetal Vis</v>
      </c>
    </row>
    <row r="125" spans="1:17" hidden="1">
      <c r="A125" t="str">
        <f>Tracker[[#This Row],[DCR Owner]]</f>
        <v>shrutika shete (ac06r)</v>
      </c>
      <c r="B125" t="str">
        <f t="shared" si="2"/>
        <v>shrutika shete</v>
      </c>
      <c r="C125">
        <f>Tracker[[#This Row],[DCR ID - PTC]]</f>
        <v>15834223</v>
      </c>
      <c r="D125" t="s">
        <v>1886</v>
      </c>
      <c r="E125">
        <f>Tracker[[#This Row],[Estimated Hrs]]</f>
        <v>0</v>
      </c>
      <c r="F125">
        <f>Tracker[[#This Row],[Actual Efforts (Hrs)]]</f>
        <v>61.75</v>
      </c>
      <c r="G125">
        <f>Tracker[[#This Row],[Remaining Hrs]]</f>
        <v>0</v>
      </c>
      <c r="H125" t="str">
        <f>Tracker[[#This Row],[Summary]]</f>
        <v>DDP work (MS4-5) - eHTR Diag2 [second HCU]</v>
      </c>
      <c r="I125" t="str">
        <f>Tracker[[#This Row],[DCRType]]</f>
        <v>Change Request</v>
      </c>
      <c r="J125" t="str">
        <f>Tracker[[#This Row],[PRCRState]]</f>
        <v>Task</v>
      </c>
      <c r="K125">
        <f>Tracker[[#This Row],[Planned Start Date
&lt;dd-mm-yyyy&gt;]]</f>
        <v>0</v>
      </c>
      <c r="L125">
        <f>Tracker[[#This Row],[Planned Completion Date
&lt;dd-mm-yyyy&gt;]]</f>
        <v>0</v>
      </c>
      <c r="M125">
        <f>Tracker[[#This Row],[Actual Start Date
&lt;dd-mm-yyyy&gt;]]</f>
        <v>0</v>
      </c>
      <c r="N125">
        <f>Tracker[[#This Row],[Actual Cmpln Date
&lt;dd-mm-yyyy&gt;]]</f>
        <v>0</v>
      </c>
      <c r="O125" t="str">
        <f>Tracker[[#This Row],[At Risk]]</f>
        <v>On Track</v>
      </c>
      <c r="P125" t="e">
        <v>#REF!</v>
      </c>
      <c r="Q125" t="str">
        <f t="shared" si="3"/>
        <v>shruti</v>
      </c>
    </row>
    <row r="126" spans="1:17" hidden="1">
      <c r="A126" t="str">
        <f>Tracker[[#This Row],[DCR Owner]]</f>
        <v>Indumathi M</v>
      </c>
      <c r="B126" t="str">
        <f t="shared" si="2"/>
        <v>Ind</v>
      </c>
      <c r="C126">
        <f>Tracker[[#This Row],[DCR ID - PTC]]</f>
        <v>19553713</v>
      </c>
      <c r="D126" t="s">
        <v>1886</v>
      </c>
      <c r="E126">
        <f>Tracker[[#This Row],[Estimated Hrs]]</f>
        <v>0</v>
      </c>
      <c r="F126">
        <f>Tracker[[#This Row],[Actual Efforts (Hrs)]]</f>
        <v>76.5</v>
      </c>
      <c r="G126">
        <f>Tracker[[#This Row],[Remaining Hrs]]</f>
        <v>0</v>
      </c>
      <c r="H126" t="str">
        <f>Tracker[[#This Row],[Summary]]</f>
        <v>Create missing OBD Capability Parameters for Titanium/Legend/DAF</v>
      </c>
      <c r="I126" t="str">
        <f>Tracker[[#This Row],[DCRType]]</f>
        <v>Change Request</v>
      </c>
      <c r="J126" t="str">
        <f>Tracker[[#This Row],[PRCRState]]</f>
        <v>Evaluate</v>
      </c>
      <c r="K126">
        <f>Tracker[[#This Row],[Planned Start Date
&lt;dd-mm-yyyy&gt;]]</f>
        <v>0</v>
      </c>
      <c r="L126">
        <f>Tracker[[#This Row],[Planned Completion Date
&lt;dd-mm-yyyy&gt;]]</f>
        <v>0</v>
      </c>
      <c r="M126">
        <f>Tracker[[#This Row],[Actual Start Date
&lt;dd-mm-yyyy&gt;]]</f>
        <v>0</v>
      </c>
      <c r="N126">
        <f>Tracker[[#This Row],[Actual Cmpln Date
&lt;dd-mm-yyyy&gt;]]</f>
        <v>0</v>
      </c>
      <c r="O126" t="str">
        <f>Tracker[[#This Row],[At Risk]]</f>
        <v>Closed</v>
      </c>
      <c r="P126" t="e">
        <v>#REF!</v>
      </c>
      <c r="Q126" t="e">
        <f t="shared" si="3"/>
        <v>#VALUE!</v>
      </c>
    </row>
    <row r="127" spans="1:17" hidden="1">
      <c r="A127" t="str">
        <f>Tracker[[#This Row],[DCR Owner]]</f>
        <v>Indumathi M</v>
      </c>
      <c r="B127" t="str">
        <f t="shared" si="2"/>
        <v>Ind</v>
      </c>
      <c r="C127">
        <f>Tracker[[#This Row],[DCR ID - PTC]]</f>
        <v>19553713</v>
      </c>
      <c r="D127" t="s">
        <v>1886</v>
      </c>
      <c r="E127">
        <f>Tracker[[#This Row],[Estimated Hrs]]</f>
        <v>135</v>
      </c>
      <c r="F127">
        <f>Tracker[[#This Row],[Actual Efforts (Hrs)]]</f>
        <v>13</v>
      </c>
      <c r="G127">
        <f>Tracker[[#This Row],[Remaining Hrs]]</f>
        <v>0</v>
      </c>
      <c r="H127" t="str">
        <f>Tracker[[#This Row],[Summary]]</f>
        <v>Create missing OBD Capability Parameters for Titanium/Legend/DAF</v>
      </c>
      <c r="I127" t="str">
        <f>Tracker[[#This Row],[DCRType]]</f>
        <v>Change Request</v>
      </c>
      <c r="J127" t="str">
        <f>Tracker[[#This Row],[PRCRState]]</f>
        <v>Implement</v>
      </c>
      <c r="K127">
        <f>Tracker[[#This Row],[Planned Start Date
&lt;dd-mm-yyyy&gt;]]</f>
        <v>0</v>
      </c>
      <c r="L127">
        <f>Tracker[[#This Row],[Planned Completion Date
&lt;dd-mm-yyyy&gt;]]</f>
        <v>0</v>
      </c>
      <c r="M127">
        <f>Tracker[[#This Row],[Actual Start Date
&lt;dd-mm-yyyy&gt;]]</f>
        <v>0</v>
      </c>
      <c r="N127">
        <f>Tracker[[#This Row],[Actual Cmpln Date
&lt;dd-mm-yyyy&gt;]]</f>
        <v>0</v>
      </c>
      <c r="O127" t="str">
        <f>Tracker[[#This Row],[At Risk]]</f>
        <v>On Track</v>
      </c>
      <c r="P127" t="e">
        <v>#REF!</v>
      </c>
      <c r="Q127" t="e">
        <f t="shared" si="3"/>
        <v>#VALUE!</v>
      </c>
    </row>
    <row r="128" spans="1:17" hidden="1">
      <c r="A128" t="str">
        <f>Tracker[[#This Row],[DCR Owner]]</f>
        <v>Srinadh Vadlamudi (wf326)</v>
      </c>
      <c r="B128" t="str">
        <f t="shared" si="2"/>
        <v>Srinadh Vadlamudi</v>
      </c>
      <c r="C128">
        <f>Tracker[[#This Row],[DCR ID - PTC]]</f>
        <v>19381827</v>
      </c>
      <c r="D128" t="s">
        <v>1886</v>
      </c>
      <c r="E128">
        <f>Tracker[[#This Row],[Estimated Hrs]]</f>
        <v>50</v>
      </c>
      <c r="F128">
        <f>Tracker[[#This Row],[Actual Efforts (Hrs)]]</f>
        <v>35</v>
      </c>
      <c r="G128">
        <f>Tracker[[#This Row],[Remaining Hrs]]</f>
        <v>15</v>
      </c>
      <c r="H128" t="str">
        <f>Tracker[[#This Row],[Summary]]</f>
        <v>AftElecHtrIPwrDDiag: Analysis of E-heater IPD stuck-on error diagnostic</v>
      </c>
      <c r="I128" t="str">
        <f>Tracker[[#This Row],[DCRType]]</f>
        <v>Change Request</v>
      </c>
      <c r="J128" t="str">
        <f>Tracker[[#This Row],[PRCRState]]</f>
        <v>Evaluate</v>
      </c>
      <c r="K128">
        <f>Tracker[[#This Row],[Planned Start Date
&lt;dd-mm-yyyy&gt;]]</f>
        <v>0</v>
      </c>
      <c r="L128">
        <f>Tracker[[#This Row],[Planned Completion Date
&lt;dd-mm-yyyy&gt;]]</f>
        <v>0</v>
      </c>
      <c r="M128">
        <f>Tracker[[#This Row],[Actual Start Date
&lt;dd-mm-yyyy&gt;]]</f>
        <v>0</v>
      </c>
      <c r="N128">
        <f>Tracker[[#This Row],[Actual Cmpln Date
&lt;dd-mm-yyyy&gt;]]</f>
        <v>0</v>
      </c>
      <c r="O128" t="str">
        <f>Tracker[[#This Row],[At Risk]]</f>
        <v>On Hold</v>
      </c>
      <c r="P128" t="e">
        <v>#REF!</v>
      </c>
      <c r="Q128" t="str">
        <f t="shared" si="3"/>
        <v>Srinadh V</v>
      </c>
    </row>
    <row r="129" spans="1:17" hidden="1">
      <c r="A129" t="str">
        <f>Tracker[[#This Row],[DCR Owner]]</f>
        <v>Srinadh Vadlamudi (wf326)</v>
      </c>
      <c r="B129" t="str">
        <f t="shared" si="2"/>
        <v>Srinadh Vadlamudi</v>
      </c>
      <c r="C129">
        <f>Tracker[[#This Row],[DCR ID - PTC]]</f>
        <v>19516003</v>
      </c>
      <c r="D129" t="s">
        <v>1886</v>
      </c>
      <c r="E129">
        <f>Tracker[[#This Row],[Estimated Hrs]]</f>
        <v>80</v>
      </c>
      <c r="F129">
        <f>Tracker[[#This Row],[Actual Efforts (Hrs)]]</f>
        <v>0</v>
      </c>
      <c r="G129">
        <f>Tracker[[#This Row],[Remaining Hrs]]</f>
        <v>0</v>
      </c>
      <c r="H129" t="str">
        <f>Tracker[[#This Row],[Summary]]</f>
        <v>AECD Interface Flags for HCU2 AECDs - Current Prot AECD 14 1b - improvement</v>
      </c>
      <c r="I129" t="str">
        <f>Tracker[[#This Row],[DCRType]]</f>
        <v>Change Request</v>
      </c>
      <c r="J129" t="str">
        <f>Tracker[[#This Row],[PRCRState]]</f>
        <v>Evaluate</v>
      </c>
      <c r="K129">
        <f>Tracker[[#This Row],[Planned Start Date
&lt;dd-mm-yyyy&gt;]]</f>
        <v>0</v>
      </c>
      <c r="L129">
        <f>Tracker[[#This Row],[Planned Completion Date
&lt;dd-mm-yyyy&gt;]]</f>
        <v>0</v>
      </c>
      <c r="M129">
        <f>Tracker[[#This Row],[Actual Start Date
&lt;dd-mm-yyyy&gt;]]</f>
        <v>0</v>
      </c>
      <c r="N129">
        <f>Tracker[[#This Row],[Actual Cmpln Date
&lt;dd-mm-yyyy&gt;]]</f>
        <v>0</v>
      </c>
      <c r="O129" t="str">
        <f>Tracker[[#This Row],[At Risk]]</f>
        <v>On Track</v>
      </c>
      <c r="P129" t="e">
        <v>#REF!</v>
      </c>
      <c r="Q129" t="str">
        <f t="shared" si="3"/>
        <v>Srinadh V</v>
      </c>
    </row>
    <row r="130" spans="1:17" hidden="1">
      <c r="A130" t="str">
        <f>Tracker[[#This Row],[DCR Owner]]</f>
        <v>Srinadh Vadlamudi (wf326)</v>
      </c>
      <c r="B130" t="str">
        <f t="shared" si="2"/>
        <v>Srinadh Vadlamudi</v>
      </c>
      <c r="C130">
        <f>Tracker[[#This Row],[DCR ID - PTC]]</f>
        <v>18860603</v>
      </c>
      <c r="D130" t="s">
        <v>1886</v>
      </c>
      <c r="E130">
        <f>Tracker[[#This Row],[Estimated Hrs]]</f>
        <v>25.5</v>
      </c>
      <c r="F130">
        <f>Tracker[[#This Row],[Actual Efforts (Hrs)]]</f>
        <v>25.5</v>
      </c>
      <c r="G130">
        <f>Tracker[[#This Row],[Remaining Hrs]]</f>
        <v>0</v>
      </c>
      <c r="H130" t="str">
        <f>Tracker[[#This Row],[Summary]]</f>
        <v>Cert Doc Error dmDOCNonMthnHydroCarbnConvEffLoErr Ph11</v>
      </c>
      <c r="I130" t="str">
        <f>Tracker[[#This Row],[DCRType]]</f>
        <v>Defect</v>
      </c>
      <c r="J130" t="str">
        <f>Tracker[[#This Row],[PRCRState]]</f>
        <v>Implement</v>
      </c>
      <c r="K130">
        <f>Tracker[[#This Row],[Planned Start Date
&lt;dd-mm-yyyy&gt;]]</f>
        <v>0</v>
      </c>
      <c r="L130">
        <f>Tracker[[#This Row],[Planned Completion Date
&lt;dd-mm-yyyy&gt;]]</f>
        <v>46153</v>
      </c>
      <c r="M130">
        <f>Tracker[[#This Row],[Actual Start Date
&lt;dd-mm-yyyy&gt;]]</f>
        <v>0</v>
      </c>
      <c r="N130">
        <f>Tracker[[#This Row],[Actual Cmpln Date
&lt;dd-mm-yyyy&gt;]]</f>
        <v>46153</v>
      </c>
      <c r="O130" t="str">
        <f>Tracker[[#This Row],[At Risk]]</f>
        <v>Closed</v>
      </c>
      <c r="P130" t="e">
        <v>#REF!</v>
      </c>
      <c r="Q130" t="str">
        <f t="shared" si="3"/>
        <v>Srinadh V</v>
      </c>
    </row>
    <row r="131" spans="1:17" hidden="1">
      <c r="A131" t="str">
        <f>Tracker[[#This Row],[DCR Owner]]</f>
        <v>Srinadh Vadlamudi (wf326)</v>
      </c>
      <c r="B131" t="str">
        <f t="shared" ref="B131:B194" si="4">MID(A131,1,LEN(A131)-8)</f>
        <v>Srinadh Vadlamudi</v>
      </c>
      <c r="C131">
        <f>Tracker[[#This Row],[DCR ID - PTC]]</f>
        <v>19515995</v>
      </c>
      <c r="D131" t="s">
        <v>1886</v>
      </c>
      <c r="E131">
        <f>Tracker[[#This Row],[Estimated Hrs]]</f>
        <v>80</v>
      </c>
      <c r="F131">
        <f>Tracker[[#This Row],[Actual Efforts (Hrs)]]</f>
        <v>82.75</v>
      </c>
      <c r="G131">
        <f>Tracker[[#This Row],[Remaining Hrs]]</f>
        <v>-2.75</v>
      </c>
      <c r="H131" t="str">
        <f>Tracker[[#This Row],[Summary]]</f>
        <v>AECD Interface Flags for HCU AECDs - Current Prot AECD 14 1b- improvement</v>
      </c>
      <c r="I131" t="str">
        <f>Tracker[[#This Row],[DCRType]]</f>
        <v>Change Request</v>
      </c>
      <c r="J131" t="str">
        <f>Tracker[[#This Row],[PRCRState]]</f>
        <v>Evaluate</v>
      </c>
      <c r="K131">
        <f>Tracker[[#This Row],[Planned Start Date
&lt;dd-mm-yyyy&gt;]]</f>
        <v>0</v>
      </c>
      <c r="L131">
        <f>Tracker[[#This Row],[Planned Completion Date
&lt;dd-mm-yyyy&gt;]]</f>
        <v>0</v>
      </c>
      <c r="M131">
        <f>Tracker[[#This Row],[Actual Start Date
&lt;dd-mm-yyyy&gt;]]</f>
        <v>0</v>
      </c>
      <c r="N131">
        <f>Tracker[[#This Row],[Actual Cmpln Date
&lt;dd-mm-yyyy&gt;]]</f>
        <v>0</v>
      </c>
      <c r="O131" t="str">
        <f>Tracker[[#This Row],[At Risk]]</f>
        <v>On Track</v>
      </c>
      <c r="P131" t="e">
        <v>#REF!</v>
      </c>
      <c r="Q131" t="str">
        <f t="shared" ref="Q131:Q194" si="5">MID(B131,1,LEN(B131)-8)</f>
        <v>Srinadh V</v>
      </c>
    </row>
    <row r="132" spans="1:17" hidden="1">
      <c r="A132" t="str">
        <f>Tracker[[#This Row],[DCR Owner]]</f>
        <v>Srinadh Vadlamudi (wf326)</v>
      </c>
      <c r="B132" t="str">
        <f t="shared" si="4"/>
        <v>Srinadh Vadlamudi</v>
      </c>
      <c r="C132">
        <f>Tracker[[#This Row],[DCR ID - PTC]]</f>
        <v>19224910</v>
      </c>
      <c r="D132" t="s">
        <v>1886</v>
      </c>
      <c r="E132">
        <f>Tracker[[#This Row],[Estimated Hrs]]</f>
        <v>0</v>
      </c>
      <c r="F132">
        <f>Tracker[[#This Row],[Actual Efforts (Hrs)]]</f>
        <v>3</v>
      </c>
      <c r="G132">
        <f>Tracker[[#This Row],[Remaining Hrs]]</f>
        <v>-3</v>
      </c>
      <c r="H132" t="str">
        <f>Tracker[[#This Row],[Summary]]</f>
        <v>AECD Interface Flags for HCU AECDs - Current Prot AECD 14 1b</v>
      </c>
      <c r="I132" t="str">
        <f>Tracker[[#This Row],[DCRType]]</f>
        <v>Change Request</v>
      </c>
      <c r="J132" t="str">
        <f>Tracker[[#This Row],[PRCRState]]</f>
        <v>Task_NA</v>
      </c>
      <c r="K132">
        <f>Tracker[[#This Row],[Planned Start Date
&lt;dd-mm-yyyy&gt;]]</f>
        <v>0</v>
      </c>
      <c r="L132">
        <f>Tracker[[#This Row],[Planned Completion Date
&lt;dd-mm-yyyy&gt;]]</f>
        <v>0</v>
      </c>
      <c r="M132">
        <f>Tracker[[#This Row],[Actual Start Date
&lt;dd-mm-yyyy&gt;]]</f>
        <v>0</v>
      </c>
      <c r="N132">
        <f>Tracker[[#This Row],[Actual Cmpln Date
&lt;dd-mm-yyyy&gt;]]</f>
        <v>0</v>
      </c>
      <c r="O132" t="str">
        <f>Tracker[[#This Row],[At Risk]]</f>
        <v>Closed</v>
      </c>
      <c r="P132" t="e">
        <v>#REF!</v>
      </c>
      <c r="Q132" t="str">
        <f t="shared" si="5"/>
        <v>Srinadh V</v>
      </c>
    </row>
    <row r="133" spans="1:17" hidden="1">
      <c r="A133" t="str">
        <f>Tracker[[#This Row],[DCR Owner]]</f>
        <v>Srinadh Vadlamudi (wf326)</v>
      </c>
      <c r="B133" t="str">
        <f t="shared" si="4"/>
        <v>Srinadh Vadlamudi</v>
      </c>
      <c r="C133">
        <f>Tracker[[#This Row],[DCR ID - PTC]]</f>
        <v>17303646</v>
      </c>
      <c r="D133" t="s">
        <v>1886</v>
      </c>
      <c r="E133">
        <f>Tracker[[#This Row],[Estimated Hrs]]</f>
        <v>0</v>
      </c>
      <c r="F133">
        <f>Tracker[[#This Row],[Actual Efforts (Hrs)]]</f>
        <v>0</v>
      </c>
      <c r="G133">
        <f>Tracker[[#This Row],[Remaining Hrs]]</f>
        <v>0</v>
      </c>
      <c r="H133" t="str">
        <f>Tracker[[#This Row],[Summary]]</f>
        <v>E-heater Stuck on error diagnostic logic update - AftElecHtrIPwrDDiag</v>
      </c>
      <c r="I133" t="str">
        <f>Tracker[[#This Row],[DCRType]]</f>
        <v>Change Request</v>
      </c>
      <c r="J133" t="str">
        <f>Tracker[[#This Row],[PRCRState]]</f>
        <v>Task</v>
      </c>
      <c r="K133">
        <f>Tracker[[#This Row],[Planned Start Date
&lt;dd-mm-yyyy&gt;]]</f>
        <v>0</v>
      </c>
      <c r="L133">
        <f>Tracker[[#This Row],[Planned Completion Date
&lt;dd-mm-yyyy&gt;]]</f>
        <v>0</v>
      </c>
      <c r="M133">
        <f>Tracker[[#This Row],[Actual Start Date
&lt;dd-mm-yyyy&gt;]]</f>
        <v>0</v>
      </c>
      <c r="N133">
        <f>Tracker[[#This Row],[Actual Cmpln Date
&lt;dd-mm-yyyy&gt;]]</f>
        <v>0</v>
      </c>
      <c r="O133">
        <f>Tracker[[#This Row],[At Risk]]</f>
        <v>0</v>
      </c>
      <c r="P133" t="e">
        <v>#REF!</v>
      </c>
      <c r="Q133" t="str">
        <f t="shared" si="5"/>
        <v>Srinadh V</v>
      </c>
    </row>
    <row r="134" spans="1:17" hidden="1">
      <c r="A134" t="str">
        <f>Tracker[[#This Row],[DCR Owner]]</f>
        <v>Srinadh Vadlamudi (wf326)</v>
      </c>
      <c r="B134" t="str">
        <f t="shared" si="4"/>
        <v>Srinadh Vadlamudi</v>
      </c>
      <c r="C134">
        <f>Tracker[[#This Row],[DCR ID - PTC]]</f>
        <v>18496892</v>
      </c>
      <c r="D134" t="s">
        <v>1886</v>
      </c>
      <c r="E134">
        <f>Tracker[[#This Row],[Estimated Hrs]]</f>
        <v>8</v>
      </c>
      <c r="F134">
        <f>Tracker[[#This Row],[Actual Efforts (Hrs)]]</f>
        <v>9</v>
      </c>
      <c r="G134">
        <f>Tracker[[#This Row],[Remaining Hrs]]</f>
        <v>-1</v>
      </c>
      <c r="H134" t="str">
        <f>Tracker[[#This Row],[Summary]]</f>
        <v>Update in diagnostic multiple attempts restriction logic for DOC OECS intrusive diagnostic</v>
      </c>
      <c r="I134" t="str">
        <f>Tracker[[#This Row],[DCRType]]</f>
        <v>Change Request</v>
      </c>
      <c r="J134" t="str">
        <f>Tracker[[#This Row],[PRCRState]]</f>
        <v>Task</v>
      </c>
      <c r="K134">
        <f>Tracker[[#This Row],[Planned Start Date
&lt;dd-mm-yyyy&gt;]]</f>
        <v>0</v>
      </c>
      <c r="L134">
        <f>Tracker[[#This Row],[Planned Completion Date
&lt;dd-mm-yyyy&gt;]]</f>
        <v>46167</v>
      </c>
      <c r="M134">
        <f>Tracker[[#This Row],[Actual Start Date
&lt;dd-mm-yyyy&gt;]]</f>
        <v>0</v>
      </c>
      <c r="N134">
        <f>Tracker[[#This Row],[Actual Cmpln Date
&lt;dd-mm-yyyy&gt;]]</f>
        <v>46167</v>
      </c>
      <c r="O134" t="str">
        <f>Tracker[[#This Row],[At Risk]]</f>
        <v>Closed</v>
      </c>
      <c r="P134" t="e">
        <v>#REF!</v>
      </c>
      <c r="Q134" t="str">
        <f t="shared" si="5"/>
        <v>Srinadh V</v>
      </c>
    </row>
    <row r="135" spans="1:17" hidden="1">
      <c r="A135" t="str">
        <f>Tracker[[#This Row],[DCR Owner]]</f>
        <v>Srinadh Vadlamudi (wf326)</v>
      </c>
      <c r="B135" t="str">
        <f t="shared" si="4"/>
        <v>Srinadh Vadlamudi</v>
      </c>
      <c r="C135">
        <f>Tracker[[#This Row],[DCR ID - PTC]]</f>
        <v>19381827</v>
      </c>
      <c r="D135" t="s">
        <v>1886</v>
      </c>
      <c r="E135">
        <f>Tracker[[#This Row],[Estimated Hrs]]</f>
        <v>50</v>
      </c>
      <c r="F135">
        <f>Tracker[[#This Row],[Actual Efforts (Hrs)]]</f>
        <v>0</v>
      </c>
      <c r="G135">
        <f>Tracker[[#This Row],[Remaining Hrs]]</f>
        <v>50</v>
      </c>
      <c r="H135" t="str">
        <f>Tracker[[#This Row],[Summary]]</f>
        <v>AftElecHtrIPwrDDiag: Analysis of E-heater IPD stuck-on error diagnostic</v>
      </c>
      <c r="I135">
        <f>Tracker[[#This Row],[DCRType]]</f>
        <v>0</v>
      </c>
      <c r="J135" t="str">
        <f>Tracker[[#This Row],[PRCRState]]</f>
        <v>Implement</v>
      </c>
      <c r="K135">
        <f>Tracker[[#This Row],[Planned Start Date
&lt;dd-mm-yyyy&gt;]]</f>
        <v>0</v>
      </c>
      <c r="L135">
        <f>Tracker[[#This Row],[Planned Completion Date
&lt;dd-mm-yyyy&gt;]]</f>
        <v>0</v>
      </c>
      <c r="M135">
        <f>Tracker[[#This Row],[Actual Start Date
&lt;dd-mm-yyyy&gt;]]</f>
        <v>0</v>
      </c>
      <c r="N135">
        <f>Tracker[[#This Row],[Actual Cmpln Date
&lt;dd-mm-yyyy&gt;]]</f>
        <v>0</v>
      </c>
      <c r="O135" t="str">
        <f>Tracker[[#This Row],[At Risk]]</f>
        <v>Yet to start</v>
      </c>
      <c r="P135" t="e">
        <v>#REF!</v>
      </c>
      <c r="Q135" t="str">
        <f t="shared" si="5"/>
        <v>Srinadh V</v>
      </c>
    </row>
    <row r="136" spans="1:17" hidden="1">
      <c r="A136" t="str">
        <f>Tracker[[#This Row],[DCR Owner]]</f>
        <v>Srinadh Vadlamudi (wf326)</v>
      </c>
      <c r="B136" t="str">
        <f t="shared" si="4"/>
        <v>Srinadh Vadlamudi</v>
      </c>
      <c r="C136">
        <f>Tracker[[#This Row],[DCR ID - PTC]]</f>
        <v>19448493</v>
      </c>
      <c r="D136" t="s">
        <v>1886</v>
      </c>
      <c r="E136">
        <f>Tracker[[#This Row],[Estimated Hrs]]</f>
        <v>40</v>
      </c>
      <c r="F136">
        <f>Tracker[[#This Row],[Actual Efforts (Hrs)]]</f>
        <v>29.5</v>
      </c>
      <c r="G136">
        <f>Tracker[[#This Row],[Remaining Hrs]]</f>
        <v>10.5</v>
      </c>
      <c r="H136" t="str">
        <f>Tracker[[#This Row],[Summary]]</f>
        <v>SAIPD: DOC OECS diagnostic improvement</v>
      </c>
      <c r="I136">
        <f>Tracker[[#This Row],[DCRType]]</f>
        <v>0</v>
      </c>
      <c r="J136" t="str">
        <f>Tracker[[#This Row],[PRCRState]]</f>
        <v>Implement</v>
      </c>
      <c r="K136">
        <f>Tracker[[#This Row],[Planned Start Date
&lt;dd-mm-yyyy&gt;]]</f>
        <v>0</v>
      </c>
      <c r="L136">
        <f>Tracker[[#This Row],[Planned Completion Date
&lt;dd-mm-yyyy&gt;]]</f>
        <v>46157</v>
      </c>
      <c r="M136">
        <f>Tracker[[#This Row],[Actual Start Date
&lt;dd-mm-yyyy&gt;]]</f>
        <v>0</v>
      </c>
      <c r="N136">
        <f>Tracker[[#This Row],[Actual Cmpln Date
&lt;dd-mm-yyyy&gt;]]</f>
        <v>46158</v>
      </c>
      <c r="O136" t="str">
        <f>Tracker[[#This Row],[At Risk]]</f>
        <v>Closed</v>
      </c>
      <c r="P136" t="e">
        <v>#REF!</v>
      </c>
      <c r="Q136" t="str">
        <f t="shared" si="5"/>
        <v>Srinadh V</v>
      </c>
    </row>
    <row r="137" spans="1:17" hidden="1">
      <c r="A137" t="str">
        <f>Tracker[[#This Row],[DCR Owner]]</f>
        <v>Srinadh Vadlamudi (wf326)</v>
      </c>
      <c r="B137" t="str">
        <f t="shared" si="4"/>
        <v>Srinadh Vadlamudi</v>
      </c>
      <c r="C137">
        <f>Tracker[[#This Row],[DCR ID - PTC]]</f>
        <v>19516003</v>
      </c>
      <c r="D137" t="s">
        <v>1886</v>
      </c>
      <c r="E137">
        <f>Tracker[[#This Row],[Estimated Hrs]]</f>
        <v>40</v>
      </c>
      <c r="F137">
        <f>Tracker[[#This Row],[Actual Efforts (Hrs)]]</f>
        <v>0</v>
      </c>
      <c r="G137">
        <f>Tracker[[#This Row],[Remaining Hrs]]</f>
        <v>0</v>
      </c>
      <c r="H137" t="str">
        <f>Tracker[[#This Row],[Summary]]</f>
        <v>AECD Interface Flags for HCU2 AECDs - Current Prot AECD 14 1b - improvement</v>
      </c>
      <c r="I137">
        <f>Tracker[[#This Row],[DCRType]]</f>
        <v>0</v>
      </c>
      <c r="J137" t="str">
        <f>Tracker[[#This Row],[PRCRState]]</f>
        <v>Implement</v>
      </c>
      <c r="K137">
        <f>Tracker[[#This Row],[Planned Start Date
&lt;dd-mm-yyyy&gt;]]</f>
        <v>0</v>
      </c>
      <c r="L137">
        <f>Tracker[[#This Row],[Planned Completion Date
&lt;dd-mm-yyyy&gt;]]</f>
        <v>0</v>
      </c>
      <c r="M137">
        <f>Tracker[[#This Row],[Actual Start Date
&lt;dd-mm-yyyy&gt;]]</f>
        <v>0</v>
      </c>
      <c r="N137">
        <f>Tracker[[#This Row],[Actual Cmpln Date
&lt;dd-mm-yyyy&gt;]]</f>
        <v>0</v>
      </c>
      <c r="O137" t="str">
        <f>Tracker[[#This Row],[At Risk]]</f>
        <v>Yet to start</v>
      </c>
      <c r="P137" t="e">
        <v>#REF!</v>
      </c>
      <c r="Q137" t="str">
        <f t="shared" si="5"/>
        <v>Srinadh V</v>
      </c>
    </row>
    <row r="138" spans="1:17" hidden="1">
      <c r="A138" t="str">
        <f>Tracker[[#This Row],[DCR Owner]]</f>
        <v>Srinadh Vadlamudi (wf326)</v>
      </c>
      <c r="B138" t="str">
        <f t="shared" si="4"/>
        <v>Srinadh Vadlamudi</v>
      </c>
      <c r="C138">
        <f>Tracker[[#This Row],[DCR ID - PTC]]</f>
        <v>19515995</v>
      </c>
      <c r="D138" t="s">
        <v>1886</v>
      </c>
      <c r="E138">
        <f>Tracker[[#This Row],[Estimated Hrs]]</f>
        <v>40</v>
      </c>
      <c r="F138">
        <f>Tracker[[#This Row],[Actual Efforts (Hrs)]]</f>
        <v>0</v>
      </c>
      <c r="G138">
        <f>Tracker[[#This Row],[Remaining Hrs]]</f>
        <v>40</v>
      </c>
      <c r="H138" t="str">
        <f>Tracker[[#This Row],[Summary]]</f>
        <v>AECD Interface Flags for HCU AECDs - Current Prot AECD 14 1b- improvement</v>
      </c>
      <c r="I138">
        <f>Tracker[[#This Row],[DCRType]]</f>
        <v>0</v>
      </c>
      <c r="J138" t="str">
        <f>Tracker[[#This Row],[PRCRState]]</f>
        <v>Implement</v>
      </c>
      <c r="K138">
        <f>Tracker[[#This Row],[Planned Start Date
&lt;dd-mm-yyyy&gt;]]</f>
        <v>0</v>
      </c>
      <c r="L138">
        <f>Tracker[[#This Row],[Planned Completion Date
&lt;dd-mm-yyyy&gt;]]</f>
        <v>0</v>
      </c>
      <c r="M138">
        <f>Tracker[[#This Row],[Actual Start Date
&lt;dd-mm-yyyy&gt;]]</f>
        <v>0</v>
      </c>
      <c r="N138">
        <f>Tracker[[#This Row],[Actual Cmpln Date
&lt;dd-mm-yyyy&gt;]]</f>
        <v>0</v>
      </c>
      <c r="O138" t="str">
        <f>Tracker[[#This Row],[At Risk]]</f>
        <v>Yet to start</v>
      </c>
      <c r="P138" t="e">
        <v>#REF!</v>
      </c>
      <c r="Q138" t="str">
        <f t="shared" si="5"/>
        <v>Srinadh V</v>
      </c>
    </row>
    <row r="139" spans="1:17" hidden="1">
      <c r="A139" t="str">
        <f>Tracker[[#This Row],[DCR Owner]]</f>
        <v>sumitkumar patil (wf330)</v>
      </c>
      <c r="B139" t="str">
        <f t="shared" si="4"/>
        <v>sumitkumar patil</v>
      </c>
      <c r="C139">
        <f>Tracker[[#This Row],[DCR ID - PTC]]</f>
        <v>17581155</v>
      </c>
      <c r="D139" t="s">
        <v>1886</v>
      </c>
      <c r="E139">
        <f>Tracker[[#This Row],[Estimated Hrs]]</f>
        <v>110</v>
      </c>
      <c r="F139">
        <f>Tracker[[#This Row],[Actual Efforts (Hrs)]]</f>
        <v>60</v>
      </c>
      <c r="G139">
        <f>Tracker[[#This Row],[Remaining Hrs]]</f>
        <v>50</v>
      </c>
      <c r="H139" t="str">
        <f>Tracker[[#This Row],[Summary]]</f>
        <v>Need to add power request logic in AftFtis65697DualElecHtrTest Component</v>
      </c>
      <c r="I139" t="str">
        <f>Tracker[[#This Row],[DCRType]]</f>
        <v>Change Request</v>
      </c>
      <c r="J139" t="str">
        <f>Tracker[[#This Row],[PRCRState]]</f>
        <v>Task</v>
      </c>
      <c r="K139">
        <f>Tracker[[#This Row],[Planned Start Date
&lt;dd-mm-yyyy&gt;]]</f>
        <v>0</v>
      </c>
      <c r="L139">
        <f>Tracker[[#This Row],[Planned Completion Date
&lt;dd-mm-yyyy&gt;]]</f>
        <v>0</v>
      </c>
      <c r="M139">
        <f>Tracker[[#This Row],[Actual Start Date
&lt;dd-mm-yyyy&gt;]]</f>
        <v>0</v>
      </c>
      <c r="N139">
        <f>Tracker[[#This Row],[Actual Cmpln Date
&lt;dd-mm-yyyy&gt;]]</f>
        <v>0</v>
      </c>
      <c r="O139" t="str">
        <f>Tracker[[#This Row],[At Risk]]</f>
        <v>On Track</v>
      </c>
      <c r="P139" t="e">
        <v>#REF!</v>
      </c>
      <c r="Q139" t="str">
        <f t="shared" si="5"/>
        <v>sumitkum</v>
      </c>
    </row>
    <row r="140" spans="1:17" hidden="1">
      <c r="A140" t="str">
        <f>Tracker[[#This Row],[DCR Owner]]</f>
        <v>sumitkumar patil (wf330)</v>
      </c>
      <c r="B140" t="str">
        <f t="shared" si="4"/>
        <v>sumitkumar patil</v>
      </c>
      <c r="C140">
        <f>Tracker[[#This Row],[DCR ID - PTC]]</f>
        <v>17728109</v>
      </c>
      <c r="D140" t="s">
        <v>1886</v>
      </c>
      <c r="E140">
        <f>Tracker[[#This Row],[Estimated Hrs]]</f>
        <v>0</v>
      </c>
      <c r="F140">
        <f>Tracker[[#This Row],[Actual Efforts (Hrs)]]</f>
        <v>0</v>
      </c>
      <c r="G140">
        <f>Tracker[[#This Row],[Remaining Hrs]]</f>
        <v>0</v>
      </c>
      <c r="H140" t="str">
        <f>Tracker[[#This Row],[Summary]]</f>
        <v>Need to add Target temperature for SA-IPD program in AftFtis65697DualElecHtrTest</v>
      </c>
      <c r="I140" t="str">
        <f>Tracker[[#This Row],[DCRType]]</f>
        <v>Change Request</v>
      </c>
      <c r="J140" t="str">
        <f>Tracker[[#This Row],[PRCRState]]</f>
        <v>Task</v>
      </c>
      <c r="K140">
        <f>Tracker[[#This Row],[Planned Start Date
&lt;dd-mm-yyyy&gt;]]</f>
        <v>0</v>
      </c>
      <c r="L140">
        <f>Tracker[[#This Row],[Planned Completion Date
&lt;dd-mm-yyyy&gt;]]</f>
        <v>0</v>
      </c>
      <c r="M140">
        <f>Tracker[[#This Row],[Actual Start Date
&lt;dd-mm-yyyy&gt;]]</f>
        <v>0</v>
      </c>
      <c r="N140">
        <f>Tracker[[#This Row],[Actual Cmpln Date
&lt;dd-mm-yyyy&gt;]]</f>
        <v>0</v>
      </c>
      <c r="O140">
        <f>Tracker[[#This Row],[At Risk]]</f>
        <v>0</v>
      </c>
      <c r="P140" t="e">
        <v>#REF!</v>
      </c>
      <c r="Q140" t="str">
        <f t="shared" si="5"/>
        <v>sumitkum</v>
      </c>
    </row>
    <row r="141" spans="1:17" hidden="1">
      <c r="A141" t="str">
        <f>Tracker[[#This Row],[DCR Owner]]</f>
        <v>sumitkumar patil (wf330)</v>
      </c>
      <c r="B141" t="str">
        <f t="shared" si="4"/>
        <v>sumitkumar patil</v>
      </c>
      <c r="C141">
        <f>Tracker[[#This Row],[DCR ID - PTC]]</f>
        <v>18453031</v>
      </c>
      <c r="D141" t="s">
        <v>1886</v>
      </c>
      <c r="E141">
        <f>Tracker[[#This Row],[Estimated Hrs]]</f>
        <v>0</v>
      </c>
      <c r="F141">
        <f>Tracker[[#This Row],[Actual Efforts (Hrs)]]</f>
        <v>0</v>
      </c>
      <c r="G141">
        <f>Tracker[[#This Row],[Remaining Hrs]]</f>
        <v>0</v>
      </c>
      <c r="H141" t="str">
        <f>Tracker[[#This Row],[Summary]]</f>
        <v>Software Update for DOC heater power degraded OECS intrusive diagnostic</v>
      </c>
      <c r="I141" t="str">
        <f>Tracker[[#This Row],[DCRType]]</f>
        <v>Change Request</v>
      </c>
      <c r="J141" t="str">
        <f>Tracker[[#This Row],[PRCRState]]</f>
        <v>Task</v>
      </c>
      <c r="K141">
        <f>Tracker[[#This Row],[Planned Start Date
&lt;dd-mm-yyyy&gt;]]</f>
        <v>0</v>
      </c>
      <c r="L141">
        <f>Tracker[[#This Row],[Planned Completion Date
&lt;dd-mm-yyyy&gt;]]</f>
        <v>0</v>
      </c>
      <c r="M141">
        <f>Tracker[[#This Row],[Actual Start Date
&lt;dd-mm-yyyy&gt;]]</f>
        <v>0</v>
      </c>
      <c r="N141">
        <f>Tracker[[#This Row],[Actual Cmpln Date
&lt;dd-mm-yyyy&gt;]]</f>
        <v>0</v>
      </c>
      <c r="O141">
        <f>Tracker[[#This Row],[At Risk]]</f>
        <v>0</v>
      </c>
      <c r="P141" t="e">
        <v>#REF!</v>
      </c>
      <c r="Q141" t="str">
        <f t="shared" si="5"/>
        <v>sumitkum</v>
      </c>
    </row>
    <row r="142" spans="1:17" hidden="1">
      <c r="A142" t="str">
        <f>Tracker[[#This Row],[DCR Owner]]</f>
        <v>sumitkumar patil (wf330)</v>
      </c>
      <c r="B142" t="str">
        <f t="shared" si="4"/>
        <v>sumitkumar patil</v>
      </c>
      <c r="C142">
        <f>Tracker[[#This Row],[DCR ID - PTC]]</f>
        <v>0</v>
      </c>
      <c r="D142" t="s">
        <v>1886</v>
      </c>
      <c r="E142">
        <f>Tracker[[#This Row],[Estimated Hrs]]</f>
        <v>0</v>
      </c>
      <c r="F142">
        <f>Tracker[[#This Row],[Actual Efforts (Hrs)]]</f>
        <v>23</v>
      </c>
      <c r="G142">
        <f>Tracker[[#This Row],[Remaining Hrs]]</f>
        <v>-23</v>
      </c>
      <c r="H142" t="str">
        <f>Tracker[[#This Row],[Summary]]</f>
        <v>Urgent Bench Testing work for AftDiesPartFiltDltPrProc and AftDiesPartFiltSysOutPrSenProc component for Barracuda 9.0 Build</v>
      </c>
      <c r="I142">
        <f>Tracker[[#This Row],[DCRType]]</f>
        <v>0</v>
      </c>
      <c r="J142" t="str">
        <f>Tracker[[#This Row],[PRCRState]]</f>
        <v>Task</v>
      </c>
      <c r="K142">
        <f>Tracker[[#This Row],[Planned Start Date
&lt;dd-mm-yyyy&gt;]]</f>
        <v>0</v>
      </c>
      <c r="L142">
        <f>Tracker[[#This Row],[Planned Completion Date
&lt;dd-mm-yyyy&gt;]]</f>
        <v>0</v>
      </c>
      <c r="M142">
        <f>Tracker[[#This Row],[Actual Start Date
&lt;dd-mm-yyyy&gt;]]</f>
        <v>0</v>
      </c>
      <c r="N142">
        <f>Tracker[[#This Row],[Actual Cmpln Date
&lt;dd-mm-yyyy&gt;]]</f>
        <v>0</v>
      </c>
      <c r="O142" t="str">
        <f>Tracker[[#This Row],[At Risk]]</f>
        <v>On Track</v>
      </c>
      <c r="P142" t="e">
        <v>#REF!</v>
      </c>
      <c r="Q142" t="str">
        <f t="shared" si="5"/>
        <v>sumitkum</v>
      </c>
    </row>
    <row r="143" spans="1:17" hidden="1">
      <c r="A143" t="str">
        <f>Tracker[[#This Row],[DCR Owner]]</f>
        <v>Swayangdipta sarkar (wa754)</v>
      </c>
      <c r="B143" t="str">
        <f t="shared" si="4"/>
        <v>Swayangdipta sarkar</v>
      </c>
      <c r="C143">
        <f>Tracker[[#This Row],[DCR ID - PTC]]</f>
        <v>19599644</v>
      </c>
      <c r="D143" t="s">
        <v>1886</v>
      </c>
      <c r="E143">
        <f>Tracker[[#This Row],[Estimated Hrs]]</f>
        <v>0</v>
      </c>
      <c r="F143">
        <f>Tracker[[#This Row],[Actual Efforts (Hrs)]]</f>
        <v>0</v>
      </c>
      <c r="G143">
        <f>Tracker[[#This Row],[Remaining Hrs]]</f>
        <v>0</v>
      </c>
      <c r="H143" t="str">
        <f>Tracker[[#This Row],[Summary]]</f>
        <v>Team Support and Discussion Activity - Q3'26 PFS</v>
      </c>
      <c r="I143" t="str">
        <f>Tracker[[#This Row],[DCRType]]</f>
        <v>Task</v>
      </c>
      <c r="J143" t="str">
        <f>Tracker[[#This Row],[PRCRState]]</f>
        <v>Task_NA</v>
      </c>
      <c r="K143">
        <f>Tracker[[#This Row],[Planned Start Date
&lt;dd-mm-yyyy&gt;]]</f>
        <v>0</v>
      </c>
      <c r="L143">
        <f>Tracker[[#This Row],[Planned Completion Date
&lt;dd-mm-yyyy&gt;]]</f>
        <v>0</v>
      </c>
      <c r="M143">
        <f>Tracker[[#This Row],[Actual Start Date
&lt;dd-mm-yyyy&gt;]]</f>
        <v>0</v>
      </c>
      <c r="N143">
        <f>Tracker[[#This Row],[Actual Cmpln Date
&lt;dd-mm-yyyy&gt;]]</f>
        <v>0</v>
      </c>
      <c r="O143">
        <f>Tracker[[#This Row],[At Risk]]</f>
        <v>0</v>
      </c>
      <c r="P143" t="e">
        <v>#REF!</v>
      </c>
      <c r="Q143" t="str">
        <f t="shared" si="5"/>
        <v>Swayangdipt</v>
      </c>
    </row>
    <row r="144" spans="1:17" hidden="1">
      <c r="A144" t="str">
        <f>Tracker[[#This Row],[DCR Owner]]</f>
        <v>Shradha M</v>
      </c>
      <c r="B144" t="str">
        <f t="shared" si="4"/>
        <v>S</v>
      </c>
      <c r="C144">
        <f>Tracker[[#This Row],[DCR ID - PTC]]</f>
        <v>18802857</v>
      </c>
      <c r="D144" t="s">
        <v>1886</v>
      </c>
      <c r="E144">
        <f>Tracker[[#This Row],[Estimated Hrs]]</f>
        <v>0</v>
      </c>
      <c r="F144">
        <f>Tracker[[#This Row],[Actual Efforts (Hrs)]]</f>
        <v>0</v>
      </c>
      <c r="G144">
        <f>Tracker[[#This Row],[Remaining Hrs]]</f>
        <v>0</v>
      </c>
      <c r="H144" t="str">
        <f>Tracker[[#This Row],[Summary]]</f>
        <v>Request to add high eheater resistance diagnostic on SAIPD Architectures (Component: AftElecHtrIPwrDSysIOErrsBtmp)</v>
      </c>
      <c r="I144" t="str">
        <f>Tracker[[#This Row],[DCRType]]</f>
        <v>Change Request</v>
      </c>
      <c r="J144" t="str">
        <f>Tracker[[#This Row],[PRCRState]]</f>
        <v>Evaluate</v>
      </c>
      <c r="K144">
        <f>Tracker[[#This Row],[Planned Start Date
&lt;dd-mm-yyyy&gt;]]</f>
        <v>0</v>
      </c>
      <c r="L144">
        <f>Tracker[[#This Row],[Planned Completion Date
&lt;dd-mm-yyyy&gt;]]</f>
        <v>0</v>
      </c>
      <c r="M144">
        <f>Tracker[[#This Row],[Actual Start Date
&lt;dd-mm-yyyy&gt;]]</f>
        <v>0</v>
      </c>
      <c r="N144">
        <f>Tracker[[#This Row],[Actual Cmpln Date
&lt;dd-mm-yyyy&gt;]]</f>
        <v>0</v>
      </c>
      <c r="O144" t="str">
        <f>Tracker[[#This Row],[At Risk]]</f>
        <v>Closed</v>
      </c>
      <c r="P144" t="e">
        <v>#REF!</v>
      </c>
      <c r="Q144" t="e">
        <f t="shared" si="5"/>
        <v>#VALUE!</v>
      </c>
    </row>
    <row r="145" spans="1:17" hidden="1">
      <c r="A145" t="str">
        <f>Tracker[[#This Row],[DCR Owner]]</f>
        <v>Shradha M</v>
      </c>
      <c r="B145" t="str">
        <f t="shared" si="4"/>
        <v>S</v>
      </c>
      <c r="C145">
        <f>Tracker[[#This Row],[DCR ID - PTC]]</f>
        <v>18815112</v>
      </c>
      <c r="D145" t="s">
        <v>1886</v>
      </c>
      <c r="E145">
        <f>Tracker[[#This Row],[Estimated Hrs]]</f>
        <v>0</v>
      </c>
      <c r="F145">
        <f>Tracker[[#This Row],[Actual Efforts (Hrs)]]</f>
        <v>0</v>
      </c>
      <c r="G145">
        <f>Tracker[[#This Row],[Remaining Hrs]]</f>
        <v>0</v>
      </c>
      <c r="H145" t="str">
        <f>Tracker[[#This Row],[Summary]]</f>
        <v>Request to disable heater power on SAIPD Architectures (AftDualHtrCtrlIPwrD)</v>
      </c>
      <c r="I145" t="str">
        <f>Tracker[[#This Row],[DCRType]]</f>
        <v>Change Request</v>
      </c>
      <c r="J145" t="str">
        <f>Tracker[[#This Row],[PRCRState]]</f>
        <v>Evaluate</v>
      </c>
      <c r="K145">
        <f>Tracker[[#This Row],[Planned Start Date
&lt;dd-mm-yyyy&gt;]]</f>
        <v>0</v>
      </c>
      <c r="L145">
        <f>Tracker[[#This Row],[Planned Completion Date
&lt;dd-mm-yyyy&gt;]]</f>
        <v>0</v>
      </c>
      <c r="M145">
        <f>Tracker[[#This Row],[Actual Start Date
&lt;dd-mm-yyyy&gt;]]</f>
        <v>0</v>
      </c>
      <c r="N145">
        <f>Tracker[[#This Row],[Actual Cmpln Date
&lt;dd-mm-yyyy&gt;]]</f>
        <v>0</v>
      </c>
      <c r="O145" t="str">
        <f>Tracker[[#This Row],[At Risk]]</f>
        <v>Closed</v>
      </c>
      <c r="P145" t="e">
        <v>#REF!</v>
      </c>
      <c r="Q145" t="e">
        <f t="shared" si="5"/>
        <v>#VALUE!</v>
      </c>
    </row>
    <row r="146" spans="1:17" hidden="1">
      <c r="A146" t="str">
        <f>Tracker[[#This Row],[DCR Owner]]</f>
        <v>Shradha M/Uttam</v>
      </c>
      <c r="B146" t="str">
        <f t="shared" si="4"/>
        <v>Shradha</v>
      </c>
      <c r="C146">
        <f>Tracker[[#This Row],[DCR ID - PTC]]</f>
        <v>18815112</v>
      </c>
      <c r="D146" t="s">
        <v>1886</v>
      </c>
      <c r="E146">
        <f>Tracker[[#This Row],[Estimated Hrs]]</f>
        <v>80</v>
      </c>
      <c r="F146">
        <f>Tracker[[#This Row],[Actual Efforts (Hrs)]]</f>
        <v>5</v>
      </c>
      <c r="G146">
        <f>Tracker[[#This Row],[Remaining Hrs]]</f>
        <v>75</v>
      </c>
      <c r="H146" t="str">
        <f>Tracker[[#This Row],[Summary]]</f>
        <v>Request to disable heater power on SAIPD Architectures (AftDualHtrCtrlIPwrD)</v>
      </c>
      <c r="I146">
        <f>Tracker[[#This Row],[DCRType]]</f>
        <v>0</v>
      </c>
      <c r="J146" t="str">
        <f>Tracker[[#This Row],[PRCRState]]</f>
        <v>Implement</v>
      </c>
      <c r="K146">
        <f>Tracker[[#This Row],[Planned Start Date
&lt;dd-mm-yyyy&gt;]]</f>
        <v>0</v>
      </c>
      <c r="L146">
        <f>Tracker[[#This Row],[Planned Completion Date
&lt;dd-mm-yyyy&gt;]]</f>
        <v>0</v>
      </c>
      <c r="M146">
        <f>Tracker[[#This Row],[Actual Start Date
&lt;dd-mm-yyyy&gt;]]</f>
        <v>0</v>
      </c>
      <c r="N146">
        <f>Tracker[[#This Row],[Actual Cmpln Date
&lt;dd-mm-yyyy&gt;]]</f>
        <v>0</v>
      </c>
      <c r="O146" t="str">
        <f>Tracker[[#This Row],[At Risk]]</f>
        <v>On Track</v>
      </c>
      <c r="P146" t="e">
        <v>#REF!</v>
      </c>
      <c r="Q146" t="e">
        <f t="shared" si="5"/>
        <v>#VALUE!</v>
      </c>
    </row>
    <row r="147" spans="1:17" hidden="1">
      <c r="A147" t="str">
        <f>Tracker[[#This Row],[DCR Owner]]</f>
        <v>Shradha M</v>
      </c>
      <c r="B147" t="str">
        <f t="shared" si="4"/>
        <v>S</v>
      </c>
      <c r="C147">
        <f>Tracker[[#This Row],[DCR ID - PTC]]</f>
        <v>17803153</v>
      </c>
      <c r="D147" t="s">
        <v>1886</v>
      </c>
      <c r="E147">
        <f>Tracker[[#This Row],[Estimated Hrs]]</f>
        <v>40</v>
      </c>
      <c r="F147">
        <f>Tracker[[#This Row],[Actual Efforts (Hrs)]]</f>
        <v>67</v>
      </c>
      <c r="G147">
        <f>Tracker[[#This Row],[Remaining Hrs]]</f>
        <v>-27</v>
      </c>
      <c r="H147" t="str">
        <f>Tracker[[#This Row],[Summary]]</f>
        <v>Request to implement a high eheater resistance diagnostic on SAIPD Architectures</v>
      </c>
      <c r="I147" t="str">
        <f>Tracker[[#This Row],[DCRType]]</f>
        <v>Change Request</v>
      </c>
      <c r="J147" t="str">
        <f>Tracker[[#This Row],[PRCRState]]</f>
        <v>Evaluate</v>
      </c>
      <c r="K147">
        <f>Tracker[[#This Row],[Planned Start Date
&lt;dd-mm-yyyy&gt;]]</f>
        <v>0</v>
      </c>
      <c r="L147">
        <f>Tracker[[#This Row],[Planned Completion Date
&lt;dd-mm-yyyy&gt;]]</f>
        <v>0</v>
      </c>
      <c r="M147">
        <f>Tracker[[#This Row],[Actual Start Date
&lt;dd-mm-yyyy&gt;]]</f>
        <v>0</v>
      </c>
      <c r="N147">
        <f>Tracker[[#This Row],[Actual Cmpln Date
&lt;dd-mm-yyyy&gt;]]</f>
        <v>0</v>
      </c>
      <c r="O147" t="str">
        <f>Tracker[[#This Row],[At Risk]]</f>
        <v>Closed</v>
      </c>
      <c r="P147" t="e">
        <v>#REF!</v>
      </c>
      <c r="Q147" t="e">
        <f t="shared" si="5"/>
        <v>#VALUE!</v>
      </c>
    </row>
    <row r="148" spans="1:17" hidden="1">
      <c r="A148" t="str">
        <f>Tracker[[#This Row],[DCR Owner]]</f>
        <v>Shradha M</v>
      </c>
      <c r="B148" t="str">
        <f t="shared" si="4"/>
        <v>S</v>
      </c>
      <c r="C148">
        <f>Tracker[[#This Row],[DCR ID - PTC]]</f>
        <v>17803153</v>
      </c>
      <c r="D148" t="s">
        <v>1886</v>
      </c>
      <c r="E148">
        <f>Tracker[[#This Row],[Estimated Hrs]]</f>
        <v>115</v>
      </c>
      <c r="F148">
        <f>Tracker[[#This Row],[Actual Efforts (Hrs)]]</f>
        <v>47.5</v>
      </c>
      <c r="G148">
        <f>Tracker[[#This Row],[Remaining Hrs]]</f>
        <v>67.5</v>
      </c>
      <c r="H148" t="str">
        <f>Tracker[[#This Row],[Summary]]</f>
        <v>Request to implement a high eheater resistance diagnostic on SAIPD Architectures</v>
      </c>
      <c r="I148" t="str">
        <f>Tracker[[#This Row],[DCRType]]</f>
        <v>Change Request</v>
      </c>
      <c r="J148" t="str">
        <f>Tracker[[#This Row],[PRCRState]]</f>
        <v>Implement</v>
      </c>
      <c r="K148">
        <f>Tracker[[#This Row],[Planned Start Date
&lt;dd-mm-yyyy&gt;]]</f>
        <v>0</v>
      </c>
      <c r="L148">
        <f>Tracker[[#This Row],[Planned Completion Date
&lt;dd-mm-yyyy&gt;]]</f>
        <v>0</v>
      </c>
      <c r="M148">
        <f>Tracker[[#This Row],[Actual Start Date
&lt;dd-mm-yyyy&gt;]]</f>
        <v>0</v>
      </c>
      <c r="N148">
        <f>Tracker[[#This Row],[Actual Cmpln Date
&lt;dd-mm-yyyy&gt;]]</f>
        <v>0</v>
      </c>
      <c r="O148" t="str">
        <f>Tracker[[#This Row],[At Risk]]</f>
        <v>On Track</v>
      </c>
      <c r="P148" t="e">
        <v>#REF!</v>
      </c>
      <c r="Q148" t="e">
        <f t="shared" si="5"/>
        <v>#VALUE!</v>
      </c>
    </row>
    <row r="149" spans="1:17" hidden="1">
      <c r="A149" t="str">
        <f>Tracker[[#This Row],[DCR Owner]]</f>
        <v>Yashwanth Polisetti (ac06u)</v>
      </c>
      <c r="B149" t="str">
        <f t="shared" si="4"/>
        <v>Yashwanth Polisetti</v>
      </c>
      <c r="C149">
        <f>Tracker[[#This Row],[DCR ID - PTC]]</f>
        <v>16816828</v>
      </c>
      <c r="D149" t="s">
        <v>1886</v>
      </c>
      <c r="E149">
        <f>Tracker[[#This Row],[Estimated Hrs]]</f>
        <v>0</v>
      </c>
      <c r="F149">
        <f>Tracker[[#This Row],[Actual Efforts (Hrs)]]</f>
        <v>0</v>
      </c>
      <c r="G149">
        <f>Tracker[[#This Row],[Remaining Hrs]]</f>
        <v>0</v>
      </c>
      <c r="H149" t="str">
        <f>Tracker[[#This Row],[Summary]]</f>
        <v>Electric Heater Diagnositc For ECM</v>
      </c>
      <c r="I149" t="str">
        <f>Tracker[[#This Row],[DCRType]]</f>
        <v>Change Request</v>
      </c>
      <c r="J149" t="str">
        <f>Tracker[[#This Row],[PRCRState]]</f>
        <v>Implement</v>
      </c>
      <c r="K149">
        <f>Tracker[[#This Row],[Planned Start Date
&lt;dd-mm-yyyy&gt;]]</f>
        <v>0</v>
      </c>
      <c r="L149">
        <f>Tracker[[#This Row],[Planned Completion Date
&lt;dd-mm-yyyy&gt;]]</f>
        <v>46171</v>
      </c>
      <c r="M149">
        <f>Tracker[[#This Row],[Actual Start Date
&lt;dd-mm-yyyy&gt;]]</f>
        <v>0</v>
      </c>
      <c r="N149">
        <f>Tracker[[#This Row],[Actual Cmpln Date
&lt;dd-mm-yyyy&gt;]]</f>
        <v>46171</v>
      </c>
      <c r="O149" t="str">
        <f>Tracker[[#This Row],[At Risk]]</f>
        <v>Closed</v>
      </c>
      <c r="P149" t="e">
        <v>#REF!</v>
      </c>
      <c r="Q149" t="str">
        <f t="shared" si="5"/>
        <v>Yashwanth P</v>
      </c>
    </row>
    <row r="150" spans="1:17" hidden="1">
      <c r="A150" t="str">
        <f>Tracker[[#This Row],[DCR Owner]]</f>
        <v>Yashwanth Polisetti (ac06u)</v>
      </c>
      <c r="B150" t="str">
        <f t="shared" si="4"/>
        <v>Yashwanth Polisetti</v>
      </c>
      <c r="C150">
        <f>Tracker[[#This Row],[DCR ID - PTC]]</f>
        <v>17112723</v>
      </c>
      <c r="D150" t="s">
        <v>1886</v>
      </c>
      <c r="E150">
        <f>Tracker[[#This Row],[Estimated Hrs]]</f>
        <v>0</v>
      </c>
      <c r="F150">
        <f>Tracker[[#This Row],[Actual Efforts (Hrs)]]</f>
        <v>0</v>
      </c>
      <c r="G150">
        <f>Tracker[[#This Row],[Remaining Hrs]]</f>
        <v>0</v>
      </c>
      <c r="H150" t="str">
        <f>Tracker[[#This Row],[Summary]]</f>
        <v>Heater Return Open Circuit diagnostic analysis</v>
      </c>
      <c r="I150" t="str">
        <f>Tracker[[#This Row],[DCRType]]</f>
        <v>Change Request</v>
      </c>
      <c r="J150" t="str">
        <f>Tracker[[#This Row],[PRCRState]]</f>
        <v>Implement</v>
      </c>
      <c r="K150">
        <f>Tracker[[#This Row],[Planned Start Date
&lt;dd-mm-yyyy&gt;]]</f>
        <v>0</v>
      </c>
      <c r="L150">
        <f>Tracker[[#This Row],[Planned Completion Date
&lt;dd-mm-yyyy&gt;]]</f>
        <v>46171</v>
      </c>
      <c r="M150">
        <f>Tracker[[#This Row],[Actual Start Date
&lt;dd-mm-yyyy&gt;]]</f>
        <v>0</v>
      </c>
      <c r="N150">
        <f>Tracker[[#This Row],[Actual Cmpln Date
&lt;dd-mm-yyyy&gt;]]</f>
        <v>46171</v>
      </c>
      <c r="O150" t="str">
        <f>Tracker[[#This Row],[At Risk]]</f>
        <v>Closed</v>
      </c>
      <c r="P150" t="e">
        <v>#REF!</v>
      </c>
      <c r="Q150" t="str">
        <f t="shared" si="5"/>
        <v>Yashwanth P</v>
      </c>
    </row>
    <row r="151" spans="1:17" hidden="1">
      <c r="A151" t="str">
        <f>Tracker[[#This Row],[DCR Owner]]</f>
        <v>Yashwanth Polisetti (ac06u)</v>
      </c>
      <c r="B151" t="str">
        <f t="shared" si="4"/>
        <v>Yashwanth Polisetti</v>
      </c>
      <c r="C151">
        <f>Tracker[[#This Row],[DCR ID - PTC]]</f>
        <v>18622558</v>
      </c>
      <c r="D151" t="s">
        <v>1886</v>
      </c>
      <c r="E151">
        <f>Tracker[[#This Row],[Estimated Hrs]]</f>
        <v>0</v>
      </c>
      <c r="F151">
        <f>Tracker[[#This Row],[Actual Efforts (Hrs)]]</f>
        <v>0</v>
      </c>
      <c r="G151">
        <f>Tracker[[#This Row],[Remaining Hrs]]</f>
        <v>0</v>
      </c>
      <c r="H151" t="str">
        <f>Tracker[[#This Row],[Summary]]</f>
        <v>SCR Htr  OECS counter reset logic change for equal pass/fail criteria</v>
      </c>
      <c r="I151" t="str">
        <f>Tracker[[#This Row],[DCRType]]</f>
        <v>Defect</v>
      </c>
      <c r="J151" t="str">
        <f>Tracker[[#This Row],[PRCRState]]</f>
        <v>Implement</v>
      </c>
      <c r="K151">
        <f>Tracker[[#This Row],[Planned Start Date
&lt;dd-mm-yyyy&gt;]]</f>
        <v>0</v>
      </c>
      <c r="L151">
        <f>Tracker[[#This Row],[Planned Completion Date
&lt;dd-mm-yyyy&gt;]]</f>
        <v>46171</v>
      </c>
      <c r="M151">
        <f>Tracker[[#This Row],[Actual Start Date
&lt;dd-mm-yyyy&gt;]]</f>
        <v>0</v>
      </c>
      <c r="N151">
        <f>Tracker[[#This Row],[Actual Cmpln Date
&lt;dd-mm-yyyy&gt;]]</f>
        <v>46171</v>
      </c>
      <c r="O151" t="str">
        <f>Tracker[[#This Row],[At Risk]]</f>
        <v>Closed</v>
      </c>
      <c r="P151" t="e">
        <v>#REF!</v>
      </c>
      <c r="Q151" t="str">
        <f t="shared" si="5"/>
        <v>Yashwanth P</v>
      </c>
    </row>
    <row r="152" spans="1:17" hidden="1">
      <c r="A152" t="str">
        <f>Tracker[[#This Row],[DCR Owner]]</f>
        <v>Yashwanth Polisetti (ac06u)</v>
      </c>
      <c r="B152" t="str">
        <f t="shared" si="4"/>
        <v>Yashwanth Polisetti</v>
      </c>
      <c r="C152">
        <f>Tracker[[#This Row],[DCR ID - PTC]]</f>
        <v>18850820</v>
      </c>
      <c r="D152" t="s">
        <v>1886</v>
      </c>
      <c r="E152">
        <f>Tracker[[#This Row],[Estimated Hrs]]</f>
        <v>0</v>
      </c>
      <c r="F152">
        <f>Tracker[[#This Row],[Actual Efforts (Hrs)]]</f>
        <v>0</v>
      </c>
      <c r="G152">
        <f>Tracker[[#This Row],[Remaining Hrs]]</f>
        <v>0</v>
      </c>
      <c r="H152" t="str">
        <f>Tracker[[#This Row],[Summary]]</f>
        <v>Instead of using Fuel System Failure Flag directly use ppAftPartMatFiltSysInSenFailStBtmp for DOC OECS Intrusive - Ti</v>
      </c>
      <c r="I152" t="str">
        <f>Tracker[[#This Row],[DCRType]]</f>
        <v>Change Request</v>
      </c>
      <c r="J152" t="str">
        <f>Tracker[[#This Row],[PRCRState]]</f>
        <v>Implement</v>
      </c>
      <c r="K152">
        <f>Tracker[[#This Row],[Planned Start Date
&lt;dd-mm-yyyy&gt;]]</f>
        <v>0</v>
      </c>
      <c r="L152">
        <f>Tracker[[#This Row],[Planned Completion Date
&lt;dd-mm-yyyy&gt;]]</f>
        <v>46171</v>
      </c>
      <c r="M152">
        <f>Tracker[[#This Row],[Actual Start Date
&lt;dd-mm-yyyy&gt;]]</f>
        <v>0</v>
      </c>
      <c r="N152">
        <f>Tracker[[#This Row],[Actual Cmpln Date
&lt;dd-mm-yyyy&gt;]]</f>
        <v>46171</v>
      </c>
      <c r="O152" t="str">
        <f>Tracker[[#This Row],[At Risk]]</f>
        <v>Closed</v>
      </c>
      <c r="P152" t="e">
        <v>#REF!</v>
      </c>
      <c r="Q152" t="str">
        <f t="shared" si="5"/>
        <v>Yashwanth P</v>
      </c>
    </row>
    <row r="153" spans="1:17" hidden="1">
      <c r="A153" t="str">
        <f>Tracker[[#This Row],[DCR Owner]]</f>
        <v>Yashwanth Polisetti (ac06u)</v>
      </c>
      <c r="B153" t="str">
        <f t="shared" si="4"/>
        <v>Yashwanth Polisetti</v>
      </c>
      <c r="C153">
        <f>Tracker[[#This Row],[DCR ID - PTC]]</f>
        <v>18986418</v>
      </c>
      <c r="D153" t="s">
        <v>1886</v>
      </c>
      <c r="E153">
        <f>Tracker[[#This Row],[Estimated Hrs]]</f>
        <v>155</v>
      </c>
      <c r="F153">
        <f>Tracker[[#This Row],[Actual Efforts (Hrs)]]</f>
        <v>166</v>
      </c>
      <c r="G153">
        <f>Tracker[[#This Row],[Remaining Hrs]]</f>
        <v>-11</v>
      </c>
      <c r="H153" t="str">
        <f>Tracker[[#This Row],[Summary]]</f>
        <v>Implement New EDL for DOC OECS Intrusive Diagnostic - Ti</v>
      </c>
      <c r="I153" t="str">
        <f>Tracker[[#This Row],[DCRType]]</f>
        <v>Change Request</v>
      </c>
      <c r="J153" t="str">
        <f>Tracker[[#This Row],[PRCRState]]</f>
        <v>Implement</v>
      </c>
      <c r="K153">
        <f>Tracker[[#This Row],[Planned Start Date
&lt;dd-mm-yyyy&gt;]]</f>
        <v>0</v>
      </c>
      <c r="L153">
        <f>Tracker[[#This Row],[Planned Completion Date
&lt;dd-mm-yyyy&gt;]]</f>
        <v>46171</v>
      </c>
      <c r="M153">
        <f>Tracker[[#This Row],[Actual Start Date
&lt;dd-mm-yyyy&gt;]]</f>
        <v>0</v>
      </c>
      <c r="N153">
        <f>Tracker[[#This Row],[Actual Cmpln Date
&lt;dd-mm-yyyy&gt;]]</f>
        <v>46171</v>
      </c>
      <c r="O153" t="str">
        <f>Tracker[[#This Row],[At Risk]]</f>
        <v>Closed</v>
      </c>
      <c r="P153" t="e">
        <v>#REF!</v>
      </c>
      <c r="Q153" t="str">
        <f t="shared" si="5"/>
        <v>Yashwanth P</v>
      </c>
    </row>
    <row r="154" spans="1:17">
      <c r="A154" t="str">
        <f>Tracker[[#This Row],[DCR Owner]]</f>
        <v>Yashwanth Polisetti (ac06u)</v>
      </c>
      <c r="B154" t="str">
        <f t="shared" si="4"/>
        <v>Yashwanth Polisetti</v>
      </c>
      <c r="C154">
        <f>Tracker[[#This Row],[DCR ID - PTC]]</f>
        <v>19445226</v>
      </c>
      <c r="D154" t="s">
        <v>1886</v>
      </c>
      <c r="E154">
        <f>Tracker[[#This Row],[Estimated Hrs]]</f>
        <v>0</v>
      </c>
      <c r="F154">
        <f>Tracker[[#This Row],[Actual Efforts (Hrs)]]</f>
        <v>0</v>
      </c>
      <c r="G154">
        <f>Tracker[[#This Row],[Remaining Hrs]]</f>
        <v>0</v>
      </c>
      <c r="H154" t="str">
        <f>Tracker[[#This Row],[Summary]]</f>
        <v>HCU/MGU: DOC OECS diagnostic improvement</v>
      </c>
      <c r="I154" t="str">
        <f>Tracker[[#This Row],[DCRType]]</f>
        <v>Change Request</v>
      </c>
      <c r="J154" t="str">
        <f>Tracker[[#This Row],[PRCRState]]</f>
        <v>Implement</v>
      </c>
      <c r="K154">
        <f>Tracker[[#This Row],[Planned Start Date
&lt;dd-mm-yyyy&gt;]]</f>
        <v>0</v>
      </c>
      <c r="L154">
        <f>Tracker[[#This Row],[Planned Completion Date
&lt;dd-mm-yyyy&gt;]]</f>
        <v>46171</v>
      </c>
      <c r="M154">
        <f>Tracker[[#This Row],[Actual Start Date
&lt;dd-mm-yyyy&gt;]]</f>
        <v>0</v>
      </c>
      <c r="N154">
        <f>Tracker[[#This Row],[Actual Cmpln Date
&lt;dd-mm-yyyy&gt;]]</f>
        <v>46171</v>
      </c>
      <c r="O154" t="str">
        <f>Tracker[[#This Row],[At Risk]]</f>
        <v>Closed</v>
      </c>
      <c r="P154" t="str">
        <f>Tracker[[#This Row],[
Biz Type]]</f>
        <v>PFS</v>
      </c>
      <c r="Q154" t="str">
        <f t="shared" si="5"/>
        <v>Yashwanth P</v>
      </c>
    </row>
    <row r="155" spans="1:17">
      <c r="A155" t="str">
        <f>Tracker[[#This Row],[DCR Owner]]</f>
        <v>Yashwanth Polisetti (ac06u)</v>
      </c>
      <c r="B155" t="str">
        <f t="shared" si="4"/>
        <v>Yashwanth Polisetti</v>
      </c>
      <c r="C155">
        <f>Tracker[[#This Row],[DCR ID - PTC]]</f>
        <v>18330291</v>
      </c>
      <c r="D155" t="s">
        <v>1886</v>
      </c>
      <c r="E155">
        <f>Tracker[[#This Row],[Estimated Hrs]]</f>
        <v>0</v>
      </c>
      <c r="F155">
        <f>Tracker[[#This Row],[Actual Efforts (Hrs)]]</f>
        <v>0</v>
      </c>
      <c r="G155">
        <f>Tracker[[#This Row],[Remaining Hrs]]</f>
        <v>0</v>
      </c>
      <c r="H155" t="str">
        <f>Tracker[[#This Row],[Summary]]</f>
        <v>Addition of SysIO3Btmp in enable condition of all heater diagnostics</v>
      </c>
      <c r="I155" t="str">
        <f>Tracker[[#This Row],[DCRType]]</f>
        <v>Change Request</v>
      </c>
      <c r="J155" t="str">
        <f>Tracker[[#This Row],[PRCRState]]</f>
        <v>Implement</v>
      </c>
      <c r="K155">
        <f>Tracker[[#This Row],[Planned Start Date
&lt;dd-mm-yyyy&gt;]]</f>
        <v>0</v>
      </c>
      <c r="L155">
        <f>Tracker[[#This Row],[Planned Completion Date
&lt;dd-mm-yyyy&gt;]]</f>
        <v>46171</v>
      </c>
      <c r="M155">
        <f>Tracker[[#This Row],[Actual Start Date
&lt;dd-mm-yyyy&gt;]]</f>
        <v>0</v>
      </c>
      <c r="N155">
        <f>Tracker[[#This Row],[Actual Cmpln Date
&lt;dd-mm-yyyy&gt;]]</f>
        <v>46171</v>
      </c>
      <c r="O155" t="str">
        <f>Tracker[[#This Row],[At Risk]]</f>
        <v>Closed</v>
      </c>
      <c r="P155" t="str">
        <f>Tracker[[#This Row],[
Biz Type]]</f>
        <v>PFS</v>
      </c>
      <c r="Q155" t="str">
        <f t="shared" si="5"/>
        <v>Yashwanth P</v>
      </c>
    </row>
    <row r="156" spans="1:17">
      <c r="A156" t="str">
        <f>Tracker[[#This Row],[DCR Owner]]</f>
        <v>Yashwanth Polisetti (ac06u)</v>
      </c>
      <c r="B156" t="str">
        <f t="shared" si="4"/>
        <v>Yashwanth Polisetti</v>
      </c>
      <c r="C156">
        <f>Tracker[[#This Row],[DCR ID - PTC]]</f>
        <v>18652585</v>
      </c>
      <c r="D156" t="s">
        <v>1886</v>
      </c>
      <c r="E156">
        <f>Tracker[[#This Row],[Estimated Hrs]]</f>
        <v>0</v>
      </c>
      <c r="F156">
        <f>Tracker[[#This Row],[Actual Efforts (Hrs)]]</f>
        <v>20</v>
      </c>
      <c r="G156">
        <f>Tracker[[#This Row],[Remaining Hrs]]</f>
        <v>-20</v>
      </c>
      <c r="H156" t="str">
        <f>Tracker[[#This Row],[Summary]]</f>
        <v>Incorrect description for CaAftElecHtrChnl2PwrGain &amp; CaAftElecHtrChnl2PwrOfst --- ElectHtrDiag</v>
      </c>
      <c r="I156" t="str">
        <f>Tracker[[#This Row],[DCRType]]</f>
        <v>Defect</v>
      </c>
      <c r="J156" t="str">
        <f>Tracker[[#This Row],[PRCRState]]</f>
        <v>Implement</v>
      </c>
      <c r="K156">
        <f>Tracker[[#This Row],[Planned Start Date
&lt;dd-mm-yyyy&gt;]]</f>
        <v>0</v>
      </c>
      <c r="L156">
        <f>Tracker[[#This Row],[Planned Completion Date
&lt;dd-mm-yyyy&gt;]]</f>
        <v>46171</v>
      </c>
      <c r="M156">
        <f>Tracker[[#This Row],[Actual Start Date
&lt;dd-mm-yyyy&gt;]]</f>
        <v>0</v>
      </c>
      <c r="N156">
        <f>Tracker[[#This Row],[Actual Cmpln Date
&lt;dd-mm-yyyy&gt;]]</f>
        <v>46171</v>
      </c>
      <c r="O156" t="str">
        <f>Tracker[[#This Row],[At Risk]]</f>
        <v>Closed</v>
      </c>
      <c r="P156" t="str">
        <f>Tracker[[#This Row],[
Biz Type]]</f>
        <v>PFS</v>
      </c>
      <c r="Q156" t="str">
        <f t="shared" si="5"/>
        <v>Yashwanth P</v>
      </c>
    </row>
    <row r="157" spans="1:17">
      <c r="A157" t="str">
        <f>Tracker[[#This Row],[DCR Owner]]</f>
        <v>zameer shaik (au51w)</v>
      </c>
      <c r="B157" t="str">
        <f t="shared" si="4"/>
        <v>zameer shaik</v>
      </c>
      <c r="C157">
        <f>Tracker[[#This Row],[DCR ID - PTC]]</f>
        <v>16826530</v>
      </c>
      <c r="D157" t="s">
        <v>1886</v>
      </c>
      <c r="E157">
        <f>Tracker[[#This Row],[Estimated Hrs]]</f>
        <v>0</v>
      </c>
      <c r="F157">
        <f>Tracker[[#This Row],[Actual Efforts (Hrs)]]</f>
        <v>0</v>
      </c>
      <c r="G157">
        <f>Tracker[[#This Row],[Remaining Hrs]]</f>
        <v>0</v>
      </c>
      <c r="H157" t="str">
        <f>Tracker[[#This Row],[Summary]]</f>
        <v>dmAftElecIPwrDDOCHtrPwrDgrdCSERSErr: Complete CSAR OBD MS 4-5 review for LG and Barracuda</v>
      </c>
      <c r="I157" t="str">
        <f>Tracker[[#This Row],[DCRType]]</f>
        <v>Task</v>
      </c>
      <c r="J157">
        <f>Tracker[[#This Row],[PRCRState]]</f>
        <v>0</v>
      </c>
      <c r="K157">
        <f>Tracker[[#This Row],[Planned Start Date
&lt;dd-mm-yyyy&gt;]]</f>
        <v>0</v>
      </c>
      <c r="L157">
        <f>Tracker[[#This Row],[Planned Completion Date
&lt;dd-mm-yyyy&gt;]]</f>
        <v>0</v>
      </c>
      <c r="M157">
        <f>Tracker[[#This Row],[Actual Start Date
&lt;dd-mm-yyyy&gt;]]</f>
        <v>0</v>
      </c>
      <c r="N157">
        <f>Tracker[[#This Row],[Actual Cmpln Date
&lt;dd-mm-yyyy&gt;]]</f>
        <v>0</v>
      </c>
      <c r="O157" t="str">
        <f>Tracker[[#This Row],[At Risk]]</f>
        <v>On Hold</v>
      </c>
      <c r="P157">
        <f>Tracker[[#This Row],[
Biz Type]]</f>
        <v>0</v>
      </c>
      <c r="Q157" t="str">
        <f t="shared" si="5"/>
        <v>zame</v>
      </c>
    </row>
    <row r="158" spans="1:17">
      <c r="A158" t="str">
        <f>Tracker[[#This Row],[DCR Owner]]</f>
        <v>zameer shaik (au51w)</v>
      </c>
      <c r="B158" t="str">
        <f t="shared" si="4"/>
        <v>zameer shaik</v>
      </c>
      <c r="C158">
        <f>Tracker[[#This Row],[DCR ID - PTC]]</f>
        <v>16826535</v>
      </c>
      <c r="D158" t="s">
        <v>1886</v>
      </c>
      <c r="E158">
        <f>Tracker[[#This Row],[Estimated Hrs]]</f>
        <v>0</v>
      </c>
      <c r="F158">
        <f>Tracker[[#This Row],[Actual Efforts (Hrs)]]</f>
        <v>0</v>
      </c>
      <c r="G158">
        <f>Tracker[[#This Row],[Remaining Hrs]]</f>
        <v>0</v>
      </c>
      <c r="H158" t="str">
        <f>Tracker[[#This Row],[Summary]]</f>
        <v>dmAftElecIPwrDSCRHtrPwrDgrdCSERSErr: Complete CSAR OBD MS 4-5 review for LG and Barracuda</v>
      </c>
      <c r="I158" t="str">
        <f>Tracker[[#This Row],[DCRType]]</f>
        <v>Task</v>
      </c>
      <c r="J158">
        <f>Tracker[[#This Row],[PRCRState]]</f>
        <v>0</v>
      </c>
      <c r="K158">
        <f>Tracker[[#This Row],[Planned Start Date
&lt;dd-mm-yyyy&gt;]]</f>
        <v>0</v>
      </c>
      <c r="L158">
        <f>Tracker[[#This Row],[Planned Completion Date
&lt;dd-mm-yyyy&gt;]]</f>
        <v>0</v>
      </c>
      <c r="M158">
        <f>Tracker[[#This Row],[Actual Start Date
&lt;dd-mm-yyyy&gt;]]</f>
        <v>0</v>
      </c>
      <c r="N158">
        <f>Tracker[[#This Row],[Actual Cmpln Date
&lt;dd-mm-yyyy&gt;]]</f>
        <v>0</v>
      </c>
      <c r="O158" t="str">
        <f>Tracker[[#This Row],[At Risk]]</f>
        <v>On Hold</v>
      </c>
      <c r="P158">
        <f>Tracker[[#This Row],[
Biz Type]]</f>
        <v>0</v>
      </c>
      <c r="Q158" t="str">
        <f t="shared" si="5"/>
        <v>zame</v>
      </c>
    </row>
    <row r="159" spans="1:17">
      <c r="A159" t="str">
        <f>Tracker[[#This Row],[DCR Owner]]</f>
        <v>zameer shaik (au51w)</v>
      </c>
      <c r="B159" t="str">
        <f t="shared" si="4"/>
        <v>zameer shaik</v>
      </c>
      <c r="C159">
        <f>Tracker[[#This Row],[DCR ID - PTC]]</f>
        <v>19569485</v>
      </c>
      <c r="D159" t="s">
        <v>1886</v>
      </c>
      <c r="E159">
        <f>Tracker[[#This Row],[Estimated Hrs]]</f>
        <v>0</v>
      </c>
      <c r="F159">
        <f>Tracker[[#This Row],[Actual Efforts (Hrs)]]</f>
        <v>0</v>
      </c>
      <c r="G159">
        <f>Tracker[[#This Row],[Remaining Hrs]]</f>
        <v>0</v>
      </c>
      <c r="H159" t="str">
        <f>Tracker[[#This Row],[Summary]]</f>
        <v>Interface sheet update required for AftElecHtrProc2 component</v>
      </c>
      <c r="I159" t="str">
        <f>Tracker[[#This Row],[DCRType]]</f>
        <v>Change Request</v>
      </c>
      <c r="J159" t="str">
        <f>Tracker[[#This Row],[PRCRState]]</f>
        <v>Evaluate</v>
      </c>
      <c r="K159">
        <f>Tracker[[#This Row],[Planned Start Date
&lt;dd-mm-yyyy&gt;]]</f>
        <v>0</v>
      </c>
      <c r="L159">
        <f>Tracker[[#This Row],[Planned Completion Date
&lt;dd-mm-yyyy&gt;]]</f>
        <v>46157</v>
      </c>
      <c r="M159">
        <f>Tracker[[#This Row],[Actual Start Date
&lt;dd-mm-yyyy&gt;]]</f>
        <v>0</v>
      </c>
      <c r="N159">
        <f>Tracker[[#This Row],[Actual Cmpln Date
&lt;dd-mm-yyyy&gt;]]</f>
        <v>46157</v>
      </c>
      <c r="O159" t="str">
        <f>Tracker[[#This Row],[At Risk]]</f>
        <v>Closed</v>
      </c>
      <c r="P159" t="str">
        <f>Tracker[[#This Row],[
Biz Type]]</f>
        <v>PFS</v>
      </c>
      <c r="Q159" t="str">
        <f t="shared" si="5"/>
        <v>zame</v>
      </c>
    </row>
    <row r="160" spans="1:17">
      <c r="A160" t="str">
        <f>Tracker[[#This Row],[DCR Owner]]</f>
        <v>zameer shaik (au51w)</v>
      </c>
      <c r="B160" t="str">
        <f t="shared" si="4"/>
        <v>zameer shaik</v>
      </c>
      <c r="C160">
        <f>Tracker[[#This Row],[DCR ID - PTC]]</f>
        <v>19509024</v>
      </c>
      <c r="D160" t="s">
        <v>1886</v>
      </c>
      <c r="E160">
        <f>Tracker[[#This Row],[Estimated Hrs]]</f>
        <v>51.5</v>
      </c>
      <c r="F160">
        <f>Tracker[[#This Row],[Actual Efforts (Hrs)]]</f>
        <v>54.5</v>
      </c>
      <c r="G160">
        <f>Tracker[[#This Row],[Remaining Hrs]]</f>
        <v>-3</v>
      </c>
      <c r="H160" t="str">
        <f>Tracker[[#This Row],[Summary]]</f>
        <v>Update software so that Final Heater Power Request for Channel 1&amp; 2 will bezero when disable logic is true</v>
      </c>
      <c r="I160" t="str">
        <f>Tracker[[#This Row],[DCRType]]</f>
        <v>Defect</v>
      </c>
      <c r="J160" t="str">
        <f>Tracker[[#This Row],[PRCRState]]</f>
        <v>Evaluate</v>
      </c>
      <c r="K160">
        <f>Tracker[[#This Row],[Planned Start Date
&lt;dd-mm-yyyy&gt;]]</f>
        <v>0</v>
      </c>
      <c r="L160">
        <f>Tracker[[#This Row],[Planned Completion Date
&lt;dd-mm-yyyy&gt;]]</f>
        <v>46157</v>
      </c>
      <c r="M160">
        <f>Tracker[[#This Row],[Actual Start Date
&lt;dd-mm-yyyy&gt;]]</f>
        <v>0</v>
      </c>
      <c r="N160">
        <f>Tracker[[#This Row],[Actual Cmpln Date
&lt;dd-mm-yyyy&gt;]]</f>
        <v>46157</v>
      </c>
      <c r="O160" t="str">
        <f>Tracker[[#This Row],[At Risk]]</f>
        <v>Closed</v>
      </c>
      <c r="P160" t="str">
        <f>Tracker[[#This Row],[
Biz Type]]</f>
        <v>PFS</v>
      </c>
      <c r="Q160" t="str">
        <f t="shared" si="5"/>
        <v>zame</v>
      </c>
    </row>
    <row r="161" spans="1:17">
      <c r="A161" t="str">
        <f>Tracker[[#This Row],[DCR Owner]]</f>
        <v>zameer shaik (au51w)</v>
      </c>
      <c r="B161" t="str">
        <f t="shared" si="4"/>
        <v>zameer shaik</v>
      </c>
      <c r="C161">
        <f>Tracker[[#This Row],[DCR ID - PTC]]</f>
        <v>19433442</v>
      </c>
      <c r="D161" t="s">
        <v>1886</v>
      </c>
      <c r="E161">
        <f>Tracker[[#This Row],[Estimated Hrs]]</f>
        <v>0</v>
      </c>
      <c r="F161">
        <f>Tracker[[#This Row],[Actual Efforts (Hrs)]]</f>
        <v>0</v>
      </c>
      <c r="G161">
        <f>Tracker[[#This Row],[Remaining Hrs]]</f>
        <v>0</v>
      </c>
      <c r="H161" t="str">
        <f>Tracker[[#This Row],[Summary]]</f>
        <v>Addition of ppPartMatFiltSysInpOutpErrsBtmp2_deVal  in DOC Heater Disable - AftElecHtrProc Component</v>
      </c>
      <c r="I161" t="str">
        <f>Tracker[[#This Row],[DCRType]]</f>
        <v>Change Request</v>
      </c>
      <c r="J161" t="str">
        <f>Tracker[[#This Row],[PRCRState]]</f>
        <v>Task</v>
      </c>
      <c r="K161">
        <f>Tracker[[#This Row],[Planned Start Date
&lt;dd-mm-yyyy&gt;]]</f>
        <v>0</v>
      </c>
      <c r="L161">
        <f>Tracker[[#This Row],[Planned Completion Date
&lt;dd-mm-yyyy&gt;]]</f>
        <v>0</v>
      </c>
      <c r="M161">
        <f>Tracker[[#This Row],[Actual Start Date
&lt;dd-mm-yyyy&gt;]]</f>
        <v>0</v>
      </c>
      <c r="N161">
        <f>Tracker[[#This Row],[Actual Cmpln Date
&lt;dd-mm-yyyy&gt;]]</f>
        <v>0</v>
      </c>
      <c r="O161">
        <f>Tracker[[#This Row],[At Risk]]</f>
        <v>0</v>
      </c>
      <c r="P161">
        <f>Tracker[[#This Row],[
Biz Type]]</f>
        <v>0</v>
      </c>
      <c r="Q161" t="str">
        <f t="shared" si="5"/>
        <v>zame</v>
      </c>
    </row>
    <row r="162" spans="1:17">
      <c r="A162" t="str">
        <f>Tracker[[#This Row],[DCR Owner]]</f>
        <v>zameer shaik (au51w)</v>
      </c>
      <c r="B162" t="str">
        <f t="shared" si="4"/>
        <v>zameer shaik</v>
      </c>
      <c r="C162">
        <f>Tracker[[#This Row],[DCR ID - PTC]]</f>
        <v>18306361</v>
      </c>
      <c r="D162" t="s">
        <v>1886</v>
      </c>
      <c r="E162">
        <f>Tracker[[#This Row],[Estimated Hrs]]</f>
        <v>0</v>
      </c>
      <c r="F162">
        <f>Tracker[[#This Row],[Actual Efforts (Hrs)]]</f>
        <v>0</v>
      </c>
      <c r="G162">
        <f>Tracker[[#This Row],[Remaining Hrs]]</f>
        <v>0</v>
      </c>
      <c r="H162" t="str">
        <f>Tracker[[#This Row],[Summary]]</f>
        <v>Incorrect Default value for calibration CaAftElecHtrProcChnl1FinalPwrRqstGain , CaAftElecHtrDOCHtrDsblTime, CaAftElecHtrProcChnl2FinalPwrRqstGain , CaAftElecHtrSCRHtrDsblTime- AftElecHtrProc Component</v>
      </c>
      <c r="I162" t="str">
        <f>Tracker[[#This Row],[DCRType]]</f>
        <v>Defect</v>
      </c>
      <c r="J162" t="str">
        <f>Tracker[[#This Row],[PRCRState]]</f>
        <v>Task</v>
      </c>
      <c r="K162">
        <f>Tracker[[#This Row],[Planned Start Date
&lt;dd-mm-yyyy&gt;]]</f>
        <v>0</v>
      </c>
      <c r="L162">
        <f>Tracker[[#This Row],[Planned Completion Date
&lt;dd-mm-yyyy&gt;]]</f>
        <v>0</v>
      </c>
      <c r="M162">
        <f>Tracker[[#This Row],[Actual Start Date
&lt;dd-mm-yyyy&gt;]]</f>
        <v>0</v>
      </c>
      <c r="N162">
        <f>Tracker[[#This Row],[Actual Cmpln Date
&lt;dd-mm-yyyy&gt;]]</f>
        <v>0</v>
      </c>
      <c r="O162">
        <f>Tracker[[#This Row],[At Risk]]</f>
        <v>0</v>
      </c>
      <c r="P162">
        <f>Tracker[[#This Row],[
Biz Type]]</f>
        <v>0</v>
      </c>
      <c r="Q162" t="str">
        <f t="shared" si="5"/>
        <v>zame</v>
      </c>
    </row>
    <row r="163" spans="1:17">
      <c r="A163" t="str">
        <f>Tracker[[#This Row],[DCR Owner]]</f>
        <v>zameer shaik (au51w)</v>
      </c>
      <c r="B163" t="str">
        <f t="shared" si="4"/>
        <v>zameer shaik</v>
      </c>
      <c r="C163">
        <f>Tracker[[#This Row],[DCR ID - PTC]]</f>
        <v>16346866</v>
      </c>
      <c r="D163" t="s">
        <v>1886</v>
      </c>
      <c r="E163">
        <f>Tracker[[#This Row],[Estimated Hrs]]</f>
        <v>0</v>
      </c>
      <c r="F163">
        <f>Tracker[[#This Row],[Actual Efforts (Hrs)]]</f>
        <v>0</v>
      </c>
      <c r="G163">
        <f>Tracker[[#This Row],[Remaining Hrs]]</f>
        <v>0</v>
      </c>
      <c r="H163" t="str">
        <f>Tracker[[#This Row],[Summary]]</f>
        <v xml:space="preserve">OECS  and CSERS Diagnostics creation for IPD Heater </v>
      </c>
      <c r="I163" t="str">
        <f>Tracker[[#This Row],[DCRType]]</f>
        <v>Change Request</v>
      </c>
      <c r="J163" t="str">
        <f>Tracker[[#This Row],[PRCRState]]</f>
        <v>Task</v>
      </c>
      <c r="K163">
        <f>Tracker[[#This Row],[Planned Start Date
&lt;dd-mm-yyyy&gt;]]</f>
        <v>0</v>
      </c>
      <c r="L163">
        <f>Tracker[[#This Row],[Planned Completion Date
&lt;dd-mm-yyyy&gt;]]</f>
        <v>0</v>
      </c>
      <c r="M163">
        <f>Tracker[[#This Row],[Actual Start Date
&lt;dd-mm-yyyy&gt;]]</f>
        <v>0</v>
      </c>
      <c r="N163">
        <f>Tracker[[#This Row],[Actual Cmpln Date
&lt;dd-mm-yyyy&gt;]]</f>
        <v>0</v>
      </c>
      <c r="O163">
        <f>Tracker[[#This Row],[At Risk]]</f>
        <v>0</v>
      </c>
      <c r="P163">
        <f>Tracker[[#This Row],[
Biz Type]]</f>
        <v>0</v>
      </c>
      <c r="Q163" t="str">
        <f t="shared" si="5"/>
        <v>zame</v>
      </c>
    </row>
    <row r="164" spans="1:17">
      <c r="A164" t="str">
        <f>Tracker[[#This Row],[DCR Owner]]</f>
        <v>zameer shaik (au51w)</v>
      </c>
      <c r="B164" t="str">
        <f t="shared" si="4"/>
        <v>zameer shaik</v>
      </c>
      <c r="C164">
        <f>Tracker[[#This Row],[DCR ID - PTC]]</f>
        <v>19569485</v>
      </c>
      <c r="D164" t="s">
        <v>1886</v>
      </c>
      <c r="E164">
        <f>Tracker[[#This Row],[Estimated Hrs]]</f>
        <v>0</v>
      </c>
      <c r="F164">
        <f>Tracker[[#This Row],[Actual Efforts (Hrs)]]</f>
        <v>0</v>
      </c>
      <c r="G164">
        <f>Tracker[[#This Row],[Remaining Hrs]]</f>
        <v>0</v>
      </c>
      <c r="H164" t="str">
        <f>Tracker[[#This Row],[Summary]]</f>
        <v>Interface sheet update required for AftElecHtrProc2 component</v>
      </c>
      <c r="I164">
        <f>Tracker[[#This Row],[DCRType]]</f>
        <v>0</v>
      </c>
      <c r="J164" t="str">
        <f>Tracker[[#This Row],[PRCRState]]</f>
        <v>Implement</v>
      </c>
      <c r="K164">
        <f>Tracker[[#This Row],[Planned Start Date
&lt;dd-mm-yyyy&gt;]]</f>
        <v>0</v>
      </c>
      <c r="L164">
        <f>Tracker[[#This Row],[Planned Completion Date
&lt;dd-mm-yyyy&gt;]]</f>
        <v>46164</v>
      </c>
      <c r="M164">
        <f>Tracker[[#This Row],[Actual Start Date
&lt;dd-mm-yyyy&gt;]]</f>
        <v>0</v>
      </c>
      <c r="N164">
        <f>Tracker[[#This Row],[Actual Cmpln Date
&lt;dd-mm-yyyy&gt;]]</f>
        <v>46168</v>
      </c>
      <c r="O164" t="str">
        <f>Tracker[[#This Row],[At Risk]]</f>
        <v>Closed</v>
      </c>
      <c r="P164" t="str">
        <f>Tracker[[#This Row],[
Biz Type]]</f>
        <v>PFS</v>
      </c>
      <c r="Q164" t="str">
        <f t="shared" si="5"/>
        <v>zame</v>
      </c>
    </row>
    <row r="165" spans="1:17">
      <c r="A165" t="str">
        <f>Tracker[[#This Row],[DCR Owner]]</f>
        <v>zameer shaik (au51w)</v>
      </c>
      <c r="B165" t="str">
        <f t="shared" si="4"/>
        <v>zameer shaik</v>
      </c>
      <c r="C165">
        <f>Tracker[[#This Row],[DCR ID - PTC]]</f>
        <v>19509024</v>
      </c>
      <c r="D165" t="s">
        <v>1886</v>
      </c>
      <c r="E165">
        <f>Tracker[[#This Row],[Estimated Hrs]]</f>
        <v>60</v>
      </c>
      <c r="F165">
        <f>Tracker[[#This Row],[Actual Efforts (Hrs)]]</f>
        <v>48.5</v>
      </c>
      <c r="G165">
        <f>Tracker[[#This Row],[Remaining Hrs]]</f>
        <v>11.5</v>
      </c>
      <c r="H165" t="str">
        <f>Tracker[[#This Row],[Summary]]</f>
        <v>Update software so that Final Heater Power Request for Channel 1&amp; 2 will bezero when disable logic is true</v>
      </c>
      <c r="I165">
        <f>Tracker[[#This Row],[DCRType]]</f>
        <v>0</v>
      </c>
      <c r="J165" t="str">
        <f>Tracker[[#This Row],[PRCRState]]</f>
        <v>Implement</v>
      </c>
      <c r="K165">
        <f>Tracker[[#This Row],[Planned Start Date
&lt;dd-mm-yyyy&gt;]]</f>
        <v>0</v>
      </c>
      <c r="L165">
        <f>Tracker[[#This Row],[Planned Completion Date
&lt;dd-mm-yyyy&gt;]]</f>
        <v>46164</v>
      </c>
      <c r="M165">
        <f>Tracker[[#This Row],[Actual Start Date
&lt;dd-mm-yyyy&gt;]]</f>
        <v>0</v>
      </c>
      <c r="N165">
        <f>Tracker[[#This Row],[Actual Cmpln Date
&lt;dd-mm-yyyy&gt;]]</f>
        <v>46168</v>
      </c>
      <c r="O165" t="str">
        <f>Tracker[[#This Row],[At Risk]]</f>
        <v>Closed</v>
      </c>
      <c r="P165" t="str">
        <f>Tracker[[#This Row],[
Biz Type]]</f>
        <v>PFS</v>
      </c>
      <c r="Q165" t="str">
        <f t="shared" si="5"/>
        <v>zame</v>
      </c>
    </row>
    <row r="166" spans="1:17">
      <c r="A166" t="str">
        <f>Tracker[[#This Row],[DCR Owner]]</f>
        <v>Shraddha Tilloo</v>
      </c>
      <c r="B166" t="str">
        <f t="shared" si="4"/>
        <v>Shraddh</v>
      </c>
      <c r="C166">
        <f>Tracker[[#This Row],[DCR ID - PTC]]</f>
        <v>19312547</v>
      </c>
      <c r="D166" t="s">
        <v>1886</v>
      </c>
      <c r="E166">
        <f>Tracker[[#This Row],[Estimated Hrs]]</f>
        <v>8</v>
      </c>
      <c r="F166">
        <f>Tracker[[#This Row],[Actual Efforts (Hrs)]]</f>
        <v>10</v>
      </c>
      <c r="G166">
        <f>Tracker[[#This Row],[Remaining Hrs]]</f>
        <v>-2</v>
      </c>
      <c r="H166" t="str">
        <f>Tracker[[#This Row],[Summary]]</f>
        <v>Evaluate FTIS Support for HC Doser Pressure Fault Snapshot Mapping</v>
      </c>
      <c r="I166" t="str">
        <f>Tracker[[#This Row],[DCRType]]</f>
        <v>Task</v>
      </c>
      <c r="J166" t="str">
        <f>Tracker[[#This Row],[PRCRState]]</f>
        <v>Evaluate</v>
      </c>
      <c r="K166">
        <f>Tracker[[#This Row],[Planned Start Date
&lt;dd-mm-yyyy&gt;]]</f>
        <v>0</v>
      </c>
      <c r="L166">
        <f>Tracker[[#This Row],[Planned Completion Date
&lt;dd-mm-yyyy&gt;]]</f>
        <v>46157</v>
      </c>
      <c r="M166">
        <f>Tracker[[#This Row],[Actual Start Date
&lt;dd-mm-yyyy&gt;]]</f>
        <v>0</v>
      </c>
      <c r="N166">
        <f>Tracker[[#This Row],[Actual Cmpln Date
&lt;dd-mm-yyyy&gt;]]</f>
        <v>46157</v>
      </c>
      <c r="O166" t="str">
        <f>Tracker[[#This Row],[At Risk]]</f>
        <v>Closed</v>
      </c>
      <c r="P166" t="str">
        <f>Tracker[[#This Row],[
Biz Type]]</f>
        <v>PFS</v>
      </c>
      <c r="Q166" t="e">
        <f t="shared" si="5"/>
        <v>#VALUE!</v>
      </c>
    </row>
    <row r="167" spans="1:17">
      <c r="A167" t="str">
        <f>Tracker[[#This Row],[DCR Owner]]</f>
        <v>Shraddha Tilloo</v>
      </c>
      <c r="B167" t="str">
        <f t="shared" si="4"/>
        <v>Shraddh</v>
      </c>
      <c r="C167">
        <f>Tracker[[#This Row],[DCR ID - PTC]]</f>
        <v>19312547</v>
      </c>
      <c r="D167" t="s">
        <v>1886</v>
      </c>
      <c r="E167">
        <f>Tracker[[#This Row],[Estimated Hrs]]</f>
        <v>20</v>
      </c>
      <c r="F167">
        <f>Tracker[[#This Row],[Actual Efforts (Hrs)]]</f>
        <v>29</v>
      </c>
      <c r="G167">
        <f>Tracker[[#This Row],[Remaining Hrs]]</f>
        <v>0</v>
      </c>
      <c r="H167" t="str">
        <f>Tracker[[#This Row],[Summary]]</f>
        <v>Evaluate FTIS Support for HC Doser Pressure Fault Snapshot Mapping</v>
      </c>
      <c r="I167" t="str">
        <f>Tracker[[#This Row],[DCRType]]</f>
        <v>Task</v>
      </c>
      <c r="J167" t="str">
        <f>Tracker[[#This Row],[PRCRState]]</f>
        <v>Implement</v>
      </c>
      <c r="K167">
        <f>Tracker[[#This Row],[Planned Start Date
&lt;dd-mm-yyyy&gt;]]</f>
        <v>0</v>
      </c>
      <c r="L167">
        <f>Tracker[[#This Row],[Planned Completion Date
&lt;dd-mm-yyyy&gt;]]</f>
        <v>0</v>
      </c>
      <c r="M167">
        <f>Tracker[[#This Row],[Actual Start Date
&lt;dd-mm-yyyy&gt;]]</f>
        <v>0</v>
      </c>
      <c r="N167">
        <f>Tracker[[#This Row],[Actual Cmpln Date
&lt;dd-mm-yyyy&gt;]]</f>
        <v>0</v>
      </c>
      <c r="O167" t="str">
        <f>Tracker[[#This Row],[At Risk]]</f>
        <v>Closed</v>
      </c>
      <c r="P167">
        <f>Tracker[[#This Row],[
Biz Type]]</f>
        <v>0</v>
      </c>
      <c r="Q167" t="e">
        <f t="shared" si="5"/>
        <v>#VALUE!</v>
      </c>
    </row>
    <row r="168" spans="1:17">
      <c r="A168" t="str">
        <f>Tracker[[#This Row],[DCR Owner]]</f>
        <v>Prathyusha Guttapalem (ag14k)</v>
      </c>
      <c r="B168" t="str">
        <f t="shared" si="4"/>
        <v>Prathyusha Guttapalem</v>
      </c>
      <c r="C168">
        <f>Tracker[[#This Row],[DCR ID - PTC]]</f>
        <v>19163955</v>
      </c>
      <c r="D168" t="s">
        <v>1886</v>
      </c>
      <c r="E168">
        <f>Tracker[[#This Row],[Estimated Hrs]]</f>
        <v>0</v>
      </c>
      <c r="F168">
        <f>Tracker[[#This Row],[Actual Efforts (Hrs)]]</f>
        <v>8</v>
      </c>
      <c r="G168">
        <f>Tracker[[#This Row],[Remaining Hrs]]</f>
        <v>-8</v>
      </c>
      <c r="H168" t="str">
        <f>Tracker[[#This Row],[Summary]]</f>
        <v>Creation of OBDM for AftDiesPartFiltEffDiag</v>
      </c>
      <c r="I168">
        <f>Tracker[[#This Row],[DCRType]]</f>
        <v>0</v>
      </c>
      <c r="J168" t="str">
        <f>Tracker[[#This Row],[PRCRState]]</f>
        <v>Implement_NA</v>
      </c>
      <c r="K168">
        <f>Tracker[[#This Row],[Planned Start Date
&lt;dd-mm-yyyy&gt;]]</f>
        <v>0</v>
      </c>
      <c r="L168">
        <f>Tracker[[#This Row],[Planned Completion Date
&lt;dd-mm-yyyy&gt;]]</f>
        <v>0</v>
      </c>
      <c r="M168">
        <f>Tracker[[#This Row],[Actual Start Date
&lt;dd-mm-yyyy&gt;]]</f>
        <v>0</v>
      </c>
      <c r="N168">
        <f>Tracker[[#This Row],[Actual Cmpln Date
&lt;dd-mm-yyyy&gt;]]</f>
        <v>0</v>
      </c>
      <c r="O168" t="str">
        <f>Tracker[[#This Row],[At Risk]]</f>
        <v>Closed</v>
      </c>
      <c r="P168">
        <f>Tracker[[#This Row],[
Biz Type]]</f>
        <v>0</v>
      </c>
      <c r="Q168" t="str">
        <f t="shared" si="5"/>
        <v>Prathyusha Gu</v>
      </c>
    </row>
    <row r="169" spans="1:17">
      <c r="A169" t="str">
        <f>Tracker[[#This Row],[DCR Owner]]</f>
        <v>Danduboyina Sindhu (al24v)</v>
      </c>
      <c r="B169" t="str">
        <f t="shared" si="4"/>
        <v>Danduboyina Sindhu</v>
      </c>
      <c r="C169">
        <f>Tracker[[#This Row],[DCR ID - PTC]]</f>
        <v>19634192</v>
      </c>
      <c r="D169" t="s">
        <v>1886</v>
      </c>
      <c r="E169">
        <f>Tracker[[#This Row],[Estimated Hrs]]</f>
        <v>10</v>
      </c>
      <c r="F169">
        <f>Tracker[[#This Row],[Actual Efforts (Hrs)]]</f>
        <v>9</v>
      </c>
      <c r="G169">
        <f>Tracker[[#This Row],[Remaining Hrs]]</f>
        <v>1</v>
      </c>
      <c r="H169" t="str">
        <f>Tracker[[#This Row],[Summary]]</f>
        <v>OBDM FIM Update required - Shared calibration not defined correctly - AftDiesOxidCatClsLoopDiag</v>
      </c>
      <c r="I169">
        <f>Tracker[[#This Row],[DCRType]]</f>
        <v>0</v>
      </c>
      <c r="J169" t="str">
        <f>Tracker[[#This Row],[PRCRState]]</f>
        <v>Implement</v>
      </c>
      <c r="K169">
        <f>Tracker[[#This Row],[Planned Start Date
&lt;dd-mm-yyyy&gt;]]</f>
        <v>0</v>
      </c>
      <c r="L169">
        <f>Tracker[[#This Row],[Planned Completion Date
&lt;dd-mm-yyyy&gt;]]</f>
        <v>46170</v>
      </c>
      <c r="M169">
        <f>Tracker[[#This Row],[Actual Start Date
&lt;dd-mm-yyyy&gt;]]</f>
        <v>0</v>
      </c>
      <c r="N169">
        <f>Tracker[[#This Row],[Actual Cmpln Date
&lt;dd-mm-yyyy&gt;]]</f>
        <v>46171</v>
      </c>
      <c r="O169" t="str">
        <f>Tracker[[#This Row],[At Risk]]</f>
        <v>Closed</v>
      </c>
      <c r="P169" t="str">
        <f>Tracker[[#This Row],[
Biz Type]]</f>
        <v>PFS</v>
      </c>
      <c r="Q169" t="str">
        <f t="shared" si="5"/>
        <v>Danduboyin</v>
      </c>
    </row>
    <row r="170" spans="1:17">
      <c r="A170" t="str">
        <f>Tracker[[#This Row],[DCR Owner]]</f>
        <v>Anshul Upreti</v>
      </c>
      <c r="B170" t="str">
        <f t="shared" si="4"/>
        <v>Anshu</v>
      </c>
      <c r="C170">
        <f>Tracker[[#This Row],[DCR ID - PTC]]</f>
        <v>14966080</v>
      </c>
      <c r="D170" t="s">
        <v>1886</v>
      </c>
      <c r="E170">
        <f>Tracker[[#This Row],[Estimated Hrs]]</f>
        <v>0</v>
      </c>
      <c r="F170">
        <f>Tracker[[#This Row],[Actual Efforts (Hrs)]]</f>
        <v>162</v>
      </c>
      <c r="G170">
        <f>Tracker[[#This Row],[Remaining Hrs]]</f>
        <v>-162</v>
      </c>
      <c r="H170" t="str">
        <f>Tracker[[#This Row],[Summary]]</f>
        <v>Dummy dcr</v>
      </c>
      <c r="I170">
        <f>Tracker[[#This Row],[DCRType]]</f>
        <v>0</v>
      </c>
      <c r="J170" t="str">
        <f>Tracker[[#This Row],[PRCRState]]</f>
        <v>Implement_NA</v>
      </c>
      <c r="K170">
        <f>Tracker[[#This Row],[Planned Start Date
&lt;dd-mm-yyyy&gt;]]</f>
        <v>0</v>
      </c>
      <c r="L170">
        <f>Tracker[[#This Row],[Planned Completion Date
&lt;dd-mm-yyyy&gt;]]</f>
        <v>0</v>
      </c>
      <c r="M170">
        <f>Tracker[[#This Row],[Actual Start Date
&lt;dd-mm-yyyy&gt;]]</f>
        <v>0</v>
      </c>
      <c r="N170">
        <f>Tracker[[#This Row],[Actual Cmpln Date
&lt;dd-mm-yyyy&gt;]]</f>
        <v>0</v>
      </c>
      <c r="O170" t="str">
        <f>Tracker[[#This Row],[At Risk]]</f>
        <v>On Track</v>
      </c>
      <c r="P170">
        <f>Tracker[[#This Row],[
Biz Type]]</f>
        <v>0</v>
      </c>
      <c r="Q170" t="e">
        <f t="shared" si="5"/>
        <v>#VALUE!</v>
      </c>
    </row>
    <row r="171" spans="1:17">
      <c r="A171" t="str">
        <f>Tracker[[#This Row],[DCR Owner]]</f>
        <v>U Madhura Sandhya</v>
      </c>
      <c r="B171" t="str">
        <f t="shared" si="4"/>
        <v>U Madhura</v>
      </c>
      <c r="C171">
        <f>Tracker[[#This Row],[DCR ID - PTC]]</f>
        <v>12942271</v>
      </c>
      <c r="D171" t="s">
        <v>1886</v>
      </c>
      <c r="E171">
        <f>Tracker[[#This Row],[Estimated Hrs]]</f>
        <v>0</v>
      </c>
      <c r="F171">
        <f>Tracker[[#This Row],[Actual Efforts (Hrs)]]</f>
        <v>248</v>
      </c>
      <c r="G171">
        <f>Tracker[[#This Row],[Remaining Hrs]]</f>
        <v>-248</v>
      </c>
      <c r="H171" t="str">
        <f>Tracker[[#This Row],[Summary]]</f>
        <v>Dummy dcr</v>
      </c>
      <c r="I171">
        <f>Tracker[[#This Row],[DCRType]]</f>
        <v>0</v>
      </c>
      <c r="J171" t="str">
        <f>Tracker[[#This Row],[PRCRState]]</f>
        <v>Implement_NA</v>
      </c>
      <c r="K171">
        <f>Tracker[[#This Row],[Planned Start Date
&lt;dd-mm-yyyy&gt;]]</f>
        <v>0</v>
      </c>
      <c r="L171">
        <f>Tracker[[#This Row],[Planned Completion Date
&lt;dd-mm-yyyy&gt;]]</f>
        <v>0</v>
      </c>
      <c r="M171">
        <f>Tracker[[#This Row],[Actual Start Date
&lt;dd-mm-yyyy&gt;]]</f>
        <v>0</v>
      </c>
      <c r="N171">
        <f>Tracker[[#This Row],[Actual Cmpln Date
&lt;dd-mm-yyyy&gt;]]</f>
        <v>0</v>
      </c>
      <c r="O171" t="str">
        <f>Tracker[[#This Row],[At Risk]]</f>
        <v>On Track</v>
      </c>
      <c r="P171">
        <f>Tracker[[#This Row],[
Biz Type]]</f>
        <v>0</v>
      </c>
      <c r="Q171" t="str">
        <f t="shared" si="5"/>
        <v>U</v>
      </c>
    </row>
    <row r="172" spans="1:17">
      <c r="A172" t="str">
        <f>Tracker[[#This Row],[DCR Owner]]</f>
        <v>sumitkumar patil (wf330)</v>
      </c>
      <c r="B172" t="str">
        <f t="shared" si="4"/>
        <v>sumitkumar patil</v>
      </c>
      <c r="C172">
        <f>Tracker[[#This Row],[DCR ID - PTC]]</f>
        <v>19734138</v>
      </c>
      <c r="D172" t="s">
        <v>1886</v>
      </c>
      <c r="E172">
        <f>Tracker[[#This Row],[Estimated Hrs]]</f>
        <v>50</v>
      </c>
      <c r="F172">
        <f>Tracker[[#This Row],[Actual Efforts (Hrs)]]</f>
        <v>70.75</v>
      </c>
      <c r="G172">
        <f>Tracker[[#This Row],[Remaining Hrs]]</f>
        <v>-20.75</v>
      </c>
      <c r="H172" t="str">
        <f>Tracker[[#This Row],[Summary]]</f>
        <v>Ms4-5 work of dmInhSwtTimeRegenErr</v>
      </c>
      <c r="I172">
        <f>Tracker[[#This Row],[DCRType]]</f>
        <v>0</v>
      </c>
      <c r="J172" t="str">
        <f>Tracker[[#This Row],[PRCRState]]</f>
        <v>Task</v>
      </c>
      <c r="K172">
        <f>Tracker[[#This Row],[Planned Start Date
&lt;dd-mm-yyyy&gt;]]</f>
        <v>0</v>
      </c>
      <c r="L172">
        <f>Tracker[[#This Row],[Planned Completion Date
&lt;dd-mm-yyyy&gt;]]</f>
        <v>0</v>
      </c>
      <c r="M172">
        <f>Tracker[[#This Row],[Actual Start Date
&lt;dd-mm-yyyy&gt;]]</f>
        <v>0</v>
      </c>
      <c r="N172">
        <f>Tracker[[#This Row],[Actual Cmpln Date
&lt;dd-mm-yyyy&gt;]]</f>
        <v>0</v>
      </c>
      <c r="O172" t="str">
        <f>Tracker[[#This Row],[At Risk]]</f>
        <v>On Track</v>
      </c>
      <c r="P172">
        <f>Tracker[[#This Row],[
Biz Type]]</f>
        <v>0</v>
      </c>
      <c r="Q172" t="str">
        <f t="shared" si="5"/>
        <v>sumitkum</v>
      </c>
    </row>
    <row r="173" spans="1:17">
      <c r="A173" t="str">
        <f>Tracker[[#This Row],[DCR Owner]]</f>
        <v>Boyella Varun Teja (ag14b)</v>
      </c>
      <c r="B173" t="str">
        <f t="shared" si="4"/>
        <v>Boyella Varun Teja</v>
      </c>
      <c r="C173">
        <f>Tracker[[#This Row],[DCR ID - PTC]]</f>
        <v>19392732</v>
      </c>
      <c r="D173" t="s">
        <v>1886</v>
      </c>
      <c r="E173">
        <f>Tracker[[#This Row],[Estimated Hrs]]</f>
        <v>0</v>
      </c>
      <c r="F173">
        <f>Tracker[[#This Row],[Actual Efforts (Hrs)]]</f>
        <v>0</v>
      </c>
      <c r="G173">
        <f>Tracker[[#This Row],[Remaining Hrs]]</f>
        <v>0</v>
      </c>
      <c r="H173" t="str">
        <f>Tracker[[#This Row],[Summary]]</f>
        <v>AftElecHtr2Diag: E-heater Stuck On and IRL diagnostics logic update</v>
      </c>
      <c r="I173">
        <f>Tracker[[#This Row],[DCRType]]</f>
        <v>0</v>
      </c>
      <c r="J173" t="str">
        <f>Tracker[[#This Row],[PRCRState]]</f>
        <v>Evaluate</v>
      </c>
      <c r="K173">
        <f>Tracker[[#This Row],[Planned Start Date
&lt;dd-mm-yyyy&gt;]]</f>
        <v>0</v>
      </c>
      <c r="L173">
        <f>Tracker[[#This Row],[Planned Completion Date
&lt;dd-mm-yyyy&gt;]]</f>
        <v>0</v>
      </c>
      <c r="M173">
        <f>Tracker[[#This Row],[Actual Start Date
&lt;dd-mm-yyyy&gt;]]</f>
        <v>0</v>
      </c>
      <c r="N173">
        <f>Tracker[[#This Row],[Actual Cmpln Date
&lt;dd-mm-yyyy&gt;]]</f>
        <v>0</v>
      </c>
      <c r="O173" t="str">
        <f>Tracker[[#This Row],[At Risk]]</f>
        <v>On Track</v>
      </c>
      <c r="P173">
        <f>Tracker[[#This Row],[
Biz Type]]</f>
        <v>0</v>
      </c>
      <c r="Q173" t="str">
        <f t="shared" si="5"/>
        <v>Boyella Va</v>
      </c>
    </row>
    <row r="174" spans="1:17">
      <c r="A174" t="str">
        <f>Tracker[[#This Row],[DCR Owner]]</f>
        <v>Boyella Varun Teja (ag14b)</v>
      </c>
      <c r="B174" t="str">
        <f t="shared" si="4"/>
        <v>Boyella Varun Teja</v>
      </c>
      <c r="C174">
        <f>Tracker[[#This Row],[DCR ID - PTC]]</f>
        <v>19392732</v>
      </c>
      <c r="D174" t="s">
        <v>1886</v>
      </c>
      <c r="E174">
        <f>Tracker[[#This Row],[Estimated Hrs]]</f>
        <v>0</v>
      </c>
      <c r="F174">
        <f>Tracker[[#This Row],[Actual Efforts (Hrs)]]</f>
        <v>0</v>
      </c>
      <c r="G174">
        <f>Tracker[[#This Row],[Remaining Hrs]]</f>
        <v>0</v>
      </c>
      <c r="H174" t="str">
        <f>Tracker[[#This Row],[Summary]]</f>
        <v>AftElecHtr2Diag: E-heater Stuck On and IRL diagnostics logic update</v>
      </c>
      <c r="I174">
        <f>Tracker[[#This Row],[DCRType]]</f>
        <v>0</v>
      </c>
      <c r="J174" t="str">
        <f>Tracker[[#This Row],[PRCRState]]</f>
        <v>Implement</v>
      </c>
      <c r="K174">
        <f>Tracker[[#This Row],[Planned Start Date
&lt;dd-mm-yyyy&gt;]]</f>
        <v>0</v>
      </c>
      <c r="L174">
        <f>Tracker[[#This Row],[Planned Completion Date
&lt;dd-mm-yyyy&gt;]]</f>
        <v>0</v>
      </c>
      <c r="M174">
        <f>Tracker[[#This Row],[Actual Start Date
&lt;dd-mm-yyyy&gt;]]</f>
        <v>0</v>
      </c>
      <c r="N174">
        <f>Tracker[[#This Row],[Actual Cmpln Date
&lt;dd-mm-yyyy&gt;]]</f>
        <v>0</v>
      </c>
      <c r="O174" t="str">
        <f>Tracker[[#This Row],[At Risk]]</f>
        <v>Yet to start</v>
      </c>
      <c r="P174">
        <f>Tracker[[#This Row],[
Biz Type]]</f>
        <v>0</v>
      </c>
      <c r="Q174" t="str">
        <f t="shared" si="5"/>
        <v>Boyella Va</v>
      </c>
    </row>
    <row r="175" spans="1:17">
      <c r="A175" t="str">
        <f>Tracker[[#This Row],[DCR Owner]]</f>
        <v>Boyella Varun Teja (ag14b)</v>
      </c>
      <c r="B175" t="str">
        <f t="shared" si="4"/>
        <v>Boyella Varun Teja</v>
      </c>
      <c r="C175">
        <f>Tracker[[#This Row],[DCR ID - PTC]]</f>
        <v>19657044</v>
      </c>
      <c r="D175" t="s">
        <v>1886</v>
      </c>
      <c r="E175">
        <f>Tracker[[#This Row],[Estimated Hrs]]</f>
        <v>0</v>
      </c>
      <c r="F175">
        <f>Tracker[[#This Row],[Actual Efforts (Hrs)]]</f>
        <v>0</v>
      </c>
      <c r="G175">
        <f>Tracker[[#This Row],[Remaining Hrs]]</f>
        <v>0</v>
      </c>
      <c r="H175" t="str">
        <f>Tracker[[#This Row],[Summary]]</f>
        <v>Update heater diagnostic AftElecHtr2WakeInpOpenCktErr</v>
      </c>
      <c r="I175">
        <f>Tracker[[#This Row],[DCRType]]</f>
        <v>0</v>
      </c>
      <c r="J175" t="str">
        <f>Tracker[[#This Row],[PRCRState]]</f>
        <v>Evaluate</v>
      </c>
      <c r="K175">
        <f>Tracker[[#This Row],[Planned Start Date
&lt;dd-mm-yyyy&gt;]]</f>
        <v>0</v>
      </c>
      <c r="L175">
        <f>Tracker[[#This Row],[Planned Completion Date
&lt;dd-mm-yyyy&gt;]]</f>
        <v>0</v>
      </c>
      <c r="M175">
        <f>Tracker[[#This Row],[Actual Start Date
&lt;dd-mm-yyyy&gt;]]</f>
        <v>0</v>
      </c>
      <c r="N175">
        <f>Tracker[[#This Row],[Actual Cmpln Date
&lt;dd-mm-yyyy&gt;]]</f>
        <v>0</v>
      </c>
      <c r="O175" t="str">
        <f>Tracker[[#This Row],[At Risk]]</f>
        <v>Closed</v>
      </c>
      <c r="P175">
        <f>Tracker[[#This Row],[
Biz Type]]</f>
        <v>0</v>
      </c>
      <c r="Q175" t="str">
        <f t="shared" si="5"/>
        <v>Boyella Va</v>
      </c>
    </row>
    <row r="176" spans="1:17">
      <c r="A176" t="str">
        <f>Tracker[[#This Row],[DCR Owner]]</f>
        <v>Boyella Varun Teja (ag14b)</v>
      </c>
      <c r="B176" t="str">
        <f t="shared" si="4"/>
        <v>Boyella Varun Teja</v>
      </c>
      <c r="C176">
        <f>Tracker[[#This Row],[DCR ID - PTC]]</f>
        <v>19657044</v>
      </c>
      <c r="D176" t="s">
        <v>1886</v>
      </c>
      <c r="E176">
        <f>Tracker[[#This Row],[Estimated Hrs]]</f>
        <v>0</v>
      </c>
      <c r="F176">
        <f>Tracker[[#This Row],[Actual Efforts (Hrs)]]</f>
        <v>0</v>
      </c>
      <c r="G176">
        <f>Tracker[[#This Row],[Remaining Hrs]]</f>
        <v>0</v>
      </c>
      <c r="H176" t="str">
        <f>Tracker[[#This Row],[Summary]]</f>
        <v>Update heater diagnostic AftElecHtr2WakeInpOpenCktErr</v>
      </c>
      <c r="I176">
        <f>Tracker[[#This Row],[DCRType]]</f>
        <v>0</v>
      </c>
      <c r="J176" t="str">
        <f>Tracker[[#This Row],[PRCRState]]</f>
        <v>Implement</v>
      </c>
      <c r="K176">
        <f>Tracker[[#This Row],[Planned Start Date
&lt;dd-mm-yyyy&gt;]]</f>
        <v>0</v>
      </c>
      <c r="L176">
        <f>Tracker[[#This Row],[Planned Completion Date
&lt;dd-mm-yyyy&gt;]]</f>
        <v>0</v>
      </c>
      <c r="M176">
        <f>Tracker[[#This Row],[Actual Start Date
&lt;dd-mm-yyyy&gt;]]</f>
        <v>0</v>
      </c>
      <c r="N176">
        <f>Tracker[[#This Row],[Actual Cmpln Date
&lt;dd-mm-yyyy&gt;]]</f>
        <v>0</v>
      </c>
      <c r="O176" t="str">
        <f>Tracker[[#This Row],[At Risk]]</f>
        <v>Yet to start</v>
      </c>
      <c r="P176">
        <f>Tracker[[#This Row],[
Biz Type]]</f>
        <v>0</v>
      </c>
      <c r="Q176" t="str">
        <f t="shared" si="5"/>
        <v>Boyella Va</v>
      </c>
    </row>
    <row r="177" spans="1:17">
      <c r="A177" t="str">
        <f>Tracker[[#This Row],[DCR Owner]]</f>
        <v>Danduboyina Sindhu (al24v)</v>
      </c>
      <c r="B177" t="str">
        <f t="shared" si="4"/>
        <v>Danduboyina Sindhu</v>
      </c>
      <c r="C177">
        <f>Tracker[[#This Row],[DCR ID - PTC]]</f>
        <v>19572045</v>
      </c>
      <c r="D177" t="s">
        <v>1886</v>
      </c>
      <c r="E177">
        <f>Tracker[[#This Row],[Estimated Hrs]]</f>
        <v>180</v>
      </c>
      <c r="F177">
        <f>Tracker[[#This Row],[Actual Efforts (Hrs)]]</f>
        <v>0</v>
      </c>
      <c r="G177">
        <f>Tracker[[#This Row],[Remaining Hrs]]</f>
        <v>0</v>
      </c>
      <c r="H177" t="str">
        <f>Tracker[[#This Row],[Summary]]</f>
        <v>CSAR Migration : Inclusion of a service-based reset for Ineffective Regen following the completion of maintenance tests.</v>
      </c>
      <c r="I177">
        <f>Tracker[[#This Row],[DCRType]]</f>
        <v>0</v>
      </c>
      <c r="J177" t="str">
        <f>Tracker[[#This Row],[PRCRState]]</f>
        <v>Implement</v>
      </c>
      <c r="K177">
        <f>Tracker[[#This Row],[Planned Start Date
&lt;dd-mm-yyyy&gt;]]</f>
        <v>0</v>
      </c>
      <c r="L177">
        <f>Tracker[[#This Row],[Planned Completion Date
&lt;dd-mm-yyyy&gt;]]</f>
        <v>0</v>
      </c>
      <c r="M177">
        <f>Tracker[[#This Row],[Actual Start Date
&lt;dd-mm-yyyy&gt;]]</f>
        <v>0</v>
      </c>
      <c r="N177">
        <f>Tracker[[#This Row],[Actual Cmpln Date
&lt;dd-mm-yyyy&gt;]]</f>
        <v>0</v>
      </c>
      <c r="O177" t="str">
        <f>Tracker[[#This Row],[At Risk]]</f>
        <v>On Track</v>
      </c>
      <c r="P177">
        <f>Tracker[[#This Row],[
Biz Type]]</f>
        <v>0</v>
      </c>
      <c r="Q177" t="str">
        <f t="shared" si="5"/>
        <v>Danduboyin</v>
      </c>
    </row>
    <row r="178" spans="1:17">
      <c r="A178" t="str">
        <f>Tracker[[#This Row],[DCR Owner]]</f>
        <v>shrutika shete (ac06r)</v>
      </c>
      <c r="B178" t="str">
        <f t="shared" si="4"/>
        <v>shrutika shete</v>
      </c>
      <c r="C178">
        <f>Tracker[[#This Row],[DCR ID - PTC]]</f>
        <v>19661917</v>
      </c>
      <c r="D178" t="s">
        <v>1886</v>
      </c>
      <c r="E178">
        <f>Tracker[[#This Row],[Estimated Hrs]]</f>
        <v>32.5</v>
      </c>
      <c r="F178">
        <f>Tracker[[#This Row],[Actual Efforts (Hrs)]]</f>
        <v>40.4</v>
      </c>
      <c r="G178">
        <f>Tracker[[#This Row],[Remaining Hrs]]</f>
        <v>-7.8999999999999986</v>
      </c>
      <c r="H178" t="str">
        <f>Tracker[[#This Row],[Summary]]</f>
        <v>Pre DOC heater disable logic update required as it needs to be considered only when eheater service test is triggered - AftDualHtrCtrlIPwrD Component</v>
      </c>
      <c r="I178">
        <f>Tracker[[#This Row],[DCRType]]</f>
        <v>0</v>
      </c>
      <c r="J178" t="str">
        <f>Tracker[[#This Row],[PRCRState]]</f>
        <v>Implement</v>
      </c>
      <c r="K178">
        <f>Tracker[[#This Row],[Planned Start Date
&lt;dd-mm-yyyy&gt;]]</f>
        <v>0</v>
      </c>
      <c r="L178">
        <f>Tracker[[#This Row],[Planned Completion Date
&lt;dd-mm-yyyy&gt;]]</f>
        <v>46164</v>
      </c>
      <c r="M178">
        <f>Tracker[[#This Row],[Actual Start Date
&lt;dd-mm-yyyy&gt;]]</f>
        <v>0</v>
      </c>
      <c r="N178">
        <f>Tracker[[#This Row],[Actual Cmpln Date
&lt;dd-mm-yyyy&gt;]]</f>
        <v>46168</v>
      </c>
      <c r="O178" t="str">
        <f>Tracker[[#This Row],[At Risk]]</f>
        <v>Closed</v>
      </c>
      <c r="P178" t="str">
        <f>Tracker[[#This Row],[
Biz Type]]</f>
        <v>PFS</v>
      </c>
      <c r="Q178" t="str">
        <f t="shared" si="5"/>
        <v>shruti</v>
      </c>
    </row>
    <row r="179" spans="1:17">
      <c r="A179" t="str">
        <f>Tracker[[#This Row],[DCR Owner]]</f>
        <v>Danduboyina Sindhu (al24v)</v>
      </c>
      <c r="B179" t="str">
        <f t="shared" si="4"/>
        <v>Danduboyina Sindhu</v>
      </c>
      <c r="C179">
        <f>Tracker[[#This Row],[DCR ID - PTC]]</f>
        <v>18795425</v>
      </c>
      <c r="D179" t="s">
        <v>1886</v>
      </c>
      <c r="E179">
        <f>Tracker[[#This Row],[Estimated Hrs]]</f>
        <v>15</v>
      </c>
      <c r="F179">
        <f>Tracker[[#This Row],[Actual Efforts (Hrs)]]</f>
        <v>32</v>
      </c>
      <c r="G179">
        <f>Tracker[[#This Row],[Remaining Hrs]]</f>
        <v>-17</v>
      </c>
      <c r="H179" t="str">
        <f>Tracker[[#This Row],[Summary]]</f>
        <v>Incorrect fault read in AftOpModePrmt for HC errors</v>
      </c>
      <c r="I179">
        <f>Tracker[[#This Row],[DCRType]]</f>
        <v>0</v>
      </c>
      <c r="J179" t="str">
        <f>Tracker[[#This Row],[PRCRState]]</f>
        <v>Evaluate</v>
      </c>
      <c r="K179">
        <f>Tracker[[#This Row],[Planned Start Date
&lt;dd-mm-yyyy&gt;]]</f>
        <v>0</v>
      </c>
      <c r="L179">
        <f>Tracker[[#This Row],[Planned Completion Date
&lt;dd-mm-yyyy&gt;]]</f>
        <v>0</v>
      </c>
      <c r="M179">
        <f>Tracker[[#This Row],[Actual Start Date
&lt;dd-mm-yyyy&gt;]]</f>
        <v>0</v>
      </c>
      <c r="N179">
        <f>Tracker[[#This Row],[Actual Cmpln Date
&lt;dd-mm-yyyy&gt;]]</f>
        <v>0</v>
      </c>
      <c r="O179" t="str">
        <f>Tracker[[#This Row],[At Risk]]</f>
        <v>On Track</v>
      </c>
      <c r="P179">
        <f>Tracker[[#This Row],[
Biz Type]]</f>
        <v>0</v>
      </c>
      <c r="Q179" t="str">
        <f t="shared" si="5"/>
        <v>Danduboyin</v>
      </c>
    </row>
    <row r="180" spans="1:17">
      <c r="A180" t="str">
        <f>Tracker[[#This Row],[DCR Owner]]</f>
        <v>Danduboyina Sindhu (al24v)</v>
      </c>
      <c r="B180" t="str">
        <f t="shared" si="4"/>
        <v>Danduboyina Sindhu</v>
      </c>
      <c r="C180">
        <f>Tracker[[#This Row],[DCR ID - PTC]]</f>
        <v>18795425</v>
      </c>
      <c r="D180" t="s">
        <v>1886</v>
      </c>
      <c r="E180">
        <f>Tracker[[#This Row],[Estimated Hrs]]</f>
        <v>30</v>
      </c>
      <c r="F180">
        <f>Tracker[[#This Row],[Actual Efforts (Hrs)]]</f>
        <v>2</v>
      </c>
      <c r="G180">
        <f>Tracker[[#This Row],[Remaining Hrs]]</f>
        <v>28</v>
      </c>
      <c r="H180" t="str">
        <f>Tracker[[#This Row],[Summary]]</f>
        <v>Incorrect fault read in AftOpModePrmt for HC errors</v>
      </c>
      <c r="I180">
        <f>Tracker[[#This Row],[DCRType]]</f>
        <v>0</v>
      </c>
      <c r="J180" t="str">
        <f>Tracker[[#This Row],[PRCRState]]</f>
        <v>Implement</v>
      </c>
      <c r="K180">
        <f>Tracker[[#This Row],[Planned Start Date
&lt;dd-mm-yyyy&gt;]]</f>
        <v>0</v>
      </c>
      <c r="L180">
        <f>Tracker[[#This Row],[Planned Completion Date
&lt;dd-mm-yyyy&gt;]]</f>
        <v>0</v>
      </c>
      <c r="M180">
        <f>Tracker[[#This Row],[Actual Start Date
&lt;dd-mm-yyyy&gt;]]</f>
        <v>0</v>
      </c>
      <c r="N180">
        <f>Tracker[[#This Row],[Actual Cmpln Date
&lt;dd-mm-yyyy&gt;]]</f>
        <v>0</v>
      </c>
      <c r="O180" t="str">
        <f>Tracker[[#This Row],[At Risk]]</f>
        <v>On Track</v>
      </c>
      <c r="P180">
        <f>Tracker[[#This Row],[
Biz Type]]</f>
        <v>0</v>
      </c>
      <c r="Q180" t="str">
        <f t="shared" si="5"/>
        <v>Danduboyin</v>
      </c>
    </row>
    <row r="181" spans="1:17">
      <c r="A181" t="str">
        <f>Tracker[[#This Row],[DCR Owner]]</f>
        <v>iram nazneen (wa667)</v>
      </c>
      <c r="B181" t="str">
        <f t="shared" si="4"/>
        <v>iram nazneen</v>
      </c>
      <c r="C181">
        <f>Tracker[[#This Row],[DCR ID - PTC]]</f>
        <v>18505556</v>
      </c>
      <c r="D181" t="s">
        <v>1886</v>
      </c>
      <c r="E181">
        <f>Tracker[[#This Row],[Estimated Hrs]]</f>
        <v>105</v>
      </c>
      <c r="F181">
        <f>Tracker[[#This Row],[Actual Efforts (Hrs)]]</f>
        <v>83.5</v>
      </c>
      <c r="G181">
        <f>Tracker[[#This Row],[Remaining Hrs]]</f>
        <v>21.5</v>
      </c>
      <c r="H181" t="str">
        <f>Tracker[[#This Row],[Summary]]</f>
        <v>DOC maintenance required monitor specifically for B100 fuel applications</v>
      </c>
      <c r="I181">
        <f>Tracker[[#This Row],[DCRType]]</f>
        <v>0</v>
      </c>
      <c r="J181" t="str">
        <f>Tracker[[#This Row],[PRCRState]]</f>
        <v>Evaluate</v>
      </c>
      <c r="K181">
        <f>Tracker[[#This Row],[Planned Start Date
&lt;dd-mm-yyyy&gt;]]</f>
        <v>0</v>
      </c>
      <c r="L181">
        <f>Tracker[[#This Row],[Planned Completion Date
&lt;dd-mm-yyyy&gt;]]</f>
        <v>0</v>
      </c>
      <c r="M181">
        <f>Tracker[[#This Row],[Actual Start Date
&lt;dd-mm-yyyy&gt;]]</f>
        <v>0</v>
      </c>
      <c r="N181">
        <f>Tracker[[#This Row],[Actual Cmpln Date
&lt;dd-mm-yyyy&gt;]]</f>
        <v>0</v>
      </c>
      <c r="O181" t="str">
        <f>Tracker[[#This Row],[At Risk]]</f>
        <v>At Risk</v>
      </c>
      <c r="P181">
        <f>Tracker[[#This Row],[
Biz Type]]</f>
        <v>0</v>
      </c>
      <c r="Q181" t="str">
        <f t="shared" si="5"/>
        <v>iram</v>
      </c>
    </row>
    <row r="182" spans="1:17">
      <c r="A182" t="str">
        <f>Tracker[[#This Row],[DCR Owner]]</f>
        <v>iram nazneen (wa667)</v>
      </c>
      <c r="B182" t="str">
        <f t="shared" si="4"/>
        <v>iram nazneen</v>
      </c>
      <c r="C182">
        <f>Tracker[[#This Row],[DCR ID - PTC]]</f>
        <v>18505556</v>
      </c>
      <c r="D182" t="s">
        <v>1886</v>
      </c>
      <c r="E182">
        <f>Tracker[[#This Row],[Estimated Hrs]]</f>
        <v>190</v>
      </c>
      <c r="F182">
        <f>Tracker[[#This Row],[Actual Efforts (Hrs)]]</f>
        <v>0</v>
      </c>
      <c r="G182">
        <f>Tracker[[#This Row],[Remaining Hrs]]</f>
        <v>190</v>
      </c>
      <c r="H182" t="str">
        <f>Tracker[[#This Row],[Summary]]</f>
        <v>DOC maintenance required monitor specifically for B100 fuel applications</v>
      </c>
      <c r="I182">
        <f>Tracker[[#This Row],[DCRType]]</f>
        <v>0</v>
      </c>
      <c r="J182" t="str">
        <f>Tracker[[#This Row],[PRCRState]]</f>
        <v>Implement</v>
      </c>
      <c r="K182">
        <f>Tracker[[#This Row],[Planned Start Date
&lt;dd-mm-yyyy&gt;]]</f>
        <v>0</v>
      </c>
      <c r="L182">
        <f>Tracker[[#This Row],[Planned Completion Date
&lt;dd-mm-yyyy&gt;]]</f>
        <v>0</v>
      </c>
      <c r="M182">
        <f>Tracker[[#This Row],[Actual Start Date
&lt;dd-mm-yyyy&gt;]]</f>
        <v>0</v>
      </c>
      <c r="N182">
        <f>Tracker[[#This Row],[Actual Cmpln Date
&lt;dd-mm-yyyy&gt;]]</f>
        <v>0</v>
      </c>
      <c r="O182" t="str">
        <f>Tracker[[#This Row],[At Risk]]</f>
        <v>next Sprint</v>
      </c>
      <c r="P182">
        <f>Tracker[[#This Row],[
Biz Type]]</f>
        <v>0</v>
      </c>
      <c r="Q182" t="str">
        <f t="shared" si="5"/>
        <v>iram</v>
      </c>
    </row>
    <row r="183" spans="1:17">
      <c r="A183" t="str">
        <f>Tracker[[#This Row],[DCR Owner]]</f>
        <v>Boyella Varun Teja (ag14b)</v>
      </c>
      <c r="B183" t="str">
        <f t="shared" si="4"/>
        <v>Boyella Varun Teja</v>
      </c>
      <c r="C183">
        <f>Tracker[[#This Row],[DCR ID - PTC]]</f>
        <v>19538930</v>
      </c>
      <c r="D183" t="s">
        <v>1886</v>
      </c>
      <c r="E183">
        <f>Tracker[[#This Row],[Estimated Hrs]]</f>
        <v>100</v>
      </c>
      <c r="F183">
        <f>Tracker[[#This Row],[Actual Efforts (Hrs)]]</f>
        <v>104.75</v>
      </c>
      <c r="G183">
        <f>Tracker[[#This Row],[Remaining Hrs]]</f>
        <v>-4.75</v>
      </c>
      <c r="H183" t="str">
        <f>Tracker[[#This Row],[Summary]]</f>
        <v>Electric Heater 2   Diagnositc For ECM</v>
      </c>
      <c r="I183">
        <f>Tracker[[#This Row],[DCRType]]</f>
        <v>0</v>
      </c>
      <c r="J183" t="str">
        <f>Tracker[[#This Row],[PRCRState]]</f>
        <v>Evaluate</v>
      </c>
      <c r="K183">
        <f>Tracker[[#This Row],[Planned Start Date
&lt;dd-mm-yyyy&gt;]]</f>
        <v>0</v>
      </c>
      <c r="L183">
        <f>Tracker[[#This Row],[Planned Completion Date
&lt;dd-mm-yyyy&gt;]]</f>
        <v>0</v>
      </c>
      <c r="M183">
        <f>Tracker[[#This Row],[Actual Start Date
&lt;dd-mm-yyyy&gt;]]</f>
        <v>0</v>
      </c>
      <c r="N183">
        <f>Tracker[[#This Row],[Actual Cmpln Date
&lt;dd-mm-yyyy&gt;]]</f>
        <v>0</v>
      </c>
      <c r="O183" t="str">
        <f>Tracker[[#This Row],[At Risk]]</f>
        <v>On Track</v>
      </c>
      <c r="P183">
        <f>Tracker[[#This Row],[
Biz Type]]</f>
        <v>0</v>
      </c>
      <c r="Q183" t="str">
        <f t="shared" si="5"/>
        <v>Boyella Va</v>
      </c>
    </row>
    <row r="184" spans="1:17">
      <c r="A184" t="str">
        <f>Tracker[[#This Row],[DCR Owner]]</f>
        <v>Boyella Varun Teja (ag14b)</v>
      </c>
      <c r="B184" t="str">
        <f t="shared" si="4"/>
        <v>Boyella Varun Teja</v>
      </c>
      <c r="C184">
        <f>Tracker[[#This Row],[DCR ID - PTC]]</f>
        <v>19538930</v>
      </c>
      <c r="D184" t="s">
        <v>1886</v>
      </c>
      <c r="E184">
        <f>Tracker[[#This Row],[Estimated Hrs]]</f>
        <v>212</v>
      </c>
      <c r="F184">
        <f>Tracker[[#This Row],[Actual Efforts (Hrs)]]</f>
        <v>75</v>
      </c>
      <c r="G184">
        <f>Tracker[[#This Row],[Remaining Hrs]]</f>
        <v>137</v>
      </c>
      <c r="H184" t="str">
        <f>Tracker[[#This Row],[Summary]]</f>
        <v>Electric Heater 2   Diagnositc For ECM</v>
      </c>
      <c r="I184">
        <f>Tracker[[#This Row],[DCRType]]</f>
        <v>0</v>
      </c>
      <c r="J184" t="str">
        <f>Tracker[[#This Row],[PRCRState]]</f>
        <v>Implement</v>
      </c>
      <c r="K184">
        <f>Tracker[[#This Row],[Planned Start Date
&lt;dd-mm-yyyy&gt;]]</f>
        <v>0</v>
      </c>
      <c r="L184">
        <f>Tracker[[#This Row],[Planned Completion Date
&lt;dd-mm-yyyy&gt;]]</f>
        <v>0</v>
      </c>
      <c r="M184">
        <f>Tracker[[#This Row],[Actual Start Date
&lt;dd-mm-yyyy&gt;]]</f>
        <v>0</v>
      </c>
      <c r="N184">
        <f>Tracker[[#This Row],[Actual Cmpln Date
&lt;dd-mm-yyyy&gt;]]</f>
        <v>0</v>
      </c>
      <c r="O184" t="str">
        <f>Tracker[[#This Row],[At Risk]]</f>
        <v>On Track</v>
      </c>
      <c r="P184">
        <f>Tracker[[#This Row],[
Biz Type]]</f>
        <v>0</v>
      </c>
      <c r="Q184" t="str">
        <f t="shared" si="5"/>
        <v>Boyella Va</v>
      </c>
    </row>
    <row r="185" spans="1:17">
      <c r="A185" t="str">
        <f>Tracker[[#This Row],[DCR Owner]]</f>
        <v>Boyella Varun Teja (ag14b)</v>
      </c>
      <c r="B185" t="str">
        <f t="shared" si="4"/>
        <v>Boyella Varun Teja</v>
      </c>
      <c r="C185">
        <f>Tracker[[#This Row],[DCR ID - PTC]]</f>
        <v>19688476</v>
      </c>
      <c r="D185" t="s">
        <v>1886</v>
      </c>
      <c r="E185">
        <f>Tracker[[#This Row],[Estimated Hrs]]</f>
        <v>3</v>
      </c>
      <c r="F185">
        <f>Tracker[[#This Row],[Actual Efforts (Hrs)]]</f>
        <v>1</v>
      </c>
      <c r="G185">
        <f>Tracker[[#This Row],[Remaining Hrs]]</f>
        <v>2</v>
      </c>
      <c r="H185" t="str">
        <f>Tracker[[#This Row],[Summary]]</f>
        <v xml:space="preserve">HCU Diganostics OBDM File Inconsistencies - Cert doc missmatch infotmation
</v>
      </c>
      <c r="I185">
        <f>Tracker[[#This Row],[DCRType]]</f>
        <v>0</v>
      </c>
      <c r="J185" t="str">
        <f>Tracker[[#This Row],[PRCRState]]</f>
        <v>Implement</v>
      </c>
      <c r="K185">
        <f>Tracker[[#This Row],[Planned Start Date
&lt;dd-mm-yyyy&gt;]]</f>
        <v>0</v>
      </c>
      <c r="L185">
        <f>Tracker[[#This Row],[Planned Completion Date
&lt;dd-mm-yyyy&gt;]]</f>
        <v>46178</v>
      </c>
      <c r="M185">
        <f>Tracker[[#This Row],[Actual Start Date
&lt;dd-mm-yyyy&gt;]]</f>
        <v>0</v>
      </c>
      <c r="N185">
        <f>Tracker[[#This Row],[Actual Cmpln Date
&lt;dd-mm-yyyy&gt;]]</f>
        <v>46171</v>
      </c>
      <c r="O185" t="str">
        <f>Tracker[[#This Row],[At Risk]]</f>
        <v>Rejected</v>
      </c>
      <c r="P185">
        <f>Tracker[[#This Row],[
Biz Type]]</f>
        <v>0</v>
      </c>
      <c r="Q185" t="str">
        <f t="shared" si="5"/>
        <v>Boyella Va</v>
      </c>
    </row>
    <row r="186" spans="1:17">
      <c r="A186" t="str">
        <f>Tracker[[#This Row],[DCR Owner]]</f>
        <v>Swayangdipta sarkar (wa754)</v>
      </c>
      <c r="B186" t="str">
        <f t="shared" si="4"/>
        <v>Swayangdipta sarkar</v>
      </c>
      <c r="C186">
        <f>Tracker[[#This Row],[DCR ID - PTC]]</f>
        <v>14528192</v>
      </c>
      <c r="D186" t="s">
        <v>1886</v>
      </c>
      <c r="E186">
        <f>Tracker[[#This Row],[Estimated Hrs]]</f>
        <v>10</v>
      </c>
      <c r="F186">
        <f>Tracker[[#This Row],[Actual Efforts (Hrs)]]</f>
        <v>10</v>
      </c>
      <c r="G186">
        <f>Tracker[[#This Row],[Remaining Hrs]]</f>
        <v>0</v>
      </c>
      <c r="H186" t="str">
        <f>Tracker[[#This Row],[Summary]]</f>
        <v>CSAR certDoc : VCOND creation  for AftDiesOxidCatHCH2OAdsrbDsrb component</v>
      </c>
      <c r="I186">
        <f>Tracker[[#This Row],[DCRType]]</f>
        <v>0</v>
      </c>
      <c r="J186" t="str">
        <f>Tracker[[#This Row],[PRCRState]]</f>
        <v>Implement</v>
      </c>
      <c r="K186">
        <f>Tracker[[#This Row],[Planned Start Date
&lt;dd-mm-yyyy&gt;]]</f>
        <v>0</v>
      </c>
      <c r="L186">
        <f>Tracker[[#This Row],[Planned Completion Date
&lt;dd-mm-yyyy&gt;]]</f>
        <v>46171</v>
      </c>
      <c r="M186">
        <f>Tracker[[#This Row],[Actual Start Date
&lt;dd-mm-yyyy&gt;]]</f>
        <v>0</v>
      </c>
      <c r="N186">
        <f>Tracker[[#This Row],[Actual Cmpln Date
&lt;dd-mm-yyyy&gt;]]</f>
        <v>46169</v>
      </c>
      <c r="O186" t="str">
        <f>Tracker[[#This Row],[At Risk]]</f>
        <v>Closed</v>
      </c>
      <c r="P186" t="str">
        <f>Tracker[[#This Row],[
Biz Type]]</f>
        <v>PFS</v>
      </c>
      <c r="Q186" t="str">
        <f t="shared" si="5"/>
        <v>Swayangdipt</v>
      </c>
    </row>
    <row r="187" spans="1:17">
      <c r="A187" t="str">
        <f>Tracker[[#This Row],[DCR Owner]]</f>
        <v>Shraddha Tilloo</v>
      </c>
      <c r="B187" t="str">
        <f t="shared" si="4"/>
        <v>Shraddh</v>
      </c>
      <c r="C187">
        <f>Tracker[[#This Row],[DCR ID - PTC]]</f>
        <v>19023103</v>
      </c>
      <c r="D187" t="s">
        <v>1886</v>
      </c>
      <c r="E187">
        <f>Tracker[[#This Row],[Estimated Hrs]]</f>
        <v>44</v>
      </c>
      <c r="F187">
        <f>Tracker[[#This Row],[Actual Efforts (Hrs)]]</f>
        <v>57.5</v>
      </c>
      <c r="G187">
        <f>Tracker[[#This Row],[Remaining Hrs]]</f>
        <v>0</v>
      </c>
      <c r="H187" t="str">
        <f>Tracker[[#This Row],[Summary]]</f>
        <v>STLA PU MY25/27: Update DOCA service test with correct oper mode parameters</v>
      </c>
      <c r="I187" t="str">
        <f>Tracker[[#This Row],[DCRType]]</f>
        <v>Task</v>
      </c>
      <c r="J187" t="str">
        <f>Tracker[[#This Row],[PRCRState]]</f>
        <v>Evaluate</v>
      </c>
      <c r="K187">
        <f>Tracker[[#This Row],[Planned Start Date
&lt;dd-mm-yyyy&gt;]]</f>
        <v>0</v>
      </c>
      <c r="L187">
        <f>Tracker[[#This Row],[Planned Completion Date
&lt;dd-mm-yyyy&gt;]]</f>
        <v>0</v>
      </c>
      <c r="M187">
        <f>Tracker[[#This Row],[Actual Start Date
&lt;dd-mm-yyyy&gt;]]</f>
        <v>0</v>
      </c>
      <c r="N187">
        <f>Tracker[[#This Row],[Actual Cmpln Date
&lt;dd-mm-yyyy&gt;]]</f>
        <v>0</v>
      </c>
      <c r="O187" t="str">
        <f>Tracker[[#This Row],[At Risk]]</f>
        <v>Closed</v>
      </c>
      <c r="P187">
        <f>Tracker[[#This Row],[
Biz Type]]</f>
        <v>0</v>
      </c>
      <c r="Q187" t="e">
        <f t="shared" si="5"/>
        <v>#VALUE!</v>
      </c>
    </row>
    <row r="188" spans="1:17">
      <c r="A188" t="str">
        <f>Tracker[[#This Row],[DCR Owner]]</f>
        <v>Anushka P Gaikwad (wf298)</v>
      </c>
      <c r="B188" t="str">
        <f t="shared" si="4"/>
        <v>Anushka P Gaikwad</v>
      </c>
      <c r="C188">
        <f>Tracker[[#This Row],[DCR ID - PTC]]</f>
        <v>19634431</v>
      </c>
      <c r="D188" t="s">
        <v>1886</v>
      </c>
      <c r="E188">
        <f>Tracker[[#This Row],[Estimated Hrs]]</f>
        <v>24</v>
      </c>
      <c r="F188">
        <f>Tracker[[#This Row],[Actual Efforts (Hrs)]]</f>
        <v>25.75</v>
      </c>
      <c r="G188">
        <f>Tracker[[#This Row],[Remaining Hrs]]</f>
        <v>-1.75</v>
      </c>
      <c r="H188" t="str">
        <f>Tracker[[#This Row],[Summary]]</f>
        <v>Update VCOND_PMSC_Dewpoint_Not_Met and VCOND_Start_Stop_Enable as per logic in CertDoc_CES_PMSC.OBDM</v>
      </c>
      <c r="I188">
        <f>Tracker[[#This Row],[DCRType]]</f>
        <v>0</v>
      </c>
      <c r="J188" t="str">
        <f>Tracker[[#This Row],[PRCRState]]</f>
        <v>Implement</v>
      </c>
      <c r="K188">
        <f>Tracker[[#This Row],[Planned Start Date
&lt;dd-mm-yyyy&gt;]]</f>
        <v>0</v>
      </c>
      <c r="L188">
        <f>Tracker[[#This Row],[Planned Completion Date
&lt;dd-mm-yyyy&gt;]]</f>
        <v>0</v>
      </c>
      <c r="M188">
        <f>Tracker[[#This Row],[Actual Start Date
&lt;dd-mm-yyyy&gt;]]</f>
        <v>0</v>
      </c>
      <c r="N188">
        <f>Tracker[[#This Row],[Actual Cmpln Date
&lt;dd-mm-yyyy&gt;]]</f>
        <v>0</v>
      </c>
      <c r="O188" t="str">
        <f>Tracker[[#This Row],[At Risk]]</f>
        <v>Closed</v>
      </c>
      <c r="P188">
        <f>Tracker[[#This Row],[
Biz Type]]</f>
        <v>0</v>
      </c>
      <c r="Q188" t="str">
        <f t="shared" si="5"/>
        <v>Anushka P</v>
      </c>
    </row>
    <row r="189" spans="1:17">
      <c r="A189" t="str">
        <f>Tracker[[#This Row],[DCR Owner]]</f>
        <v>amit matale (xy524)</v>
      </c>
      <c r="B189" t="str">
        <f t="shared" si="4"/>
        <v>amit matale</v>
      </c>
      <c r="C189">
        <f>Tracker[[#This Row],[DCR ID - PTC]]</f>
        <v>0</v>
      </c>
      <c r="D189" t="s">
        <v>1886</v>
      </c>
      <c r="E189">
        <f>Tracker[[#This Row],[Estimated Hrs]]</f>
        <v>0</v>
      </c>
      <c r="F189">
        <f>Tracker[[#This Row],[Actual Efforts (Hrs)]]</f>
        <v>116.25</v>
      </c>
      <c r="G189">
        <f>Tracker[[#This Row],[Remaining Hrs]]</f>
        <v>-116.25</v>
      </c>
      <c r="H189" t="str">
        <f>Tracker[[#This Row],[Summary]]</f>
        <v>Amit Support Activities</v>
      </c>
      <c r="I189">
        <f>Tracker[[#This Row],[DCRType]]</f>
        <v>0</v>
      </c>
      <c r="J189" t="str">
        <f>Tracker[[#This Row],[PRCRState]]</f>
        <v>Task_NA</v>
      </c>
      <c r="K189">
        <f>Tracker[[#This Row],[Planned Start Date
&lt;dd-mm-yyyy&gt;]]</f>
        <v>0</v>
      </c>
      <c r="L189">
        <f>Tracker[[#This Row],[Planned Completion Date
&lt;dd-mm-yyyy&gt;]]</f>
        <v>0</v>
      </c>
      <c r="M189">
        <f>Tracker[[#This Row],[Actual Start Date
&lt;dd-mm-yyyy&gt;]]</f>
        <v>0</v>
      </c>
      <c r="N189">
        <f>Tracker[[#This Row],[Actual Cmpln Date
&lt;dd-mm-yyyy&gt;]]</f>
        <v>0</v>
      </c>
      <c r="O189" t="str">
        <f>Tracker[[#This Row],[At Risk]]</f>
        <v>On Track</v>
      </c>
      <c r="P189">
        <f>Tracker[[#This Row],[
Biz Type]]</f>
        <v>0</v>
      </c>
      <c r="Q189" t="str">
        <f t="shared" si="5"/>
        <v>ami</v>
      </c>
    </row>
    <row r="190" spans="1:17">
      <c r="A190" t="str">
        <f>Tracker[[#This Row],[DCR Owner]]</f>
        <v>Shrutika Shete / Prathyusha Guttapalem (ag14k)</v>
      </c>
      <c r="B190" t="str">
        <f t="shared" si="4"/>
        <v>Shrutika Shete / Prathyusha Guttapalem</v>
      </c>
      <c r="C190">
        <f>Tracker[[#This Row],[DCR ID - PTC]]</f>
        <v>19415928</v>
      </c>
      <c r="D190" t="s">
        <v>1886</v>
      </c>
      <c r="E190">
        <f>Tracker[[#This Row],[Estimated Hrs]]</f>
        <v>20</v>
      </c>
      <c r="F190">
        <f>Tracker[[#This Row],[Actual Efforts (Hrs)]]</f>
        <v>80</v>
      </c>
      <c r="G190">
        <f>Tracker[[#This Row],[Remaining Hrs]]</f>
        <v>-60</v>
      </c>
      <c r="H190" t="str">
        <f>Tracker[[#This Row],[Summary]]</f>
        <v>Add time in motoring as an enable/pause condition in AftDiesOxidCatPresDiag</v>
      </c>
      <c r="I190">
        <f>Tracker[[#This Row],[DCRType]]</f>
        <v>0</v>
      </c>
      <c r="J190" t="str">
        <f>Tracker[[#This Row],[PRCRState]]</f>
        <v>Evaluate</v>
      </c>
      <c r="K190">
        <f>Tracker[[#This Row],[Planned Start Date
&lt;dd-mm-yyyy&gt;]]</f>
        <v>0</v>
      </c>
      <c r="L190">
        <f>Tracker[[#This Row],[Planned Completion Date
&lt;dd-mm-yyyy&gt;]]</f>
        <v>0</v>
      </c>
      <c r="M190">
        <f>Tracker[[#This Row],[Actual Start Date
&lt;dd-mm-yyyy&gt;]]</f>
        <v>0</v>
      </c>
      <c r="N190">
        <f>Tracker[[#This Row],[Actual Cmpln Date
&lt;dd-mm-yyyy&gt;]]</f>
        <v>0</v>
      </c>
      <c r="O190" t="str">
        <f>Tracker[[#This Row],[At Risk]]</f>
        <v>On Track</v>
      </c>
      <c r="P190">
        <f>Tracker[[#This Row],[
Biz Type]]</f>
        <v>0</v>
      </c>
      <c r="Q190" t="str">
        <f t="shared" si="5"/>
        <v>Shrutika Shete / Prathyusha Gu</v>
      </c>
    </row>
    <row r="191" spans="1:17">
      <c r="A191" t="str">
        <f>Tracker[[#This Row],[DCR Owner]]</f>
        <v>Prathyusha Guttapalem (ag14k)</v>
      </c>
      <c r="B191" t="str">
        <f t="shared" si="4"/>
        <v>Prathyusha Guttapalem</v>
      </c>
      <c r="C191">
        <f>Tracker[[#This Row],[DCR ID - PTC]]</f>
        <v>19415928</v>
      </c>
      <c r="D191" t="s">
        <v>1886</v>
      </c>
      <c r="E191">
        <f>Tracker[[#This Row],[Estimated Hrs]]</f>
        <v>40</v>
      </c>
      <c r="F191">
        <f>Tracker[[#This Row],[Actual Efforts (Hrs)]]</f>
        <v>0</v>
      </c>
      <c r="G191">
        <f>Tracker[[#This Row],[Remaining Hrs]]</f>
        <v>40</v>
      </c>
      <c r="H191" t="str">
        <f>Tracker[[#This Row],[Summary]]</f>
        <v>Add time in motoring as an enable/pause condition in AftDiesOxidCatPresDiag</v>
      </c>
      <c r="I191">
        <f>Tracker[[#This Row],[DCRType]]</f>
        <v>0</v>
      </c>
      <c r="J191" t="str">
        <f>Tracker[[#This Row],[PRCRState]]</f>
        <v>Implement</v>
      </c>
      <c r="K191">
        <f>Tracker[[#This Row],[Planned Start Date
&lt;dd-mm-yyyy&gt;]]</f>
        <v>0</v>
      </c>
      <c r="L191">
        <f>Tracker[[#This Row],[Planned Completion Date
&lt;dd-mm-yyyy&gt;]]</f>
        <v>0</v>
      </c>
      <c r="M191">
        <f>Tracker[[#This Row],[Actual Start Date
&lt;dd-mm-yyyy&gt;]]</f>
        <v>0</v>
      </c>
      <c r="N191">
        <f>Tracker[[#This Row],[Actual Cmpln Date
&lt;dd-mm-yyyy&gt;]]</f>
        <v>0</v>
      </c>
      <c r="O191" t="str">
        <f>Tracker[[#This Row],[At Risk]]</f>
        <v>Yet to start</v>
      </c>
      <c r="P191">
        <f>Tracker[[#This Row],[
Biz Type]]</f>
        <v>0</v>
      </c>
      <c r="Q191" t="str">
        <f t="shared" si="5"/>
        <v>Prathyusha Gu</v>
      </c>
    </row>
    <row r="192" spans="1:17">
      <c r="A192" t="str">
        <f>Tracker[[#This Row],[DCR Owner]]</f>
        <v>Danduboyina Sindhu (al24v)</v>
      </c>
      <c r="B192" t="str">
        <f t="shared" si="4"/>
        <v>Danduboyina Sindhu</v>
      </c>
      <c r="C192">
        <f>Tracker[[#This Row],[DCR ID - PTC]]</f>
        <v>19578849</v>
      </c>
      <c r="D192" t="s">
        <v>1886</v>
      </c>
      <c r="E192">
        <f>Tracker[[#This Row],[Estimated Hrs]]</f>
        <v>40</v>
      </c>
      <c r="F192">
        <f>Tracker[[#This Row],[Actual Efforts (Hrs)]]</f>
        <v>2</v>
      </c>
      <c r="G192">
        <f>Tracker[[#This Row],[Remaining Hrs]]</f>
        <v>38</v>
      </c>
      <c r="H192" t="str">
        <f>Tracker[[#This Row],[Summary]]</f>
        <v>AftDPFSootMDS - altitude correction to prevent under-estimation</v>
      </c>
      <c r="I192">
        <f>Tracker[[#This Row],[DCRType]]</f>
        <v>0</v>
      </c>
      <c r="J192" t="str">
        <f>Tracker[[#This Row],[PRCRState]]</f>
        <v>Implement</v>
      </c>
      <c r="K192">
        <f>Tracker[[#This Row],[Planned Start Date
&lt;dd-mm-yyyy&gt;]]</f>
        <v>0</v>
      </c>
      <c r="L192">
        <f>Tracker[[#This Row],[Planned Completion Date
&lt;dd-mm-yyyy&gt;]]</f>
        <v>0</v>
      </c>
      <c r="M192">
        <f>Tracker[[#This Row],[Actual Start Date
&lt;dd-mm-yyyy&gt;]]</f>
        <v>0</v>
      </c>
      <c r="N192">
        <f>Tracker[[#This Row],[Actual Cmpln Date
&lt;dd-mm-yyyy&gt;]]</f>
        <v>0</v>
      </c>
      <c r="O192" t="str">
        <f>Tracker[[#This Row],[At Risk]]</f>
        <v>Yet to start</v>
      </c>
      <c r="P192">
        <f>Tracker[[#This Row],[
Biz Type]]</f>
        <v>0</v>
      </c>
      <c r="Q192" t="str">
        <f t="shared" si="5"/>
        <v>Danduboyin</v>
      </c>
    </row>
    <row r="193" spans="1:17">
      <c r="A193" t="str">
        <f>Tracker[[#This Row],[DCR Owner]]</f>
        <v>shrutika shete (ac06r)</v>
      </c>
      <c r="B193" t="str">
        <f t="shared" si="4"/>
        <v>shrutika shete</v>
      </c>
      <c r="C193">
        <f>Tracker[[#This Row],[DCR ID - PTC]]</f>
        <v>19499649</v>
      </c>
      <c r="D193" t="s">
        <v>1886</v>
      </c>
      <c r="E193">
        <f>Tracker[[#This Row],[Estimated Hrs]]</f>
        <v>21</v>
      </c>
      <c r="F193">
        <f>Tracker[[#This Row],[Actual Efforts (Hrs)]]</f>
        <v>71.050000000000011</v>
      </c>
      <c r="G193">
        <f>Tracker[[#This Row],[Remaining Hrs]]</f>
        <v>-50.050000000000011</v>
      </c>
      <c r="H193" t="str">
        <f>Tracker[[#This Row],[Summary]]</f>
        <v>Need to add Reactive Regen to dmDiesPartFiltTmptrTooFreqRegenErr model</v>
      </c>
      <c r="I193">
        <f>Tracker[[#This Row],[DCRType]]</f>
        <v>0</v>
      </c>
      <c r="J193" t="str">
        <f>Tracker[[#This Row],[PRCRState]]</f>
        <v>Evaluate</v>
      </c>
      <c r="K193">
        <f>Tracker[[#This Row],[Planned Start Date
&lt;dd-mm-yyyy&gt;]]</f>
        <v>0</v>
      </c>
      <c r="L193">
        <f>Tracker[[#This Row],[Planned Completion Date
&lt;dd-mm-yyyy&gt;]]</f>
        <v>0</v>
      </c>
      <c r="M193">
        <f>Tracker[[#This Row],[Actual Start Date
&lt;dd-mm-yyyy&gt;]]</f>
        <v>0</v>
      </c>
      <c r="N193">
        <f>Tracker[[#This Row],[Actual Cmpln Date
&lt;dd-mm-yyyy&gt;]]</f>
        <v>0</v>
      </c>
      <c r="O193" t="str">
        <f>Tracker[[#This Row],[At Risk]]</f>
        <v>Closed</v>
      </c>
      <c r="P193">
        <f>Tracker[[#This Row],[
Biz Type]]</f>
        <v>0</v>
      </c>
      <c r="Q193" t="str">
        <f t="shared" si="5"/>
        <v>shruti</v>
      </c>
    </row>
    <row r="194" spans="1:17">
      <c r="A194" t="str">
        <f>Tracker[[#This Row],[DCR Owner]]</f>
        <v>shrutika shete (ac06r) / Prathyusha</v>
      </c>
      <c r="B194" t="str">
        <f t="shared" si="4"/>
        <v>shrutika shete (ac06r) / Pr</v>
      </c>
      <c r="C194">
        <f>Tracker[[#This Row],[DCR ID - PTC]]</f>
        <v>19499649</v>
      </c>
      <c r="D194" t="s">
        <v>1886</v>
      </c>
      <c r="E194">
        <f>Tracker[[#This Row],[Estimated Hrs]]</f>
        <v>40</v>
      </c>
      <c r="F194">
        <f>Tracker[[#This Row],[Actual Efforts (Hrs)]]</f>
        <v>24.25</v>
      </c>
      <c r="G194">
        <f>Tracker[[#This Row],[Remaining Hrs]]</f>
        <v>15.75</v>
      </c>
      <c r="H194" t="str">
        <f>Tracker[[#This Row],[Summary]]</f>
        <v>Need to add Reactive Regen to dmDiesPartFiltTmptrTooFreqRegenErr model</v>
      </c>
      <c r="I194">
        <f>Tracker[[#This Row],[DCRType]]</f>
        <v>0</v>
      </c>
      <c r="J194" t="str">
        <f>Tracker[[#This Row],[PRCRState]]</f>
        <v>Implement</v>
      </c>
      <c r="K194">
        <f>Tracker[[#This Row],[Planned Start Date
&lt;dd-mm-yyyy&gt;]]</f>
        <v>0</v>
      </c>
      <c r="L194">
        <f>Tracker[[#This Row],[Planned Completion Date
&lt;dd-mm-yyyy&gt;]]</f>
        <v>0</v>
      </c>
      <c r="M194">
        <f>Tracker[[#This Row],[Actual Start Date
&lt;dd-mm-yyyy&gt;]]</f>
        <v>0</v>
      </c>
      <c r="N194">
        <f>Tracker[[#This Row],[Actual Cmpln Date
&lt;dd-mm-yyyy&gt;]]</f>
        <v>0</v>
      </c>
      <c r="O194" t="str">
        <f>Tracker[[#This Row],[At Risk]]</f>
        <v>On Track</v>
      </c>
      <c r="P194">
        <f>Tracker[[#This Row],[
Biz Type]]</f>
        <v>0</v>
      </c>
      <c r="Q194" t="str">
        <f t="shared" si="5"/>
        <v>shrutika shete (ac0</v>
      </c>
    </row>
    <row r="195" spans="1:17">
      <c r="A195" t="str">
        <f>Tracker[[#This Row],[DCR Owner]]</f>
        <v>Danduboyina Sindhu (al24v)</v>
      </c>
      <c r="B195" t="str">
        <f t="shared" ref="B195:B256" si="6">MID(A195,1,LEN(A195)-8)</f>
        <v>Danduboyina Sindhu</v>
      </c>
      <c r="C195">
        <f>Tracker[[#This Row],[DCR ID - PTC]]</f>
        <v>19129965</v>
      </c>
      <c r="D195" t="s">
        <v>1886</v>
      </c>
      <c r="E195">
        <f>Tracker[[#This Row],[Estimated Hrs]]</f>
        <v>10</v>
      </c>
      <c r="F195">
        <f>Tracker[[#This Row],[Actual Efforts (Hrs)]]</f>
        <v>11.5</v>
      </c>
      <c r="G195">
        <f>Tracker[[#This Row],[Remaining Hrs]]</f>
        <v>-1.5</v>
      </c>
      <c r="H195" t="str">
        <f>Tracker[[#This Row],[Summary]]</f>
        <v>Update Application Datatype of Calibration CaSFMStpRegenTimeRstBtmpMask present in Component AftDPFTimeBasedRegenTrigProc</v>
      </c>
      <c r="I195">
        <f>Tracker[[#This Row],[DCRType]]</f>
        <v>0</v>
      </c>
      <c r="J195" t="str">
        <f>Tracker[[#This Row],[PRCRState]]</f>
        <v>Evaluate</v>
      </c>
      <c r="K195">
        <f>Tracker[[#This Row],[Planned Start Date
&lt;dd-mm-yyyy&gt;]]</f>
        <v>0</v>
      </c>
      <c r="L195">
        <f>Tracker[[#This Row],[Planned Completion Date
&lt;dd-mm-yyyy&gt;]]</f>
        <v>46171</v>
      </c>
      <c r="M195">
        <f>Tracker[[#This Row],[Actual Start Date
&lt;dd-mm-yyyy&gt;]]</f>
        <v>0</v>
      </c>
      <c r="N195">
        <f>Tracker[[#This Row],[Actual Cmpln Date
&lt;dd-mm-yyyy&gt;]]</f>
        <v>46175</v>
      </c>
      <c r="O195" t="str">
        <f>Tracker[[#This Row],[At Risk]]</f>
        <v>Closed</v>
      </c>
      <c r="P195" t="str">
        <f>Tracker[[#This Row],[
Biz Type]]</f>
        <v>PFS</v>
      </c>
      <c r="Q195" t="str">
        <f t="shared" ref="Q195:Q256" si="7">MID(B195,1,LEN(B195)-8)</f>
        <v>Danduboyin</v>
      </c>
    </row>
    <row r="196" spans="1:17">
      <c r="A196" t="str">
        <f>Tracker[[#This Row],[DCR Owner]]</f>
        <v>Danduboyina Sindhu (al24v)</v>
      </c>
      <c r="B196" t="str">
        <f t="shared" si="6"/>
        <v>Danduboyina Sindhu</v>
      </c>
      <c r="C196">
        <f>Tracker[[#This Row],[DCR ID - PTC]]</f>
        <v>19129965</v>
      </c>
      <c r="D196" t="s">
        <v>1886</v>
      </c>
      <c r="E196">
        <f>Tracker[[#This Row],[Estimated Hrs]]</f>
        <v>25</v>
      </c>
      <c r="F196">
        <f>Tracker[[#This Row],[Actual Efforts (Hrs)]]</f>
        <v>0</v>
      </c>
      <c r="G196">
        <f>Tracker[[#This Row],[Remaining Hrs]]</f>
        <v>25</v>
      </c>
      <c r="H196" t="str">
        <f>Tracker[[#This Row],[Summary]]</f>
        <v>Update Application Datatype of Calibration CaSFMStpRegenTimeRstBtmpMask present in Component AftDPFTimeBasedRegenTrigProc</v>
      </c>
      <c r="I196">
        <f>Tracker[[#This Row],[DCRType]]</f>
        <v>0</v>
      </c>
      <c r="J196" t="str">
        <f>Tracker[[#This Row],[PRCRState]]</f>
        <v>Implement</v>
      </c>
      <c r="K196">
        <f>Tracker[[#This Row],[Planned Start Date
&lt;dd-mm-yyyy&gt;]]</f>
        <v>0</v>
      </c>
      <c r="L196">
        <f>Tracker[[#This Row],[Planned Completion Date
&lt;dd-mm-yyyy&gt;]]</f>
        <v>0</v>
      </c>
      <c r="M196">
        <f>Tracker[[#This Row],[Actual Start Date
&lt;dd-mm-yyyy&gt;]]</f>
        <v>0</v>
      </c>
      <c r="N196">
        <f>Tracker[[#This Row],[Actual Cmpln Date
&lt;dd-mm-yyyy&gt;]]</f>
        <v>0</v>
      </c>
      <c r="O196" t="str">
        <f>Tracker[[#This Row],[At Risk]]</f>
        <v>Yet to start</v>
      </c>
      <c r="P196">
        <f>Tracker[[#This Row],[
Biz Type]]</f>
        <v>0</v>
      </c>
      <c r="Q196" t="str">
        <f t="shared" si="7"/>
        <v>Danduboyin</v>
      </c>
    </row>
    <row r="197" spans="1:17" hidden="1">
      <c r="A197" t="str">
        <f>Tracker[[#This Row],[DCR Owner]]</f>
        <v>Anushka P Gaikwad (wf298)</v>
      </c>
      <c r="B197" t="str">
        <f t="shared" si="6"/>
        <v>Anushka P Gaikwad</v>
      </c>
      <c r="C197">
        <f>Tracker[[#This Row],[DCR ID - PTC]]</f>
        <v>19604793</v>
      </c>
      <c r="D197" t="s">
        <v>1886</v>
      </c>
      <c r="E197">
        <f>Tracker[[#This Row],[Estimated Hrs]]</f>
        <v>22</v>
      </c>
      <c r="F197">
        <f>Tracker[[#This Row],[Actual Efforts (Hrs)]]</f>
        <v>37.25</v>
      </c>
      <c r="G197">
        <f>Tracker[[#This Row],[Remaining Hrs]]</f>
        <v>-15.25</v>
      </c>
      <c r="H197" t="str">
        <f>Tracker[[#This Row],[Summary]]</f>
        <v>PM Sensor Post-Engine Shut Down Protective Heating (CSAR, MY31)</v>
      </c>
      <c r="I197">
        <f>Tracker[[#This Row],[DCRType]]</f>
        <v>0</v>
      </c>
      <c r="J197" t="str">
        <f>Tracker[[#This Row],[PRCRState]]</f>
        <v>Evaluate</v>
      </c>
      <c r="K197">
        <f>Tracker[[#This Row],[Planned Start Date
&lt;dd-mm-yyyy&gt;]]</f>
        <v>0</v>
      </c>
      <c r="L197">
        <f>Tracker[[#This Row],[Planned Completion Date
&lt;dd-mm-yyyy&gt;]]</f>
        <v>0</v>
      </c>
      <c r="M197">
        <f>Tracker[[#This Row],[Actual Start Date
&lt;dd-mm-yyyy&gt;]]</f>
        <v>0</v>
      </c>
      <c r="N197">
        <f>Tracker[[#This Row],[Actual Cmpln Date
&lt;dd-mm-yyyy&gt;]]</f>
        <v>0</v>
      </c>
      <c r="O197" t="str">
        <f>Tracker[[#This Row],[At Risk]]</f>
        <v>Closed</v>
      </c>
      <c r="P197">
        <f>Tracker[[#This Row],[
Biz Type]]</f>
        <v>0</v>
      </c>
      <c r="Q197" t="str">
        <f t="shared" si="7"/>
        <v>Anushka P</v>
      </c>
    </row>
    <row r="198" spans="1:17">
      <c r="A198" t="str">
        <f>Tracker[[#This Row],[DCR Owner]]</f>
        <v>Anushka P Gaikwad (wf298) / Anshul Upreti</v>
      </c>
      <c r="B198" t="str">
        <f t="shared" si="6"/>
        <v>Anushka P Gaikwad (wf298) / Anshu</v>
      </c>
      <c r="C198">
        <f>Tracker[[#This Row],[DCR ID - PTC]]</f>
        <v>19604793</v>
      </c>
      <c r="D198" t="s">
        <v>1886</v>
      </c>
      <c r="E198">
        <f>Tracker[[#This Row],[Estimated Hrs]]</f>
        <v>60</v>
      </c>
      <c r="F198">
        <f>Tracker[[#This Row],[Actual Efforts (Hrs)]]</f>
        <v>71</v>
      </c>
      <c r="G198">
        <f>Tracker[[#This Row],[Remaining Hrs]]</f>
        <v>-11</v>
      </c>
      <c r="H198" t="str">
        <f>Tracker[[#This Row],[Summary]]</f>
        <v>PM Sensor Post-Engine Shut Down Protective Heating (CSAR, MY31)</v>
      </c>
      <c r="I198">
        <f>Tracker[[#This Row],[DCRType]]</f>
        <v>0</v>
      </c>
      <c r="J198" t="str">
        <f>Tracker[[#This Row],[PRCRState]]</f>
        <v>Implement</v>
      </c>
      <c r="K198">
        <f>Tracker[[#This Row],[Planned Start Date
&lt;dd-mm-yyyy&gt;]]</f>
        <v>0</v>
      </c>
      <c r="L198">
        <f>Tracker[[#This Row],[Planned Completion Date
&lt;dd-mm-yyyy&gt;]]</f>
        <v>0</v>
      </c>
      <c r="M198">
        <f>Tracker[[#This Row],[Actual Start Date
&lt;dd-mm-yyyy&gt;]]</f>
        <v>0</v>
      </c>
      <c r="N198">
        <f>Tracker[[#This Row],[Actual Cmpln Date
&lt;dd-mm-yyyy&gt;]]</f>
        <v>0</v>
      </c>
      <c r="O198" t="str">
        <f>Tracker[[#This Row],[At Risk]]</f>
        <v>On Track</v>
      </c>
      <c r="P198">
        <f>Tracker[[#This Row],[
Biz Type]]</f>
        <v>0</v>
      </c>
      <c r="Q198" t="str">
        <f t="shared" si="7"/>
        <v>Anushka P Gaikwad (wf298)</v>
      </c>
    </row>
    <row r="199" spans="1:17">
      <c r="A199" t="str">
        <f>Tracker[[#This Row],[DCR Owner]]</f>
        <v>Shraddha Tilloo</v>
      </c>
      <c r="B199" t="str">
        <f t="shared" si="6"/>
        <v>Shraddh</v>
      </c>
      <c r="C199">
        <f>Tracker[[#This Row],[DCR ID - PTC]]</f>
        <v>12810844</v>
      </c>
      <c r="D199" t="s">
        <v>1886</v>
      </c>
      <c r="E199">
        <f>Tracker[[#This Row],[Estimated Hrs]]</f>
        <v>70</v>
      </c>
      <c r="F199">
        <f>Tracker[[#This Row],[Actual Efforts (Hrs)]]</f>
        <v>20.5</v>
      </c>
      <c r="G199">
        <f>Tracker[[#This Row],[Remaining Hrs]]</f>
        <v>0</v>
      </c>
      <c r="H199" t="str">
        <f>Tracker[[#This Row],[Summary]]</f>
        <v>Change status of DPF deltaP and first catalyst in pressure when DPF deltaP sensor is near saturation - action item from  GPRP RC228-34600 - Ph35</v>
      </c>
      <c r="I199" t="str">
        <f>Tracker[[#This Row],[DCRType]]</f>
        <v>Task</v>
      </c>
      <c r="J199" t="str">
        <f>Tracker[[#This Row],[PRCRState]]</f>
        <v>Evaluate</v>
      </c>
      <c r="K199">
        <f>Tracker[[#This Row],[Planned Start Date
&lt;dd-mm-yyyy&gt;]]</f>
        <v>0</v>
      </c>
      <c r="L199">
        <f>Tracker[[#This Row],[Planned Completion Date
&lt;dd-mm-yyyy&gt;]]</f>
        <v>0</v>
      </c>
      <c r="M199">
        <f>Tracker[[#This Row],[Actual Start Date
&lt;dd-mm-yyyy&gt;]]</f>
        <v>0</v>
      </c>
      <c r="N199">
        <f>Tracker[[#This Row],[Actual Cmpln Date
&lt;dd-mm-yyyy&gt;]]</f>
        <v>0</v>
      </c>
      <c r="O199" t="str">
        <f>Tracker[[#This Row],[At Risk]]</f>
        <v>On Track</v>
      </c>
      <c r="P199">
        <f>Tracker[[#This Row],[
Biz Type]]</f>
        <v>0</v>
      </c>
      <c r="Q199" t="e">
        <f t="shared" si="7"/>
        <v>#VALUE!</v>
      </c>
    </row>
    <row r="200" spans="1:17">
      <c r="A200" t="str">
        <f>Tracker[[#This Row],[DCR Owner]]</f>
        <v>sheetal Vishwakarma (wa663)</v>
      </c>
      <c r="B200" t="str">
        <f t="shared" si="6"/>
        <v>sheetal Vishwakarma</v>
      </c>
      <c r="C200">
        <f>Tracker[[#This Row],[DCR ID - PTC]]</f>
        <v>18733228</v>
      </c>
      <c r="D200" t="s">
        <v>1886</v>
      </c>
      <c r="E200">
        <f>Tracker[[#This Row],[Estimated Hrs]]</f>
        <v>18</v>
      </c>
      <c r="F200">
        <f>Tracker[[#This Row],[Actual Efforts (Hrs)]]</f>
        <v>25</v>
      </c>
      <c r="G200">
        <f>Tracker[[#This Row],[Remaining Hrs]]</f>
        <v>-7</v>
      </c>
      <c r="H200" t="str">
        <f>Tracker[[#This Row],[Summary]]</f>
        <v>DOC In Temp Regression model not considering both HCU architectures - AftVirHtrInlTmptr2</v>
      </c>
      <c r="I200" t="str">
        <f>Tracker[[#This Row],[DCRType]]</f>
        <v>Change Request</v>
      </c>
      <c r="J200" t="str">
        <f>Tracker[[#This Row],[PRCRState]]</f>
        <v>Evaluate</v>
      </c>
      <c r="K200">
        <f>Tracker[[#This Row],[Planned Start Date
&lt;dd-mm-yyyy&gt;]]</f>
        <v>0</v>
      </c>
      <c r="L200">
        <f>Tracker[[#This Row],[Planned Completion Date
&lt;dd-mm-yyyy&gt;]]</f>
        <v>46178</v>
      </c>
      <c r="M200">
        <f>Tracker[[#This Row],[Actual Start Date
&lt;dd-mm-yyyy&gt;]]</f>
        <v>0</v>
      </c>
      <c r="N200">
        <f>Tracker[[#This Row],[Actual Cmpln Date
&lt;dd-mm-yyyy&gt;]]</f>
        <v>46178</v>
      </c>
      <c r="O200" t="str">
        <f>Tracker[[#This Row],[At Risk]]</f>
        <v>Closed</v>
      </c>
      <c r="P200" t="str">
        <f>Tracker[[#This Row],[
Biz Type]]</f>
        <v>PFS</v>
      </c>
      <c r="Q200" t="str">
        <f t="shared" si="7"/>
        <v>sheetal Vis</v>
      </c>
    </row>
    <row r="201" spans="1:17">
      <c r="A201" t="str">
        <f>Tracker[[#This Row],[DCR Owner]]</f>
        <v>Swayangdipta sarkar (wa754)</v>
      </c>
      <c r="B201" t="str">
        <f t="shared" si="6"/>
        <v>Swayangdipta sarkar</v>
      </c>
      <c r="C201">
        <f>Tracker[[#This Row],[DCR ID - PTC]]</f>
        <v>19659117</v>
      </c>
      <c r="D201" t="s">
        <v>1886</v>
      </c>
      <c r="E201">
        <f>Tracker[[#This Row],[Estimated Hrs]]</f>
        <v>20</v>
      </c>
      <c r="F201">
        <f>Tracker[[#This Row],[Actual Efforts (Hrs)]]</f>
        <v>16.5</v>
      </c>
      <c r="G201">
        <f>Tracker[[#This Row],[Remaining Hrs]]</f>
        <v>3.5</v>
      </c>
      <c r="H201" t="str">
        <f>Tracker[[#This Row],[Summary]]</f>
        <v xml:space="preserve">	
8-Step documentation needed for heater degraded OECS for dual coverage on the swapped wiring-HCU Program</v>
      </c>
      <c r="I201" t="str">
        <f>Tracker[[#This Row],[DCRType]]</f>
        <v>Change Request</v>
      </c>
      <c r="J201" t="str">
        <f>Tracker[[#This Row],[PRCRState]]</f>
        <v>Implement</v>
      </c>
      <c r="K201">
        <f>Tracker[[#This Row],[Planned Start Date
&lt;dd-mm-yyyy&gt;]]</f>
        <v>0</v>
      </c>
      <c r="L201">
        <f>Tracker[[#This Row],[Planned Completion Date
&lt;dd-mm-yyyy&gt;]]</f>
        <v>0</v>
      </c>
      <c r="M201">
        <f>Tracker[[#This Row],[Actual Start Date
&lt;dd-mm-yyyy&gt;]]</f>
        <v>0</v>
      </c>
      <c r="N201">
        <f>Tracker[[#This Row],[Actual Cmpln Date
&lt;dd-mm-yyyy&gt;]]</f>
        <v>0</v>
      </c>
      <c r="O201" t="str">
        <f>Tracker[[#This Row],[At Risk]]</f>
        <v>On Track</v>
      </c>
      <c r="P201">
        <f>Tracker[[#This Row],[
Biz Type]]</f>
        <v>0</v>
      </c>
      <c r="Q201" t="str">
        <f t="shared" si="7"/>
        <v>Swayangdipt</v>
      </c>
    </row>
    <row r="202" spans="1:17">
      <c r="A202" t="str">
        <f>Tracker[[#This Row],[DCR Owner]]</f>
        <v>Swayangdipta sarkar (wa754)</v>
      </c>
      <c r="B202" t="str">
        <f t="shared" si="6"/>
        <v>Swayangdipta sarkar</v>
      </c>
      <c r="C202">
        <f>Tracker[[#This Row],[DCR ID - PTC]]</f>
        <v>19658859</v>
      </c>
      <c r="D202" t="s">
        <v>1886</v>
      </c>
      <c r="E202">
        <f>Tracker[[#This Row],[Estimated Hrs]]</f>
        <v>20</v>
      </c>
      <c r="F202">
        <f>Tracker[[#This Row],[Actual Efforts (Hrs)]]</f>
        <v>0</v>
      </c>
      <c r="G202">
        <f>Tracker[[#This Row],[Remaining Hrs]]</f>
        <v>20</v>
      </c>
      <c r="H202" t="str">
        <f>Tracker[[#This Row],[Summary]]</f>
        <v>8-Step documentation needed for heater degraded OECS for dual coverage on the swapped wiring- SAIPD Programs</v>
      </c>
      <c r="I202" t="str">
        <f>Tracker[[#This Row],[DCRType]]</f>
        <v>Change Request</v>
      </c>
      <c r="J202" t="str">
        <f>Tracker[[#This Row],[PRCRState]]</f>
        <v>Implement</v>
      </c>
      <c r="K202">
        <f>Tracker[[#This Row],[Planned Start Date
&lt;dd-mm-yyyy&gt;]]</f>
        <v>0</v>
      </c>
      <c r="L202">
        <f>Tracker[[#This Row],[Planned Completion Date
&lt;dd-mm-yyyy&gt;]]</f>
        <v>0</v>
      </c>
      <c r="M202">
        <f>Tracker[[#This Row],[Actual Start Date
&lt;dd-mm-yyyy&gt;]]</f>
        <v>0</v>
      </c>
      <c r="N202">
        <f>Tracker[[#This Row],[Actual Cmpln Date
&lt;dd-mm-yyyy&gt;]]</f>
        <v>0</v>
      </c>
      <c r="O202" t="str">
        <f>Tracker[[#This Row],[At Risk]]</f>
        <v>On Track</v>
      </c>
      <c r="P202">
        <f>Tracker[[#This Row],[
Biz Type]]</f>
        <v>0</v>
      </c>
      <c r="Q202" t="str">
        <f t="shared" si="7"/>
        <v>Swayangdipt</v>
      </c>
    </row>
    <row r="203" spans="1:17">
      <c r="A203" t="str">
        <f>Tracker[[#This Row],[DCR Owner]]</f>
        <v>Shraddha Tilloo</v>
      </c>
      <c r="B203" t="str">
        <f t="shared" si="6"/>
        <v>Shraddh</v>
      </c>
      <c r="C203">
        <f>Tracker[[#This Row],[DCR ID - PTC]]</f>
        <v>12810844</v>
      </c>
      <c r="D203" t="s">
        <v>1886</v>
      </c>
      <c r="E203">
        <f>Tracker[[#This Row],[Estimated Hrs]]</f>
        <v>70</v>
      </c>
      <c r="F203">
        <f>Tracker[[#This Row],[Actual Efforts (Hrs)]]</f>
        <v>0</v>
      </c>
      <c r="G203">
        <f>Tracker[[#This Row],[Remaining Hrs]]</f>
        <v>0</v>
      </c>
      <c r="H203" t="str">
        <f>Tracker[[#This Row],[Summary]]</f>
        <v>Change status of DPF deltaP and first catalyst in pressure when DPF deltaP sensor is near saturation - action item from  GPRP RC228-34600 - Ph35</v>
      </c>
      <c r="I203" t="str">
        <f>Tracker[[#This Row],[DCRType]]</f>
        <v>Task</v>
      </c>
      <c r="J203" t="str">
        <f>Tracker[[#This Row],[PRCRState]]</f>
        <v>Implement</v>
      </c>
      <c r="K203">
        <f>Tracker[[#This Row],[Planned Start Date
&lt;dd-mm-yyyy&gt;]]</f>
        <v>0</v>
      </c>
      <c r="L203">
        <f>Tracker[[#This Row],[Planned Completion Date
&lt;dd-mm-yyyy&gt;]]</f>
        <v>0</v>
      </c>
      <c r="M203">
        <f>Tracker[[#This Row],[Actual Start Date
&lt;dd-mm-yyyy&gt;]]</f>
        <v>0</v>
      </c>
      <c r="N203">
        <f>Tracker[[#This Row],[Actual Cmpln Date
&lt;dd-mm-yyyy&gt;]]</f>
        <v>0</v>
      </c>
      <c r="O203" t="str">
        <f>Tracker[[#This Row],[At Risk]]</f>
        <v>Yet to start</v>
      </c>
      <c r="P203">
        <f>Tracker[[#This Row],[
Biz Type]]</f>
        <v>0</v>
      </c>
      <c r="Q203" t="e">
        <f t="shared" si="7"/>
        <v>#VALUE!</v>
      </c>
    </row>
    <row r="204" spans="1:17">
      <c r="A204" t="str">
        <f>Tracker[[#This Row],[DCR Owner]]</f>
        <v>Shraddha Tilloo</v>
      </c>
      <c r="B204" t="str">
        <f t="shared" si="6"/>
        <v>Shraddh</v>
      </c>
      <c r="C204">
        <f>Tracker[[#This Row],[DCR ID - PTC]]</f>
        <v>14391784</v>
      </c>
      <c r="D204" t="s">
        <v>1886</v>
      </c>
      <c r="E204">
        <f>Tracker[[#This Row],[Estimated Hrs]]</f>
        <v>15</v>
      </c>
      <c r="F204">
        <f>Tracker[[#This Row],[Actual Efforts (Hrs)]]</f>
        <v>4</v>
      </c>
      <c r="G204">
        <f>Tracker[[#This Row],[Remaining Hrs]]</f>
        <v>0</v>
      </c>
      <c r="H204" t="str">
        <f>Tracker[[#This Row],[Summary]]</f>
        <v>File missing from clear case path for ATS - ATM Extension - PFS CES</v>
      </c>
      <c r="I204" t="str">
        <f>Tracker[[#This Row],[DCRType]]</f>
        <v>Task</v>
      </c>
      <c r="J204" t="str">
        <f>Tracker[[#This Row],[PRCRState]]</f>
        <v>Evaluate</v>
      </c>
      <c r="K204">
        <f>Tracker[[#This Row],[Planned Start Date
&lt;dd-mm-yyyy&gt;]]</f>
        <v>0</v>
      </c>
      <c r="L204">
        <f>Tracker[[#This Row],[Planned Completion Date
&lt;dd-mm-yyyy&gt;]]</f>
        <v>0</v>
      </c>
      <c r="M204">
        <f>Tracker[[#This Row],[Actual Start Date
&lt;dd-mm-yyyy&gt;]]</f>
        <v>0</v>
      </c>
      <c r="N204">
        <f>Tracker[[#This Row],[Actual Cmpln Date
&lt;dd-mm-yyyy&gt;]]</f>
        <v>0</v>
      </c>
      <c r="O204" t="str">
        <f>Tracker[[#This Row],[At Risk]]</f>
        <v>On Track</v>
      </c>
      <c r="P204">
        <f>Tracker[[#This Row],[
Biz Type]]</f>
        <v>0</v>
      </c>
      <c r="Q204" t="e">
        <f t="shared" si="7"/>
        <v>#VALUE!</v>
      </c>
    </row>
    <row r="205" spans="1:17">
      <c r="A205" t="str">
        <f>Tracker[[#This Row],[DCR Owner]]</f>
        <v>zameer shaik (au51w)/Uttam Mishra</v>
      </c>
      <c r="B205" t="str">
        <f t="shared" si="6"/>
        <v>zameer shaik (au51w)/Utta</v>
      </c>
      <c r="C205">
        <f>Tracker[[#This Row],[DCR ID - PTC]]</f>
        <v>18802806</v>
      </c>
      <c r="D205" t="s">
        <v>1886</v>
      </c>
      <c r="E205">
        <f>Tracker[[#This Row],[Estimated Hrs]]</f>
        <v>10</v>
      </c>
      <c r="F205">
        <f>Tracker[[#This Row],[Actual Efforts (Hrs)]]</f>
        <v>24</v>
      </c>
      <c r="G205">
        <f>Tracker[[#This Row],[Remaining Hrs]]</f>
        <v>0</v>
      </c>
      <c r="H205" t="str">
        <f>Tracker[[#This Row],[Summary]]</f>
        <v>Incorrect Fault Read - AftDiesPartFiltOutGasPrSenOORH &amp; AftDiesPartFiltOutGasPrSenOORL</v>
      </c>
      <c r="I205" t="str">
        <f>Tracker[[#This Row],[DCRType]]</f>
        <v>Task</v>
      </c>
      <c r="J205" t="str">
        <f>Tracker[[#This Row],[PRCRState]]</f>
        <v>Evaluate</v>
      </c>
      <c r="K205">
        <f>Tracker[[#This Row],[Planned Start Date
&lt;dd-mm-yyyy&gt;]]</f>
        <v>0</v>
      </c>
      <c r="L205">
        <f>Tracker[[#This Row],[Planned Completion Date
&lt;dd-mm-yyyy&gt;]]</f>
        <v>0</v>
      </c>
      <c r="M205">
        <f>Tracker[[#This Row],[Actual Start Date
&lt;dd-mm-yyyy&gt;]]</f>
        <v>0</v>
      </c>
      <c r="N205">
        <f>Tracker[[#This Row],[Actual Cmpln Date
&lt;dd-mm-yyyy&gt;]]</f>
        <v>0</v>
      </c>
      <c r="O205" t="str">
        <f>Tracker[[#This Row],[At Risk]]</f>
        <v>Closed</v>
      </c>
      <c r="P205">
        <f>Tracker[[#This Row],[
Biz Type]]</f>
        <v>0</v>
      </c>
      <c r="Q205" t="str">
        <f t="shared" si="7"/>
        <v>zameer shaik (au5</v>
      </c>
    </row>
    <row r="206" spans="1:17">
      <c r="A206" t="str">
        <f>Tracker[[#This Row],[DCR Owner]]</f>
        <v>zameer shaik (au51w)</v>
      </c>
      <c r="B206" t="str">
        <f t="shared" si="6"/>
        <v>zameer shaik</v>
      </c>
      <c r="C206">
        <f>Tracker[[#This Row],[DCR ID - PTC]]</f>
        <v>18802865</v>
      </c>
      <c r="D206" t="s">
        <v>1886</v>
      </c>
      <c r="E206">
        <f>Tracker[[#This Row],[Estimated Hrs]]</f>
        <v>10</v>
      </c>
      <c r="F206">
        <f>Tracker[[#This Row],[Actual Efforts (Hrs)]]</f>
        <v>32</v>
      </c>
      <c r="G206">
        <f>Tracker[[#This Row],[Remaining Hrs]]</f>
        <v>0</v>
      </c>
      <c r="H206" t="str">
        <f>Tracker[[#This Row],[Summary]]</f>
        <v>Incorrect Get error and IUPR APIs for HC Doser Pressure OOR Diags</v>
      </c>
      <c r="I206" t="str">
        <f>Tracker[[#This Row],[DCRType]]</f>
        <v>Task</v>
      </c>
      <c r="J206" t="str">
        <f>Tracker[[#This Row],[PRCRState]]</f>
        <v>Evaluate</v>
      </c>
      <c r="K206">
        <f>Tracker[[#This Row],[Planned Start Date
&lt;dd-mm-yyyy&gt;]]</f>
        <v>0</v>
      </c>
      <c r="L206">
        <f>Tracker[[#This Row],[Planned Completion Date
&lt;dd-mm-yyyy&gt;]]</f>
        <v>0</v>
      </c>
      <c r="M206">
        <f>Tracker[[#This Row],[Actual Start Date
&lt;dd-mm-yyyy&gt;]]</f>
        <v>0</v>
      </c>
      <c r="N206">
        <f>Tracker[[#This Row],[Actual Cmpln Date
&lt;dd-mm-yyyy&gt;]]</f>
        <v>0</v>
      </c>
      <c r="O206" t="str">
        <f>Tracker[[#This Row],[At Risk]]</f>
        <v>Closed</v>
      </c>
      <c r="P206">
        <f>Tracker[[#This Row],[
Biz Type]]</f>
        <v>0</v>
      </c>
      <c r="Q206" t="str">
        <f t="shared" si="7"/>
        <v>zame</v>
      </c>
    </row>
    <row r="207" spans="1:17">
      <c r="A207" t="str">
        <f>Tracker[[#This Row],[DCR Owner]]</f>
        <v>sheetal Vishwakarma (wa663)/Swayangdipta</v>
      </c>
      <c r="B207" t="str">
        <f t="shared" si="6"/>
        <v>sheetal Vishwakarma (wa663)/Sway</v>
      </c>
      <c r="C207">
        <f>Tracker[[#This Row],[DCR ID - PTC]]</f>
        <v>19689311</v>
      </c>
      <c r="D207" t="s">
        <v>1886</v>
      </c>
      <c r="E207">
        <f>Tracker[[#This Row],[Estimated Hrs]]</f>
        <v>150</v>
      </c>
      <c r="F207">
        <f>Tracker[[#This Row],[Actual Efforts (Hrs)]]</f>
        <v>119</v>
      </c>
      <c r="G207">
        <f>Tracker[[#This Row],[Remaining Hrs]]</f>
        <v>0</v>
      </c>
      <c r="H207" t="str">
        <f>Tracker[[#This Row],[Summary]]</f>
        <v xml:space="preserve">	
Request to implement a diagnostic that detects loose connections in the 48V wiring to the aftertreatment E-Heaters</v>
      </c>
      <c r="I207" t="str">
        <f>Tracker[[#This Row],[DCRType]]</f>
        <v>Task</v>
      </c>
      <c r="J207" t="str">
        <f>Tracker[[#This Row],[PRCRState]]</f>
        <v>Evaluate</v>
      </c>
      <c r="K207">
        <f>Tracker[[#This Row],[Planned Start Date
&lt;dd-mm-yyyy&gt;]]</f>
        <v>0</v>
      </c>
      <c r="L207">
        <f>Tracker[[#This Row],[Planned Completion Date
&lt;dd-mm-yyyy&gt;]]</f>
        <v>0</v>
      </c>
      <c r="M207">
        <f>Tracker[[#This Row],[Actual Start Date
&lt;dd-mm-yyyy&gt;]]</f>
        <v>0</v>
      </c>
      <c r="N207">
        <f>Tracker[[#This Row],[Actual Cmpln Date
&lt;dd-mm-yyyy&gt;]]</f>
        <v>0</v>
      </c>
      <c r="O207" t="str">
        <f>Tracker[[#This Row],[At Risk]]</f>
        <v>On Track</v>
      </c>
      <c r="P207">
        <f>Tracker[[#This Row],[
Biz Type]]</f>
        <v>0</v>
      </c>
      <c r="Q207" t="str">
        <f t="shared" si="7"/>
        <v>sheetal Vishwakarma (wa6</v>
      </c>
    </row>
    <row r="208" spans="1:17">
      <c r="A208" t="str">
        <f>Tracker[[#This Row],[DCR Owner]]</f>
        <v>sheetal Vishwakarma (wa663)/Swayangdipta</v>
      </c>
      <c r="B208" t="str">
        <f t="shared" si="6"/>
        <v>sheetal Vishwakarma (wa663)/Sway</v>
      </c>
      <c r="C208">
        <f>Tracker[[#This Row],[DCR ID - PTC]]</f>
        <v>19732234</v>
      </c>
      <c r="D208" t="s">
        <v>1886</v>
      </c>
      <c r="E208">
        <f>Tracker[[#This Row],[Estimated Hrs]]</f>
        <v>0</v>
      </c>
      <c r="F208">
        <f>Tracker[[#This Row],[Actual Efforts (Hrs)]]</f>
        <v>0</v>
      </c>
      <c r="G208">
        <f>Tracker[[#This Row],[Remaining Hrs]]</f>
        <v>0</v>
      </c>
      <c r="H208" t="str">
        <f>Tracker[[#This Row],[Summary]]</f>
        <v>Request to implement a diagnostic that detects loose connections in the 48V wiring to the aftertreatment E-Heaters - Titanuim HCU System</v>
      </c>
      <c r="I208" t="str">
        <f>Tracker[[#This Row],[DCRType]]</f>
        <v>Task</v>
      </c>
      <c r="J208" t="str">
        <f>Tracker[[#This Row],[PRCRState]]</f>
        <v>Evaluate</v>
      </c>
      <c r="K208">
        <f>Tracker[[#This Row],[Planned Start Date
&lt;dd-mm-yyyy&gt;]]</f>
        <v>0</v>
      </c>
      <c r="L208">
        <f>Tracker[[#This Row],[Planned Completion Date
&lt;dd-mm-yyyy&gt;]]</f>
        <v>0</v>
      </c>
      <c r="M208">
        <f>Tracker[[#This Row],[Actual Start Date
&lt;dd-mm-yyyy&gt;]]</f>
        <v>0</v>
      </c>
      <c r="N208">
        <f>Tracker[[#This Row],[Actual Cmpln Date
&lt;dd-mm-yyyy&gt;]]</f>
        <v>0</v>
      </c>
      <c r="O208" t="str">
        <f>Tracker[[#This Row],[At Risk]]</f>
        <v>On Track</v>
      </c>
      <c r="P208">
        <f>Tracker[[#This Row],[
Biz Type]]</f>
        <v>0</v>
      </c>
      <c r="Q208" t="str">
        <f t="shared" si="7"/>
        <v>sheetal Vishwakarma (wa6</v>
      </c>
    </row>
    <row r="209" spans="1:17">
      <c r="A209" t="str">
        <f>Tracker[[#This Row],[DCR Owner]]</f>
        <v>jayant patil (wl795)</v>
      </c>
      <c r="B209" t="str">
        <f t="shared" si="6"/>
        <v>jayant patil</v>
      </c>
      <c r="C209">
        <f>Tracker[[#This Row],[DCR ID - PTC]]</f>
        <v>19515992</v>
      </c>
      <c r="D209" t="s">
        <v>1886</v>
      </c>
      <c r="E209">
        <f>Tracker[[#This Row],[Estimated Hrs]]</f>
        <v>36</v>
      </c>
      <c r="F209">
        <f>Tracker[[#This Row],[Actual Efforts (Hrs)]]</f>
        <v>63.7</v>
      </c>
      <c r="G209">
        <f>Tracker[[#This Row],[Remaining Hrs]]</f>
        <v>-27.700000000000003</v>
      </c>
      <c r="H209" t="str">
        <f>Tracker[[#This Row],[Summary]]</f>
        <v>Need to analyze impact of ppAftElecHtrSysIO3ErrsBtmp_deVal bitmap</v>
      </c>
      <c r="I209">
        <f>Tracker[[#This Row],[DCRType]]</f>
        <v>0</v>
      </c>
      <c r="J209" t="str">
        <f>Tracker[[#This Row],[PRCRState]]</f>
        <v>Evaluate</v>
      </c>
      <c r="K209">
        <f>Tracker[[#This Row],[Planned Start Date
&lt;dd-mm-yyyy&gt;]]</f>
        <v>0</v>
      </c>
      <c r="L209">
        <f>Tracker[[#This Row],[Planned Completion Date
&lt;dd-mm-yyyy&gt;]]</f>
        <v>0</v>
      </c>
      <c r="M209">
        <f>Tracker[[#This Row],[Actual Start Date
&lt;dd-mm-yyyy&gt;]]</f>
        <v>0</v>
      </c>
      <c r="N209">
        <f>Tracker[[#This Row],[Actual Cmpln Date
&lt;dd-mm-yyyy&gt;]]</f>
        <v>0</v>
      </c>
      <c r="O209" t="str">
        <f>Tracker[[#This Row],[At Risk]]</f>
        <v>Closed</v>
      </c>
      <c r="P209">
        <f>Tracker[[#This Row],[
Biz Type]]</f>
        <v>0</v>
      </c>
      <c r="Q209" t="str">
        <f t="shared" si="7"/>
        <v>jaya</v>
      </c>
    </row>
    <row r="210" spans="1:17">
      <c r="A210" t="str">
        <f>Tracker[[#This Row],[DCR Owner]]</f>
        <v>jayant patil (wl795) / Arpitha K</v>
      </c>
      <c r="B210" t="str">
        <f t="shared" si="6"/>
        <v>jayant patil (wl795) / A</v>
      </c>
      <c r="C210">
        <f>Tracker[[#This Row],[DCR ID - PTC]]</f>
        <v>19515992</v>
      </c>
      <c r="D210" t="s">
        <v>1886</v>
      </c>
      <c r="E210">
        <f>Tracker[[#This Row],[Estimated Hrs]]</f>
        <v>80</v>
      </c>
      <c r="F210">
        <f>Tracker[[#This Row],[Actual Efforts (Hrs)]]</f>
        <v>66.25</v>
      </c>
      <c r="G210">
        <f>Tracker[[#This Row],[Remaining Hrs]]</f>
        <v>13.75</v>
      </c>
      <c r="H210" t="str">
        <f>Tracker[[#This Row],[Summary]]</f>
        <v>Need to analyze impact of ppAftElecHtrSysIO3ErrsBtmp_deVal bitmap</v>
      </c>
      <c r="I210">
        <f>Tracker[[#This Row],[DCRType]]</f>
        <v>0</v>
      </c>
      <c r="J210" t="str">
        <f>Tracker[[#This Row],[PRCRState]]</f>
        <v>Implement</v>
      </c>
      <c r="K210">
        <f>Tracker[[#This Row],[Planned Start Date
&lt;dd-mm-yyyy&gt;]]</f>
        <v>0</v>
      </c>
      <c r="L210">
        <f>Tracker[[#This Row],[Planned Completion Date
&lt;dd-mm-yyyy&gt;]]</f>
        <v>0</v>
      </c>
      <c r="M210">
        <f>Tracker[[#This Row],[Actual Start Date
&lt;dd-mm-yyyy&gt;]]</f>
        <v>0</v>
      </c>
      <c r="N210">
        <f>Tracker[[#This Row],[Actual Cmpln Date
&lt;dd-mm-yyyy&gt;]]</f>
        <v>0</v>
      </c>
      <c r="O210" t="str">
        <f>Tracker[[#This Row],[At Risk]]</f>
        <v>On Track</v>
      </c>
      <c r="P210">
        <f>Tracker[[#This Row],[
Biz Type]]</f>
        <v>0</v>
      </c>
      <c r="Q210" t="str">
        <f t="shared" si="7"/>
        <v>jayant patil (wl</v>
      </c>
    </row>
    <row r="211" spans="1:17">
      <c r="A211" t="str">
        <f>Tracker[[#This Row],[DCR Owner]]</f>
        <v>Prathyusha Guttapalem (ag14k)</v>
      </c>
      <c r="B211" t="str">
        <f t="shared" si="6"/>
        <v>Prathyusha Guttapalem</v>
      </c>
      <c r="C211">
        <f>Tracker[[#This Row],[DCR ID - PTC]]</f>
        <v>19748464</v>
      </c>
      <c r="D211" t="s">
        <v>1886</v>
      </c>
      <c r="E211">
        <f>Tracker[[#This Row],[Estimated Hrs]]</f>
        <v>0</v>
      </c>
      <c r="F211">
        <f>Tracker[[#This Row],[Actual Efforts (Hrs)]]</f>
        <v>0</v>
      </c>
      <c r="G211">
        <f>Tracker[[#This Row],[Remaining Hrs]]</f>
        <v>0</v>
      </c>
      <c r="H211" t="str">
        <f>Tracker[[#This Row],[Summary]]</f>
        <v>AftSootFiltMgrDeepCleanAdj : CSAR Implementation for inclusion of a service-based reset condition</v>
      </c>
      <c r="I211">
        <f>Tracker[[#This Row],[DCRType]]</f>
        <v>0</v>
      </c>
      <c r="J211" t="str">
        <f>Tracker[[#This Row],[PRCRState]]</f>
        <v>Implement</v>
      </c>
      <c r="K211">
        <f>Tracker[[#This Row],[Planned Start Date
&lt;dd-mm-yyyy&gt;]]</f>
        <v>0</v>
      </c>
      <c r="L211">
        <f>Tracker[[#This Row],[Planned Completion Date
&lt;dd-mm-yyyy&gt;]]</f>
        <v>0</v>
      </c>
      <c r="M211">
        <f>Tracker[[#This Row],[Actual Start Date
&lt;dd-mm-yyyy&gt;]]</f>
        <v>0</v>
      </c>
      <c r="N211">
        <f>Tracker[[#This Row],[Actual Cmpln Date
&lt;dd-mm-yyyy&gt;]]</f>
        <v>0</v>
      </c>
      <c r="O211" t="str">
        <f>Tracker[[#This Row],[At Risk]]</f>
        <v>On Track</v>
      </c>
      <c r="P211">
        <f>Tracker[[#This Row],[
Biz Type]]</f>
        <v>0</v>
      </c>
      <c r="Q211" t="str">
        <f t="shared" si="7"/>
        <v>Prathyusha Gu</v>
      </c>
    </row>
    <row r="212" spans="1:17">
      <c r="A212" t="str">
        <f>Tracker[[#This Row],[DCR Owner]]</f>
        <v>Danduboyina Sindhu (al24v)</v>
      </c>
      <c r="B212" t="str">
        <f t="shared" si="6"/>
        <v>Danduboyina Sindhu</v>
      </c>
      <c r="C212">
        <f>Tracker[[#This Row],[DCR ID - PTC]]</f>
        <v>18795484</v>
      </c>
      <c r="D212" t="s">
        <v>1886</v>
      </c>
      <c r="E212">
        <f>Tracker[[#This Row],[Estimated Hrs]]</f>
        <v>30</v>
      </c>
      <c r="F212">
        <f>Tracker[[#This Row],[Actual Efforts (Hrs)]]</f>
        <v>19.25</v>
      </c>
      <c r="G212">
        <f>Tracker[[#This Row],[Remaining Hrs]]</f>
        <v>10.75</v>
      </c>
      <c r="H212" t="str">
        <f>Tracker[[#This Row],[Summary]]</f>
        <v>Incorrect fault read in HC Doser bitmap Component</v>
      </c>
      <c r="I212">
        <f>Tracker[[#This Row],[DCRType]]</f>
        <v>0</v>
      </c>
      <c r="J212" t="str">
        <f>Tracker[[#This Row],[PRCRState]]</f>
        <v>Evaluate</v>
      </c>
      <c r="K212">
        <f>Tracker[[#This Row],[Planned Start Date
&lt;dd-mm-yyyy&gt;]]</f>
        <v>0</v>
      </c>
      <c r="L212">
        <f>Tracker[[#This Row],[Planned Completion Date
&lt;dd-mm-yyyy&gt;]]</f>
        <v>0</v>
      </c>
      <c r="M212">
        <f>Tracker[[#This Row],[Actual Start Date
&lt;dd-mm-yyyy&gt;]]</f>
        <v>0</v>
      </c>
      <c r="N212">
        <f>Tracker[[#This Row],[Actual Cmpln Date
&lt;dd-mm-yyyy&gt;]]</f>
        <v>0</v>
      </c>
      <c r="O212" t="str">
        <f>Tracker[[#This Row],[At Risk]]</f>
        <v>On Track</v>
      </c>
      <c r="P212">
        <f>Tracker[[#This Row],[
Biz Type]]</f>
        <v>0</v>
      </c>
      <c r="Q212" t="str">
        <f t="shared" si="7"/>
        <v>Danduboyin</v>
      </c>
    </row>
    <row r="213" spans="1:17">
      <c r="A213" t="str">
        <f>Tracker[[#This Row],[DCR Owner]]</f>
        <v>Danduboyina Sindhu (al24v)</v>
      </c>
      <c r="B213" t="str">
        <f t="shared" si="6"/>
        <v>Danduboyina Sindhu</v>
      </c>
      <c r="C213">
        <f>Tracker[[#This Row],[DCR ID - PTC]]</f>
        <v>19781083</v>
      </c>
      <c r="D213" t="s">
        <v>1886</v>
      </c>
      <c r="E213">
        <f>Tracker[[#This Row],[Estimated Hrs]]</f>
        <v>0</v>
      </c>
      <c r="F213">
        <f>Tracker[[#This Row],[Actual Efforts (Hrs)]]</f>
        <v>3</v>
      </c>
      <c r="G213">
        <f>Tracker[[#This Row],[Remaining Hrs]]</f>
        <v>-3</v>
      </c>
      <c r="H213" t="str">
        <f>Tracker[[#This Row],[Summary]]</f>
        <v>AftDPFIneffRegenTrigProc: CSAR Implementation for inclusion of a service-based reset condition</v>
      </c>
      <c r="I213">
        <f>Tracker[[#This Row],[DCRType]]</f>
        <v>0</v>
      </c>
      <c r="J213" t="str">
        <f>Tracker[[#This Row],[PRCRState]]</f>
        <v>Implement_NA</v>
      </c>
      <c r="K213">
        <f>Tracker[[#This Row],[Planned Start Date
&lt;dd-mm-yyyy&gt;]]</f>
        <v>0</v>
      </c>
      <c r="L213">
        <f>Tracker[[#This Row],[Planned Completion Date
&lt;dd-mm-yyyy&gt;]]</f>
        <v>0</v>
      </c>
      <c r="M213">
        <f>Tracker[[#This Row],[Actual Start Date
&lt;dd-mm-yyyy&gt;]]</f>
        <v>0</v>
      </c>
      <c r="N213">
        <f>Tracker[[#This Row],[Actual Cmpln Date
&lt;dd-mm-yyyy&gt;]]</f>
        <v>0</v>
      </c>
      <c r="O213" t="str">
        <f>Tracker[[#This Row],[At Risk]]</f>
        <v>On Track</v>
      </c>
      <c r="P213">
        <f>Tracker[[#This Row],[
Biz Type]]</f>
        <v>0</v>
      </c>
      <c r="Q213" t="str">
        <f t="shared" si="7"/>
        <v>Danduboyin</v>
      </c>
    </row>
    <row r="214" spans="1:17">
      <c r="A214" t="str">
        <f>Tracker[[#This Row],[DCR Owner]]</f>
        <v>Danduboyina Sindhu (al24v)</v>
      </c>
      <c r="B214" t="str">
        <f t="shared" si="6"/>
        <v>Danduboyina Sindhu</v>
      </c>
      <c r="C214">
        <f>Tracker[[#This Row],[DCR ID - PTC]]</f>
        <v>19772632</v>
      </c>
      <c r="D214" t="s">
        <v>1886</v>
      </c>
      <c r="E214">
        <f>Tracker[[#This Row],[Estimated Hrs]]</f>
        <v>0</v>
      </c>
      <c r="F214">
        <f>Tracker[[#This Row],[Actual Efforts (Hrs)]]</f>
        <v>3</v>
      </c>
      <c r="G214">
        <f>Tracker[[#This Row],[Remaining Hrs]]</f>
        <v>-3</v>
      </c>
      <c r="H214" t="str">
        <f>Tracker[[#This Row],[Summary]]</f>
        <v>AftDltPrRegenTrigProc: CSAR Implementation for inclusion of a service-based reset condition</v>
      </c>
      <c r="I214">
        <f>Tracker[[#This Row],[DCRType]]</f>
        <v>0</v>
      </c>
      <c r="J214" t="str">
        <f>Tracker[[#This Row],[PRCRState]]</f>
        <v>Implement_NA</v>
      </c>
      <c r="K214">
        <f>Tracker[[#This Row],[Planned Start Date
&lt;dd-mm-yyyy&gt;]]</f>
        <v>0</v>
      </c>
      <c r="L214">
        <f>Tracker[[#This Row],[Planned Completion Date
&lt;dd-mm-yyyy&gt;]]</f>
        <v>0</v>
      </c>
      <c r="M214">
        <f>Tracker[[#This Row],[Actual Start Date
&lt;dd-mm-yyyy&gt;]]</f>
        <v>0</v>
      </c>
      <c r="N214">
        <f>Tracker[[#This Row],[Actual Cmpln Date
&lt;dd-mm-yyyy&gt;]]</f>
        <v>0</v>
      </c>
      <c r="O214" t="str">
        <f>Tracker[[#This Row],[At Risk]]</f>
        <v>On Track</v>
      </c>
      <c r="P214">
        <f>Tracker[[#This Row],[
Biz Type]]</f>
        <v>0</v>
      </c>
      <c r="Q214" t="str">
        <f t="shared" si="7"/>
        <v>Danduboyin</v>
      </c>
    </row>
    <row r="215" spans="1:17">
      <c r="A215" t="str">
        <f>Tracker[[#This Row],[DCR Owner]]</f>
        <v>Danduboyina Sindhu (al24v)</v>
      </c>
      <c r="B215" t="str">
        <f t="shared" si="6"/>
        <v>Danduboyina Sindhu</v>
      </c>
      <c r="C215">
        <f>Tracker[[#This Row],[DCR ID - PTC]]</f>
        <v>19781099</v>
      </c>
      <c r="D215" t="s">
        <v>1886</v>
      </c>
      <c r="E215">
        <f>Tracker[[#This Row],[Estimated Hrs]]</f>
        <v>0</v>
      </c>
      <c r="F215">
        <f>Tracker[[#This Row],[Actual Efforts (Hrs)]]</f>
        <v>2.5</v>
      </c>
      <c r="G215">
        <f>Tracker[[#This Row],[Remaining Hrs]]</f>
        <v>-2.5</v>
      </c>
      <c r="H215" t="str">
        <f>Tracker[[#This Row],[Summary]]</f>
        <v>AftDPFSootPlgDet :CSAR Implementation for inclusion of a service-based reset condition</v>
      </c>
      <c r="I215">
        <f>Tracker[[#This Row],[DCRType]]</f>
        <v>0</v>
      </c>
      <c r="J215" t="str">
        <f>Tracker[[#This Row],[PRCRState]]</f>
        <v>Implement_NA</v>
      </c>
      <c r="K215">
        <f>Tracker[[#This Row],[Planned Start Date
&lt;dd-mm-yyyy&gt;]]</f>
        <v>0</v>
      </c>
      <c r="L215">
        <f>Tracker[[#This Row],[Planned Completion Date
&lt;dd-mm-yyyy&gt;]]</f>
        <v>0</v>
      </c>
      <c r="M215">
        <f>Tracker[[#This Row],[Actual Start Date
&lt;dd-mm-yyyy&gt;]]</f>
        <v>0</v>
      </c>
      <c r="N215">
        <f>Tracker[[#This Row],[Actual Cmpln Date
&lt;dd-mm-yyyy&gt;]]</f>
        <v>0</v>
      </c>
      <c r="O215" t="str">
        <f>Tracker[[#This Row],[At Risk]]</f>
        <v>On Track</v>
      </c>
      <c r="P215">
        <f>Tracker[[#This Row],[
Biz Type]]</f>
        <v>0</v>
      </c>
      <c r="Q215" t="str">
        <f t="shared" si="7"/>
        <v>Danduboyin</v>
      </c>
    </row>
    <row r="216" spans="1:17">
      <c r="A216" t="str">
        <f>Tracker[[#This Row],[DCR Owner]]</f>
        <v>Danduboyina Sindhu (al24v)</v>
      </c>
      <c r="B216" t="str">
        <f t="shared" si="6"/>
        <v>Danduboyina Sindhu</v>
      </c>
      <c r="C216">
        <f>Tracker[[#This Row],[DCR ID - PTC]]</f>
        <v>19772688</v>
      </c>
      <c r="D216" t="s">
        <v>1886</v>
      </c>
      <c r="E216">
        <f>Tracker[[#This Row],[Estimated Hrs]]</f>
        <v>0</v>
      </c>
      <c r="F216">
        <f>Tracker[[#This Row],[Actual Efforts (Hrs)]]</f>
        <v>1.5</v>
      </c>
      <c r="G216">
        <f>Tracker[[#This Row],[Remaining Hrs]]</f>
        <v>-1.5</v>
      </c>
      <c r="H216" t="str">
        <f>Tracker[[#This Row],[Summary]]</f>
        <v>AftSelCatRednRctRegenAllw:CSAR Implementation for inclusion of a service-based reset condition</v>
      </c>
      <c r="I216">
        <f>Tracker[[#This Row],[DCRType]]</f>
        <v>0</v>
      </c>
      <c r="J216" t="str">
        <f>Tracker[[#This Row],[PRCRState]]</f>
        <v>Implement_NA</v>
      </c>
      <c r="K216">
        <f>Tracker[[#This Row],[Planned Start Date
&lt;dd-mm-yyyy&gt;]]</f>
        <v>0</v>
      </c>
      <c r="L216">
        <f>Tracker[[#This Row],[Planned Completion Date
&lt;dd-mm-yyyy&gt;]]</f>
        <v>0</v>
      </c>
      <c r="M216">
        <f>Tracker[[#This Row],[Actual Start Date
&lt;dd-mm-yyyy&gt;]]</f>
        <v>0</v>
      </c>
      <c r="N216">
        <f>Tracker[[#This Row],[Actual Cmpln Date
&lt;dd-mm-yyyy&gt;]]</f>
        <v>0</v>
      </c>
      <c r="O216" t="str">
        <f>Tracker[[#This Row],[At Risk]]</f>
        <v>On Track</v>
      </c>
      <c r="P216">
        <f>Tracker[[#This Row],[
Biz Type]]</f>
        <v>0</v>
      </c>
      <c r="Q216" t="str">
        <f t="shared" si="7"/>
        <v>Danduboyin</v>
      </c>
    </row>
    <row r="217" spans="1:17">
      <c r="A217" t="str">
        <f>Tracker[[#This Row],[DCR Owner]]</f>
        <v>Prathyusha Guttapalem (ag14k)</v>
      </c>
      <c r="B217" t="str">
        <f t="shared" si="6"/>
        <v>Prathyusha Guttapalem</v>
      </c>
      <c r="C217">
        <f>Tracker[[#This Row],[DCR ID - PTC]]</f>
        <v>19658083</v>
      </c>
      <c r="D217" t="s">
        <v>1886</v>
      </c>
      <c r="E217">
        <f>Tracker[[#This Row],[Estimated Hrs]]</f>
        <v>25</v>
      </c>
      <c r="F217">
        <f>Tracker[[#This Row],[Actual Efforts (Hrs)]]</f>
        <v>23.5</v>
      </c>
      <c r="G217">
        <f>Tracker[[#This Row],[Remaining Hrs]]</f>
        <v>1.5</v>
      </c>
      <c r="H217" t="str">
        <f>Tracker[[#This Row],[Summary]]</f>
        <v>Cert Doc error for dmPartMatSenCPCBTmptrTooHiErr and dmPartMatSenCSuppVoltHiErr</v>
      </c>
      <c r="I217">
        <f>Tracker[[#This Row],[DCRType]]</f>
        <v>0</v>
      </c>
      <c r="J217" t="str">
        <f>Tracker[[#This Row],[PRCRState]]</f>
        <v>Implement</v>
      </c>
      <c r="K217">
        <f>Tracker[[#This Row],[Planned Start Date
&lt;dd-mm-yyyy&gt;]]</f>
        <v>0</v>
      </c>
      <c r="L217">
        <f>Tracker[[#This Row],[Planned Completion Date
&lt;dd-mm-yyyy&gt;]]</f>
        <v>0</v>
      </c>
      <c r="M217">
        <f>Tracker[[#This Row],[Actual Start Date
&lt;dd-mm-yyyy&gt;]]</f>
        <v>0</v>
      </c>
      <c r="N217">
        <f>Tracker[[#This Row],[Actual Cmpln Date
&lt;dd-mm-yyyy&gt;]]</f>
        <v>0</v>
      </c>
      <c r="O217" t="str">
        <f>Tracker[[#This Row],[At Risk]]</f>
        <v>On Track</v>
      </c>
      <c r="P217">
        <f>Tracker[[#This Row],[
Biz Type]]</f>
        <v>0</v>
      </c>
      <c r="Q217" t="str">
        <f t="shared" si="7"/>
        <v>Prathyusha Gu</v>
      </c>
    </row>
    <row r="218" spans="1:17">
      <c r="A218" t="str">
        <f>Tracker[[#This Row],[DCR Owner]]</f>
        <v>aishwarya Jahagirdar (ac14v)</v>
      </c>
      <c r="B218" t="str">
        <f t="shared" si="6"/>
        <v>aishwarya Jahagirdar</v>
      </c>
      <c r="C218">
        <f>Tracker[[#This Row],[DCR ID - PTC]]</f>
        <v>16070942</v>
      </c>
      <c r="D218" t="s">
        <v>1886</v>
      </c>
      <c r="E218">
        <f>Tracker[[#This Row],[Estimated Hrs]]</f>
        <v>0</v>
      </c>
      <c r="F218">
        <f>Tracker[[#This Row],[Actual Efforts (Hrs)]]</f>
        <v>122</v>
      </c>
      <c r="G218">
        <f>Tracker[[#This Row],[Remaining Hrs]]</f>
        <v>-122</v>
      </c>
      <c r="H218" t="str">
        <f>Tracker[[#This Row],[Summary]]</f>
        <v>HCU2 Internal Driver Error Signal and supporting diagnostic</v>
      </c>
      <c r="I218" t="str">
        <f>Tracker[[#This Row],[DCRType]]</f>
        <v>Change Request</v>
      </c>
      <c r="J218">
        <f>Tracker[[#This Row],[PRCRState]]</f>
        <v>0</v>
      </c>
      <c r="K218">
        <f>Tracker[[#This Row],[Planned Start Date
&lt;dd-mm-yyyy&gt;]]</f>
        <v>0</v>
      </c>
      <c r="L218">
        <f>Tracker[[#This Row],[Planned Completion Date
&lt;dd-mm-yyyy&gt;]]</f>
        <v>0</v>
      </c>
      <c r="M218">
        <f>Tracker[[#This Row],[Actual Start Date
&lt;dd-mm-yyyy&gt;]]</f>
        <v>0</v>
      </c>
      <c r="N218">
        <f>Tracker[[#This Row],[Actual Cmpln Date
&lt;dd-mm-yyyy&gt;]]</f>
        <v>0</v>
      </c>
      <c r="O218">
        <f>Tracker[[#This Row],[At Risk]]</f>
        <v>0</v>
      </c>
      <c r="P218">
        <f>Tracker[[#This Row],[
Biz Type]]</f>
        <v>0</v>
      </c>
      <c r="Q218" t="str">
        <f t="shared" si="7"/>
        <v>aishwarya Ja</v>
      </c>
    </row>
    <row r="219" spans="1:17">
      <c r="A219" t="str">
        <f>Tracker[[#This Row],[DCR Owner]]</f>
        <v>Indumathi M</v>
      </c>
      <c r="B219" t="str">
        <f t="shared" si="6"/>
        <v>Ind</v>
      </c>
      <c r="C219">
        <f>Tracker[[#This Row],[DCR ID - PTC]]</f>
        <v>19671563</v>
      </c>
      <c r="D219" t="s">
        <v>1886</v>
      </c>
      <c r="E219">
        <f>Tracker[[#This Row],[Estimated Hrs]]</f>
        <v>30</v>
      </c>
      <c r="F219">
        <f>Tracker[[#This Row],[Actual Efforts (Hrs)]]</f>
        <v>30.5</v>
      </c>
      <c r="G219">
        <f>Tracker[[#This Row],[Remaining Hrs]]</f>
        <v>-0.5</v>
      </c>
      <c r="H219" t="str">
        <f>Tracker[[#This Row],[Summary]]</f>
        <v>Create iDFMEA for Heater Resistance Diagnostics - AftElecHtrDiag</v>
      </c>
      <c r="I219">
        <f>Tracker[[#This Row],[DCRType]]</f>
        <v>0</v>
      </c>
      <c r="J219" t="str">
        <f>Tracker[[#This Row],[PRCRState]]</f>
        <v>Implement</v>
      </c>
      <c r="K219">
        <f>Tracker[[#This Row],[Planned Start Date
&lt;dd-mm-yyyy&gt;]]</f>
        <v>0</v>
      </c>
      <c r="L219">
        <f>Tracker[[#This Row],[Planned Completion Date
&lt;dd-mm-yyyy&gt;]]</f>
        <v>0</v>
      </c>
      <c r="M219">
        <f>Tracker[[#This Row],[Actual Start Date
&lt;dd-mm-yyyy&gt;]]</f>
        <v>0</v>
      </c>
      <c r="N219">
        <f>Tracker[[#This Row],[Actual Cmpln Date
&lt;dd-mm-yyyy&gt;]]</f>
        <v>0</v>
      </c>
      <c r="O219" t="str">
        <f>Tracker[[#This Row],[At Risk]]</f>
        <v>On Track</v>
      </c>
      <c r="P219">
        <f>Tracker[[#This Row],[
Biz Type]]</f>
        <v>0</v>
      </c>
      <c r="Q219" t="e">
        <f t="shared" si="7"/>
        <v>#VALUE!</v>
      </c>
    </row>
    <row r="220" spans="1:17">
      <c r="A220" t="str">
        <f>Tracker[[#This Row],[DCR Owner]]</f>
        <v>Yashwanth Polisetti (ac06u)</v>
      </c>
      <c r="B220" t="str">
        <f t="shared" si="6"/>
        <v>Yashwanth Polisetti</v>
      </c>
      <c r="C220">
        <f>Tracker[[#This Row],[DCR ID - PTC]]</f>
        <v>18990465</v>
      </c>
      <c r="D220" t="s">
        <v>1886</v>
      </c>
      <c r="E220">
        <f>Tracker[[#This Row],[Estimated Hrs]]</f>
        <v>0</v>
      </c>
      <c r="F220">
        <f>Tracker[[#This Row],[Actual Efforts (Hrs)]]</f>
        <v>0</v>
      </c>
      <c r="G220">
        <f>Tracker[[#This Row],[Remaining Hrs]]</f>
        <v>0</v>
      </c>
      <c r="H220" t="str">
        <f>Tracker[[#This Row],[Summary]]</f>
        <v>V&amp;V testing required for special denominator renamed ports under DCR_18919143 for AftElecHtrDiag component</v>
      </c>
      <c r="I220">
        <f>Tracker[[#This Row],[DCRType]]</f>
        <v>0</v>
      </c>
      <c r="J220" t="str">
        <f>Tracker[[#This Row],[PRCRState]]</f>
        <v>Implement</v>
      </c>
      <c r="K220">
        <f>Tracker[[#This Row],[Planned Start Date
&lt;dd-mm-yyyy&gt;]]</f>
        <v>0</v>
      </c>
      <c r="L220">
        <f>Tracker[[#This Row],[Planned Completion Date
&lt;dd-mm-yyyy&gt;]]</f>
        <v>46171</v>
      </c>
      <c r="M220">
        <f>Tracker[[#This Row],[Actual Start Date
&lt;dd-mm-yyyy&gt;]]</f>
        <v>0</v>
      </c>
      <c r="N220">
        <f>Tracker[[#This Row],[Actual Cmpln Date
&lt;dd-mm-yyyy&gt;]]</f>
        <v>46171</v>
      </c>
      <c r="O220" t="str">
        <f>Tracker[[#This Row],[At Risk]]</f>
        <v>Closed</v>
      </c>
      <c r="P220" t="str">
        <f>Tracker[[#This Row],[
Biz Type]]</f>
        <v>PFS</v>
      </c>
      <c r="Q220" t="str">
        <f t="shared" si="7"/>
        <v>Yashwanth P</v>
      </c>
    </row>
    <row r="221" spans="1:17">
      <c r="A221" t="str">
        <f>Tracker[[#This Row],[DCR Owner]]</f>
        <v>Srinadh</v>
      </c>
      <c r="B221" t="e">
        <f t="shared" si="6"/>
        <v>#VALUE!</v>
      </c>
      <c r="C221">
        <f>Tracker[[#This Row],[DCR ID - PTC]]</f>
        <v>19138223</v>
      </c>
      <c r="D221" t="s">
        <v>1886</v>
      </c>
      <c r="E221">
        <f>Tracker[[#This Row],[Estimated Hrs]]</f>
        <v>0</v>
      </c>
      <c r="F221">
        <f>Tracker[[#This Row],[Actual Efforts (Hrs)]]</f>
        <v>0</v>
      </c>
      <c r="G221">
        <f>Tracker[[#This Row],[Remaining Hrs]]</f>
        <v>0</v>
      </c>
      <c r="H221" t="str">
        <f>Tracker[[#This Row],[Summary]]</f>
        <v>Need to implement HC Air Purge Regen Request in CSAR</v>
      </c>
      <c r="I221">
        <f>Tracker[[#This Row],[DCRType]]</f>
        <v>0</v>
      </c>
      <c r="J221" t="str">
        <f>Tracker[[#This Row],[PRCRState]]</f>
        <v>Implement</v>
      </c>
      <c r="K221">
        <f>Tracker[[#This Row],[Planned Start Date
&lt;dd-mm-yyyy&gt;]]</f>
        <v>0</v>
      </c>
      <c r="L221">
        <f>Tracker[[#This Row],[Planned Completion Date
&lt;dd-mm-yyyy&gt;]]</f>
        <v>0</v>
      </c>
      <c r="M221">
        <f>Tracker[[#This Row],[Actual Start Date
&lt;dd-mm-yyyy&gt;]]</f>
        <v>0</v>
      </c>
      <c r="N221">
        <f>Tracker[[#This Row],[Actual Cmpln Date
&lt;dd-mm-yyyy&gt;]]</f>
        <v>0</v>
      </c>
      <c r="O221" t="str">
        <f>Tracker[[#This Row],[At Risk]]</f>
        <v>Yet to start</v>
      </c>
      <c r="P221">
        <f>Tracker[[#This Row],[
Biz Type]]</f>
        <v>0</v>
      </c>
      <c r="Q221" t="e">
        <f t="shared" si="7"/>
        <v>#VALUE!</v>
      </c>
    </row>
    <row r="222" spans="1:17">
      <c r="A222" t="str">
        <f>Tracker[[#This Row],[DCR Owner]]</f>
        <v>Anushka</v>
      </c>
      <c r="B222" t="e">
        <f t="shared" si="6"/>
        <v>#VALUE!</v>
      </c>
      <c r="C222">
        <f>Tracker[[#This Row],[DCR ID - PTC]]</f>
        <v>18922156</v>
      </c>
      <c r="D222" t="s">
        <v>1886</v>
      </c>
      <c r="E222">
        <f>Tracker[[#This Row],[Estimated Hrs]]</f>
        <v>70</v>
      </c>
      <c r="F222">
        <f>Tracker[[#This Row],[Actual Efforts (Hrs)]]</f>
        <v>4</v>
      </c>
      <c r="G222">
        <f>Tracker[[#This Row],[Remaining Hrs]]</f>
        <v>66</v>
      </c>
      <c r="H222" t="str">
        <f>Tracker[[#This Row],[Summary]]</f>
        <v>Phase 35 OBD REAL Regen Trigger Issue</v>
      </c>
      <c r="I222">
        <f>Tracker[[#This Row],[DCRType]]</f>
        <v>0</v>
      </c>
      <c r="J222" t="str">
        <f>Tracker[[#This Row],[PRCRState]]</f>
        <v>Implement</v>
      </c>
      <c r="K222">
        <f>Tracker[[#This Row],[Planned Start Date
&lt;dd-mm-yyyy&gt;]]</f>
        <v>0</v>
      </c>
      <c r="L222">
        <f>Tracker[[#This Row],[Planned Completion Date
&lt;dd-mm-yyyy&gt;]]</f>
        <v>0</v>
      </c>
      <c r="M222">
        <f>Tracker[[#This Row],[Actual Start Date
&lt;dd-mm-yyyy&gt;]]</f>
        <v>0</v>
      </c>
      <c r="N222">
        <f>Tracker[[#This Row],[Actual Cmpln Date
&lt;dd-mm-yyyy&gt;]]</f>
        <v>0</v>
      </c>
      <c r="O222" t="str">
        <f>Tracker[[#This Row],[At Risk]]</f>
        <v>Deferred</v>
      </c>
      <c r="P222">
        <f>Tracker[[#This Row],[
Biz Type]]</f>
        <v>0</v>
      </c>
      <c r="Q222" t="e">
        <f t="shared" si="7"/>
        <v>#VALUE!</v>
      </c>
    </row>
    <row r="223" spans="1:17">
      <c r="A223" t="str">
        <f>Tracker[[#This Row],[DCR Owner]]</f>
        <v>aishwarya Jahagirdar (ac14v)</v>
      </c>
      <c r="B223" t="str">
        <f t="shared" si="6"/>
        <v>aishwarya Jahagirdar</v>
      </c>
      <c r="C223">
        <f>Tracker[[#This Row],[DCR ID - PTC]]</f>
        <v>19828476</v>
      </c>
      <c r="D223" t="s">
        <v>1886</v>
      </c>
      <c r="E223">
        <f>Tracker[[#This Row],[Estimated Hrs]]</f>
        <v>80</v>
      </c>
      <c r="F223">
        <f>Tracker[[#This Row],[Actual Efforts (Hrs)]]</f>
        <v>27.25</v>
      </c>
      <c r="G223">
        <f>Tracker[[#This Row],[Remaining Hrs]]</f>
        <v>52.75</v>
      </c>
      <c r="H223" t="str">
        <f>Tracker[[#This Row],[Summary]]</f>
        <v>AftFtis65697DualElecHtrTest: Need to include OECS &amp; CSERS diagnostic in Dual eHeater service test</v>
      </c>
      <c r="I223">
        <f>Tracker[[#This Row],[DCRType]]</f>
        <v>0</v>
      </c>
      <c r="J223" t="str">
        <f>Tracker[[#This Row],[PRCRState]]</f>
        <v>Evaluate</v>
      </c>
      <c r="K223">
        <f>Tracker[[#This Row],[Planned Start Date
&lt;dd-mm-yyyy&gt;]]</f>
        <v>0</v>
      </c>
      <c r="L223">
        <f>Tracker[[#This Row],[Planned Completion Date
&lt;dd-mm-yyyy&gt;]]</f>
        <v>0</v>
      </c>
      <c r="M223">
        <f>Tracker[[#This Row],[Actual Start Date
&lt;dd-mm-yyyy&gt;]]</f>
        <v>0</v>
      </c>
      <c r="N223">
        <f>Tracker[[#This Row],[Actual Cmpln Date
&lt;dd-mm-yyyy&gt;]]</f>
        <v>0</v>
      </c>
      <c r="O223" t="str">
        <f>Tracker[[#This Row],[At Risk]]</f>
        <v>Deferred</v>
      </c>
      <c r="P223">
        <f>Tracker[[#This Row],[
Biz Type]]</f>
        <v>0</v>
      </c>
      <c r="Q223" t="str">
        <f t="shared" si="7"/>
        <v>aishwarya Ja</v>
      </c>
    </row>
    <row r="224" spans="1:17">
      <c r="A224" t="str">
        <f>Tracker[[#This Row],[DCR Owner]]</f>
        <v>Sheetal Vishwarkma</v>
      </c>
      <c r="B224" t="str">
        <f t="shared" si="6"/>
        <v>Sheetal Vi</v>
      </c>
      <c r="C224">
        <f>Tracker[[#This Row],[DCR ID - PTC]]</f>
        <v>19661917</v>
      </c>
      <c r="D224" t="s">
        <v>1886</v>
      </c>
      <c r="E224">
        <f>Tracker[[#This Row],[Estimated Hrs]]</f>
        <v>0</v>
      </c>
      <c r="F224">
        <f>Tracker[[#This Row],[Actual Efforts (Hrs)]]</f>
        <v>0</v>
      </c>
      <c r="G224">
        <f>Tracker[[#This Row],[Remaining Hrs]]</f>
        <v>0</v>
      </c>
      <c r="H224" t="str">
        <f>Tracker[[#This Row],[Summary]]</f>
        <v>Pre DOC heater disable logic update required as it needs to be considered only when eheater service test is triggered - AftDualHtrCtrlIPwrD Component</v>
      </c>
      <c r="I224">
        <f>Tracker[[#This Row],[DCRType]]</f>
        <v>0</v>
      </c>
      <c r="J224" t="str">
        <f>Tracker[[#This Row],[PRCRState]]</f>
        <v>Evaluate</v>
      </c>
      <c r="K224">
        <f>Tracker[[#This Row],[Planned Start Date
&lt;dd-mm-yyyy&gt;]]</f>
        <v>0</v>
      </c>
      <c r="L224">
        <f>Tracker[[#This Row],[Planned Completion Date
&lt;dd-mm-yyyy&gt;]]</f>
        <v>46157</v>
      </c>
      <c r="M224">
        <f>Tracker[[#This Row],[Actual Start Date
&lt;dd-mm-yyyy&gt;]]</f>
        <v>0</v>
      </c>
      <c r="N224">
        <f>Tracker[[#This Row],[Actual Cmpln Date
&lt;dd-mm-yyyy&gt;]]</f>
        <v>46161</v>
      </c>
      <c r="O224" t="str">
        <f>Tracker[[#This Row],[At Risk]]</f>
        <v>Closed</v>
      </c>
      <c r="P224" t="str">
        <f>Tracker[[#This Row],[
Biz Type]]</f>
        <v>PFS</v>
      </c>
      <c r="Q224" t="str">
        <f t="shared" si="7"/>
        <v>Sh</v>
      </c>
    </row>
    <row r="225" spans="1:17">
      <c r="A225" t="str">
        <f>Tracker[[#This Row],[DCR Owner]]</f>
        <v>Shraddha Tilloo</v>
      </c>
      <c r="B225" t="str">
        <f t="shared" si="6"/>
        <v>Shraddh</v>
      </c>
      <c r="C225">
        <f>Tracker[[#This Row],[DCR ID - PTC]]</f>
        <v>19526069</v>
      </c>
      <c r="D225" t="s">
        <v>1886</v>
      </c>
      <c r="E225">
        <f>Tracker[[#This Row],[Estimated Hrs]]</f>
        <v>39</v>
      </c>
      <c r="F225">
        <f>Tracker[[#This Row],[Actual Efforts (Hrs)]]</f>
        <v>43</v>
      </c>
      <c r="G225">
        <f>Tracker[[#This Row],[Remaining Hrs]]</f>
        <v>-4</v>
      </c>
      <c r="H225" t="str">
        <f>Tracker[[#This Row],[Summary]]</f>
        <v>Software issue - Elapsed Cleaning Time being reset due to Enabling DPF Regeneration Counts Logic</v>
      </c>
      <c r="I225">
        <f>Tracker[[#This Row],[DCRType]]</f>
        <v>0</v>
      </c>
      <c r="J225" t="str">
        <f>Tracker[[#This Row],[PRCRState]]</f>
        <v>Evaluate</v>
      </c>
      <c r="K225">
        <f>Tracker[[#This Row],[Planned Start Date
&lt;dd-mm-yyyy&gt;]]</f>
        <v>0</v>
      </c>
      <c r="L225">
        <f>Tracker[[#This Row],[Planned Completion Date
&lt;dd-mm-yyyy&gt;]]</f>
        <v>0</v>
      </c>
      <c r="M225">
        <f>Tracker[[#This Row],[Actual Start Date
&lt;dd-mm-yyyy&gt;]]</f>
        <v>0</v>
      </c>
      <c r="N225">
        <f>Tracker[[#This Row],[Actual Cmpln Date
&lt;dd-mm-yyyy&gt;]]</f>
        <v>0</v>
      </c>
      <c r="O225" t="str">
        <f>Tracker[[#This Row],[At Risk]]</f>
        <v>On Track</v>
      </c>
      <c r="P225">
        <f>Tracker[[#This Row],[
Biz Type]]</f>
        <v>0</v>
      </c>
      <c r="Q225" t="e">
        <f t="shared" si="7"/>
        <v>#VALUE!</v>
      </c>
    </row>
    <row r="226" spans="1:17">
      <c r="A226" t="str">
        <f>Tracker[[#This Row],[DCR Owner]]</f>
        <v>Shraddha Tilloo</v>
      </c>
      <c r="B226" t="str">
        <f t="shared" si="6"/>
        <v>Shraddh</v>
      </c>
      <c r="C226">
        <f>Tracker[[#This Row],[DCR ID - PTC]]</f>
        <v>19526069</v>
      </c>
      <c r="D226" t="s">
        <v>1886</v>
      </c>
      <c r="E226">
        <f>Tracker[[#This Row],[Estimated Hrs]]</f>
        <v>71</v>
      </c>
      <c r="F226">
        <f>Tracker[[#This Row],[Actual Efforts (Hrs)]]</f>
        <v>0</v>
      </c>
      <c r="G226">
        <f>Tracker[[#This Row],[Remaining Hrs]]</f>
        <v>71</v>
      </c>
      <c r="H226" t="str">
        <f>Tracker[[#This Row],[Summary]]</f>
        <v>Software issue - Elapsed Cleaning Time being reset due to Enabling DPF Regeneration Counts Logic</v>
      </c>
      <c r="I226">
        <f>Tracker[[#This Row],[DCRType]]</f>
        <v>0</v>
      </c>
      <c r="J226" t="str">
        <f>Tracker[[#This Row],[PRCRState]]</f>
        <v>Implement</v>
      </c>
      <c r="K226">
        <f>Tracker[[#This Row],[Planned Start Date
&lt;dd-mm-yyyy&gt;]]</f>
        <v>0</v>
      </c>
      <c r="L226">
        <f>Tracker[[#This Row],[Planned Completion Date
&lt;dd-mm-yyyy&gt;]]</f>
        <v>0</v>
      </c>
      <c r="M226">
        <f>Tracker[[#This Row],[Actual Start Date
&lt;dd-mm-yyyy&gt;]]</f>
        <v>0</v>
      </c>
      <c r="N226">
        <f>Tracker[[#This Row],[Actual Cmpln Date
&lt;dd-mm-yyyy&gt;]]</f>
        <v>0</v>
      </c>
      <c r="O226" t="str">
        <f>Tracker[[#This Row],[At Risk]]</f>
        <v>Yet to start</v>
      </c>
      <c r="P226">
        <f>Tracker[[#This Row],[
Biz Type]]</f>
        <v>0</v>
      </c>
      <c r="Q226" t="e">
        <f t="shared" si="7"/>
        <v>#VALUE!</v>
      </c>
    </row>
    <row r="227" spans="1:17">
      <c r="A227" t="str">
        <f>Tracker[[#This Row],[DCR Owner]]</f>
        <v>Shraddha Tilloo</v>
      </c>
      <c r="B227" t="str">
        <f t="shared" si="6"/>
        <v>Shraddh</v>
      </c>
      <c r="C227">
        <f>Tracker[[#This Row],[DCR ID - PTC]]</f>
        <v>19023103</v>
      </c>
      <c r="D227" t="s">
        <v>1886</v>
      </c>
      <c r="E227">
        <f>Tracker[[#This Row],[Estimated Hrs]]</f>
        <v>44</v>
      </c>
      <c r="F227">
        <f>Tracker[[#This Row],[Actual Efforts (Hrs)]]</f>
        <v>7</v>
      </c>
      <c r="G227">
        <f>Tracker[[#This Row],[Remaining Hrs]]</f>
        <v>0</v>
      </c>
      <c r="H227" t="str">
        <f>Tracker[[#This Row],[Summary]]</f>
        <v>STLA PU MY25/27: Update DOCA service test with correct oper mode parameters</v>
      </c>
      <c r="I227">
        <f>Tracker[[#This Row],[DCRType]]</f>
        <v>0</v>
      </c>
      <c r="J227" t="str">
        <f>Tracker[[#This Row],[PRCRState]]</f>
        <v>Implement</v>
      </c>
      <c r="K227">
        <f>Tracker[[#This Row],[Planned Start Date
&lt;dd-mm-yyyy&gt;]]</f>
        <v>0</v>
      </c>
      <c r="L227">
        <f>Tracker[[#This Row],[Planned Completion Date
&lt;dd-mm-yyyy&gt;]]</f>
        <v>0</v>
      </c>
      <c r="M227">
        <f>Tracker[[#This Row],[Actual Start Date
&lt;dd-mm-yyyy&gt;]]</f>
        <v>0</v>
      </c>
      <c r="N227">
        <f>Tracker[[#This Row],[Actual Cmpln Date
&lt;dd-mm-yyyy&gt;]]</f>
        <v>0</v>
      </c>
      <c r="O227" t="str">
        <f>Tracker[[#This Row],[At Risk]]</f>
        <v>Rejected</v>
      </c>
      <c r="P227">
        <f>Tracker[[#This Row],[
Biz Type]]</f>
        <v>0</v>
      </c>
      <c r="Q227" t="e">
        <f t="shared" si="7"/>
        <v>#VALUE!</v>
      </c>
    </row>
    <row r="228" spans="1:17">
      <c r="A228" t="str">
        <f>Tracker[[#This Row],[DCR Owner]]</f>
        <v>Indumathi M</v>
      </c>
      <c r="B228" t="str">
        <f t="shared" si="6"/>
        <v>Ind</v>
      </c>
      <c r="C228">
        <f>Tracker[[#This Row],[DCR ID - PTC]]</f>
        <v>19656622</v>
      </c>
      <c r="D228" t="s">
        <v>1886</v>
      </c>
      <c r="E228">
        <f>Tracker[[#This Row],[Estimated Hrs]]</f>
        <v>0</v>
      </c>
      <c r="F228">
        <f>Tracker[[#This Row],[Actual Efforts (Hrs)]]</f>
        <v>0</v>
      </c>
      <c r="G228">
        <f>Tracker[[#This Row],[Remaining Hrs]]</f>
        <v>0</v>
      </c>
      <c r="H228" t="str">
        <f>Tracker[[#This Row],[Summary]]</f>
        <v>Update heater diagnostic AftElecHtrWakeInpOpenCktErr</v>
      </c>
      <c r="I228">
        <f>Tracker[[#This Row],[DCRType]]</f>
        <v>0</v>
      </c>
      <c r="J228" t="str">
        <f>Tracker[[#This Row],[PRCRState]]</f>
        <v>Evaluate</v>
      </c>
      <c r="K228">
        <f>Tracker[[#This Row],[Planned Start Date
&lt;dd-mm-yyyy&gt;]]</f>
        <v>0</v>
      </c>
      <c r="L228">
        <f>Tracker[[#This Row],[Planned Completion Date
&lt;dd-mm-yyyy&gt;]]</f>
        <v>0</v>
      </c>
      <c r="M228">
        <f>Tracker[[#This Row],[Actual Start Date
&lt;dd-mm-yyyy&gt;]]</f>
        <v>0</v>
      </c>
      <c r="N228">
        <f>Tracker[[#This Row],[Actual Cmpln Date
&lt;dd-mm-yyyy&gt;]]</f>
        <v>0</v>
      </c>
      <c r="O228" t="str">
        <f>Tracker[[#This Row],[At Risk]]</f>
        <v>Closed</v>
      </c>
      <c r="P228">
        <f>Tracker[[#This Row],[
Biz Type]]</f>
        <v>0</v>
      </c>
      <c r="Q228" t="e">
        <f t="shared" si="7"/>
        <v>#VALUE!</v>
      </c>
    </row>
    <row r="229" spans="1:17">
      <c r="A229" t="str">
        <f>Tracker[[#This Row],[DCR Owner]]</f>
        <v>Indumathi M</v>
      </c>
      <c r="B229" t="str">
        <f t="shared" si="6"/>
        <v>Ind</v>
      </c>
      <c r="C229">
        <f>Tracker[[#This Row],[DCR ID - PTC]]</f>
        <v>19656622</v>
      </c>
      <c r="D229" t="s">
        <v>1886</v>
      </c>
      <c r="E229">
        <f>Tracker[[#This Row],[Estimated Hrs]]</f>
        <v>0</v>
      </c>
      <c r="F229">
        <f>Tracker[[#This Row],[Actual Efforts (Hrs)]]</f>
        <v>0</v>
      </c>
      <c r="G229">
        <f>Tracker[[#This Row],[Remaining Hrs]]</f>
        <v>0</v>
      </c>
      <c r="H229" t="str">
        <f>Tracker[[#This Row],[Summary]]</f>
        <v>Update heater diagnostic AftElecHtrWakeInpOpenCktErr</v>
      </c>
      <c r="I229">
        <f>Tracker[[#This Row],[DCRType]]</f>
        <v>0</v>
      </c>
      <c r="J229" t="str">
        <f>Tracker[[#This Row],[PRCRState]]</f>
        <v>Implement</v>
      </c>
      <c r="K229">
        <f>Tracker[[#This Row],[Planned Start Date
&lt;dd-mm-yyyy&gt;]]</f>
        <v>0</v>
      </c>
      <c r="L229">
        <f>Tracker[[#This Row],[Planned Completion Date
&lt;dd-mm-yyyy&gt;]]</f>
        <v>0</v>
      </c>
      <c r="M229">
        <f>Tracker[[#This Row],[Actual Start Date
&lt;dd-mm-yyyy&gt;]]</f>
        <v>0</v>
      </c>
      <c r="N229">
        <f>Tracker[[#This Row],[Actual Cmpln Date
&lt;dd-mm-yyyy&gt;]]</f>
        <v>0</v>
      </c>
      <c r="O229" t="str">
        <f>Tracker[[#This Row],[At Risk]]</f>
        <v>On Track</v>
      </c>
      <c r="P229">
        <f>Tracker[[#This Row],[
Biz Type]]</f>
        <v>0</v>
      </c>
      <c r="Q229" t="e">
        <f t="shared" si="7"/>
        <v>#VALUE!</v>
      </c>
    </row>
    <row r="230" spans="1:17">
      <c r="A230" t="str">
        <f>Tracker[[#This Row],[DCR Owner]]</f>
        <v>Indumathi M</v>
      </c>
      <c r="B230" t="str">
        <f t="shared" si="6"/>
        <v>Ind</v>
      </c>
      <c r="C230">
        <f>Tracker[[#This Row],[DCR ID - PTC]]</f>
        <v>19577109</v>
      </c>
      <c r="D230" t="s">
        <v>1886</v>
      </c>
      <c r="E230">
        <f>Tracker[[#This Row],[Estimated Hrs]]</f>
        <v>45</v>
      </c>
      <c r="F230">
        <f>Tracker[[#This Row],[Actual Efforts (Hrs)]]</f>
        <v>0</v>
      </c>
      <c r="G230">
        <f>Tracker[[#This Row],[Remaining Hrs]]</f>
        <v>45</v>
      </c>
      <c r="H230" t="str">
        <f>Tracker[[#This Row],[Summary]]</f>
        <v>Electric Heater Diagnositc For ECM - for 2HCU Dual eHTR Architecture</v>
      </c>
      <c r="I230">
        <f>Tracker[[#This Row],[DCRType]]</f>
        <v>0</v>
      </c>
      <c r="J230" t="str">
        <f>Tracker[[#This Row],[PRCRState]]</f>
        <v>Evaluate</v>
      </c>
      <c r="K230">
        <f>Tracker[[#This Row],[Planned Start Date
&lt;dd-mm-yyyy&gt;]]</f>
        <v>0</v>
      </c>
      <c r="L230">
        <f>Tracker[[#This Row],[Planned Completion Date
&lt;dd-mm-yyyy&gt;]]</f>
        <v>0</v>
      </c>
      <c r="M230">
        <f>Tracker[[#This Row],[Actual Start Date
&lt;dd-mm-yyyy&gt;]]</f>
        <v>0</v>
      </c>
      <c r="N230">
        <f>Tracker[[#This Row],[Actual Cmpln Date
&lt;dd-mm-yyyy&gt;]]</f>
        <v>0</v>
      </c>
      <c r="O230" t="str">
        <f>Tracker[[#This Row],[At Risk]]</f>
        <v>Closed</v>
      </c>
      <c r="P230">
        <f>Tracker[[#This Row],[
Biz Type]]</f>
        <v>0</v>
      </c>
      <c r="Q230" t="e">
        <f t="shared" si="7"/>
        <v>#VALUE!</v>
      </c>
    </row>
    <row r="231" spans="1:17">
      <c r="A231" t="str">
        <f>Tracker[[#This Row],[DCR Owner]]</f>
        <v>Indumathi M</v>
      </c>
      <c r="B231" t="str">
        <f t="shared" si="6"/>
        <v>Ind</v>
      </c>
      <c r="C231">
        <f>Tracker[[#This Row],[DCR ID - PTC]]</f>
        <v>19577109</v>
      </c>
      <c r="D231" t="s">
        <v>1886</v>
      </c>
      <c r="E231">
        <f>Tracker[[#This Row],[Estimated Hrs]]</f>
        <v>0</v>
      </c>
      <c r="F231">
        <f>Tracker[[#This Row],[Actual Efforts (Hrs)]]</f>
        <v>0</v>
      </c>
      <c r="G231">
        <f>Tracker[[#This Row],[Remaining Hrs]]</f>
        <v>0</v>
      </c>
      <c r="H231" t="str">
        <f>Tracker[[#This Row],[Summary]]</f>
        <v>Electric Heater Diagnositc For ECM - for 2HCU Dual eHTR Architecture</v>
      </c>
      <c r="I231">
        <f>Tracker[[#This Row],[DCRType]]</f>
        <v>0</v>
      </c>
      <c r="J231" t="str">
        <f>Tracker[[#This Row],[PRCRState]]</f>
        <v>Implement</v>
      </c>
      <c r="K231">
        <f>Tracker[[#This Row],[Planned Start Date
&lt;dd-mm-yyyy&gt;]]</f>
        <v>0</v>
      </c>
      <c r="L231">
        <f>Tracker[[#This Row],[Planned Completion Date
&lt;dd-mm-yyyy&gt;]]</f>
        <v>0</v>
      </c>
      <c r="M231">
        <f>Tracker[[#This Row],[Actual Start Date
&lt;dd-mm-yyyy&gt;]]</f>
        <v>0</v>
      </c>
      <c r="N231">
        <f>Tracker[[#This Row],[Actual Cmpln Date
&lt;dd-mm-yyyy&gt;]]</f>
        <v>0</v>
      </c>
      <c r="O231" t="str">
        <f>Tracker[[#This Row],[At Risk]]</f>
        <v>On Track</v>
      </c>
      <c r="P231">
        <f>Tracker[[#This Row],[
Biz Type]]</f>
        <v>0</v>
      </c>
      <c r="Q231" t="e">
        <f t="shared" si="7"/>
        <v>#VALUE!</v>
      </c>
    </row>
    <row r="232" spans="1:17">
      <c r="A232" t="str">
        <f>Tracker[[#This Row],[DCR Owner]]</f>
        <v>Arpitha K</v>
      </c>
      <c r="B232" t="str">
        <f t="shared" si="6"/>
        <v>A</v>
      </c>
      <c r="C232">
        <f>Tracker[[#This Row],[DCR ID - PTC]]</f>
        <v>18733228</v>
      </c>
      <c r="D232" t="s">
        <v>1886</v>
      </c>
      <c r="E232">
        <f>Tracker[[#This Row],[Estimated Hrs]]</f>
        <v>50</v>
      </c>
      <c r="F232">
        <f>Tracker[[#This Row],[Actual Efforts (Hrs)]]</f>
        <v>5</v>
      </c>
      <c r="G232">
        <f>Tracker[[#This Row],[Remaining Hrs]]</f>
        <v>45</v>
      </c>
      <c r="H232" t="str">
        <f>Tracker[[#This Row],[Summary]]</f>
        <v>DOC In Temp Regression model not considering both HCU architectures - AftVirHtrInlTmptr2</v>
      </c>
      <c r="I232">
        <f>Tracker[[#This Row],[DCRType]]</f>
        <v>0</v>
      </c>
      <c r="J232" t="str">
        <f>Tracker[[#This Row],[PRCRState]]</f>
        <v>Implement</v>
      </c>
      <c r="K232">
        <f>Tracker[[#This Row],[Planned Start Date
&lt;dd-mm-yyyy&gt;]]</f>
        <v>0</v>
      </c>
      <c r="L232">
        <f>Tracker[[#This Row],[Planned Completion Date
&lt;dd-mm-yyyy&gt;]]</f>
        <v>46198</v>
      </c>
      <c r="M232">
        <f>Tracker[[#This Row],[Actual Start Date
&lt;dd-mm-yyyy&gt;]]</f>
        <v>0</v>
      </c>
      <c r="N232">
        <f>Tracker[[#This Row],[Actual Cmpln Date
&lt;dd-mm-yyyy&gt;]]</f>
        <v>0</v>
      </c>
      <c r="O232" t="str">
        <f>Tracker[[#This Row],[At Risk]]</f>
        <v>Rejected</v>
      </c>
      <c r="P232">
        <f>Tracker[[#This Row],[
Biz Type]]</f>
        <v>0</v>
      </c>
      <c r="Q232" t="e">
        <f t="shared" si="7"/>
        <v>#VALUE!</v>
      </c>
    </row>
    <row r="233" spans="1:17">
      <c r="A233" t="str">
        <f>Tracker[[#This Row],[DCR Owner]]</f>
        <v>zameer shaik (au51w)/Uttam Mishra</v>
      </c>
      <c r="B233" t="str">
        <f t="shared" si="6"/>
        <v>zameer shaik (au51w)/Utta</v>
      </c>
      <c r="C233">
        <f>Tracker[[#This Row],[DCR ID - PTC]]</f>
        <v>18802806</v>
      </c>
      <c r="D233" t="s">
        <v>1886</v>
      </c>
      <c r="E233">
        <f>Tracker[[#This Row],[Estimated Hrs]]</f>
        <v>30</v>
      </c>
      <c r="F233">
        <f>Tracker[[#This Row],[Actual Efforts (Hrs)]]</f>
        <v>23.75</v>
      </c>
      <c r="G233">
        <f>Tracker[[#This Row],[Remaining Hrs]]</f>
        <v>6.25</v>
      </c>
      <c r="H233" t="str">
        <f>Tracker[[#This Row],[Summary]]</f>
        <v>Incorrect Fault Read - AftDiesPartFiltOutGasPrSenOORH &amp; AftDiesPartFiltOutGasPrSenOORL</v>
      </c>
      <c r="I233">
        <f>Tracker[[#This Row],[DCRType]]</f>
        <v>0</v>
      </c>
      <c r="J233" t="str">
        <f>Tracker[[#This Row],[PRCRState]]</f>
        <v>Implement</v>
      </c>
      <c r="K233">
        <f>Tracker[[#This Row],[Planned Start Date
&lt;dd-mm-yyyy&gt;]]</f>
        <v>0</v>
      </c>
      <c r="L233">
        <f>Tracker[[#This Row],[Planned Completion Date
&lt;dd-mm-yyyy&gt;]]</f>
        <v>0</v>
      </c>
      <c r="M233">
        <f>Tracker[[#This Row],[Actual Start Date
&lt;dd-mm-yyyy&gt;]]</f>
        <v>0</v>
      </c>
      <c r="N233">
        <f>Tracker[[#This Row],[Actual Cmpln Date
&lt;dd-mm-yyyy&gt;]]</f>
        <v>0</v>
      </c>
      <c r="O233" t="str">
        <f>Tracker[[#This Row],[At Risk]]</f>
        <v>On Track</v>
      </c>
      <c r="P233">
        <f>Tracker[[#This Row],[
Biz Type]]</f>
        <v>0</v>
      </c>
      <c r="Q233" t="str">
        <f t="shared" si="7"/>
        <v>zameer shaik (au5</v>
      </c>
    </row>
    <row r="234" spans="1:17">
      <c r="A234" t="str">
        <f>Tracker[[#This Row],[DCR Owner]]</f>
        <v>zameer shaik (au51w)/Uttam Mishra</v>
      </c>
      <c r="B234" t="str">
        <f t="shared" si="6"/>
        <v>zameer shaik (au51w)/Utta</v>
      </c>
      <c r="C234">
        <f>Tracker[[#This Row],[DCR ID - PTC]]</f>
        <v>18802865</v>
      </c>
      <c r="D234" t="s">
        <v>1886</v>
      </c>
      <c r="E234">
        <f>Tracker[[#This Row],[Estimated Hrs]]</f>
        <v>30</v>
      </c>
      <c r="F234">
        <f>Tracker[[#This Row],[Actual Efforts (Hrs)]]</f>
        <v>8</v>
      </c>
      <c r="G234">
        <f>Tracker[[#This Row],[Remaining Hrs]]</f>
        <v>22</v>
      </c>
      <c r="H234" t="str">
        <f>Tracker[[#This Row],[Summary]]</f>
        <v>Incorrect Get error and IUPR APIs for HC Doser Pressure OOR Diags</v>
      </c>
      <c r="I234">
        <f>Tracker[[#This Row],[DCRType]]</f>
        <v>0</v>
      </c>
      <c r="J234" t="str">
        <f>Tracker[[#This Row],[PRCRState]]</f>
        <v>Implement</v>
      </c>
      <c r="K234">
        <f>Tracker[[#This Row],[Planned Start Date
&lt;dd-mm-yyyy&gt;]]</f>
        <v>0</v>
      </c>
      <c r="L234">
        <f>Tracker[[#This Row],[Planned Completion Date
&lt;dd-mm-yyyy&gt;]]</f>
        <v>0</v>
      </c>
      <c r="M234">
        <f>Tracker[[#This Row],[Actual Start Date
&lt;dd-mm-yyyy&gt;]]</f>
        <v>0</v>
      </c>
      <c r="N234">
        <f>Tracker[[#This Row],[Actual Cmpln Date
&lt;dd-mm-yyyy&gt;]]</f>
        <v>0</v>
      </c>
      <c r="O234" t="str">
        <f>Tracker[[#This Row],[At Risk]]</f>
        <v>On Track</v>
      </c>
      <c r="P234">
        <f>Tracker[[#This Row],[
Biz Type]]</f>
        <v>0</v>
      </c>
      <c r="Q234" t="str">
        <f t="shared" si="7"/>
        <v>zameer shaik (au5</v>
      </c>
    </row>
    <row r="235" spans="1:17">
      <c r="A235" t="str">
        <f>Tracker[[#This Row],[DCR Owner]]</f>
        <v xml:space="preserve">Anushka </v>
      </c>
      <c r="B235" t="str">
        <f t="shared" si="6"/>
        <v/>
      </c>
      <c r="C235">
        <f>Tracker[[#This Row],[DCR ID - PTC]]</f>
        <v>13753424</v>
      </c>
      <c r="D235" t="s">
        <v>1886</v>
      </c>
      <c r="E235">
        <f>Tracker[[#This Row],[Estimated Hrs]]</f>
        <v>40</v>
      </c>
      <c r="F235">
        <f>Tracker[[#This Row],[Actual Efforts (Hrs)]]</f>
        <v>19.5</v>
      </c>
      <c r="G235">
        <f>Tracker[[#This Row],[Remaining Hrs]]</f>
        <v>20.5</v>
      </c>
      <c r="H235" t="str">
        <f>Tracker[[#This Row],[Summary]]</f>
        <v>PM sensor Multicycle Dew point lost Calibration removal due to redundancy in application</v>
      </c>
      <c r="I235">
        <f>Tracker[[#This Row],[DCRType]]</f>
        <v>0</v>
      </c>
      <c r="J235" t="str">
        <f>Tracker[[#This Row],[PRCRState]]</f>
        <v>Evaluate</v>
      </c>
      <c r="K235">
        <f>Tracker[[#This Row],[Planned Start Date
&lt;dd-mm-yyyy&gt;]]</f>
        <v>0</v>
      </c>
      <c r="L235">
        <f>Tracker[[#This Row],[Planned Completion Date
&lt;dd-mm-yyyy&gt;]]</f>
        <v>0</v>
      </c>
      <c r="M235">
        <f>Tracker[[#This Row],[Actual Start Date
&lt;dd-mm-yyyy&gt;]]</f>
        <v>0</v>
      </c>
      <c r="N235">
        <f>Tracker[[#This Row],[Actual Cmpln Date
&lt;dd-mm-yyyy&gt;]]</f>
        <v>0</v>
      </c>
      <c r="O235" t="str">
        <f>Tracker[[#This Row],[At Risk]]</f>
        <v>Rejected</v>
      </c>
      <c r="P235">
        <f>Tracker[[#This Row],[
Biz Type]]</f>
        <v>0</v>
      </c>
      <c r="Q235" t="e">
        <f t="shared" si="7"/>
        <v>#VALUE!</v>
      </c>
    </row>
    <row r="236" spans="1:17">
      <c r="A236" t="str">
        <f>Tracker[[#This Row],[DCR Owner]]</f>
        <v xml:space="preserve">Anushka </v>
      </c>
      <c r="B236" t="str">
        <f t="shared" si="6"/>
        <v/>
      </c>
      <c r="C236">
        <f>Tracker[[#This Row],[DCR ID - PTC]]</f>
        <v>13753424</v>
      </c>
      <c r="D236" t="s">
        <v>1886</v>
      </c>
      <c r="E236">
        <f>Tracker[[#This Row],[Estimated Hrs]]</f>
        <v>40</v>
      </c>
      <c r="F236">
        <f>Tracker[[#This Row],[Actual Efforts (Hrs)]]</f>
        <v>19</v>
      </c>
      <c r="G236">
        <f>Tracker[[#This Row],[Remaining Hrs]]</f>
        <v>21</v>
      </c>
      <c r="H236" t="str">
        <f>Tracker[[#This Row],[Summary]]</f>
        <v>PM sensor Multicycle Dew point lost Calibration removal due to redundancy in application</v>
      </c>
      <c r="I236">
        <f>Tracker[[#This Row],[DCRType]]</f>
        <v>0</v>
      </c>
      <c r="J236" t="str">
        <f>Tracker[[#This Row],[PRCRState]]</f>
        <v>Implement</v>
      </c>
      <c r="K236">
        <f>Tracker[[#This Row],[Planned Start Date
&lt;dd-mm-yyyy&gt;]]</f>
        <v>0</v>
      </c>
      <c r="L236">
        <f>Tracker[[#This Row],[Planned Completion Date
&lt;dd-mm-yyyy&gt;]]</f>
        <v>0</v>
      </c>
      <c r="M236">
        <f>Tracker[[#This Row],[Actual Start Date
&lt;dd-mm-yyyy&gt;]]</f>
        <v>0</v>
      </c>
      <c r="N236">
        <f>Tracker[[#This Row],[Actual Cmpln Date
&lt;dd-mm-yyyy&gt;]]</f>
        <v>0</v>
      </c>
      <c r="O236" t="str">
        <f>Tracker[[#This Row],[At Risk]]</f>
        <v>Rejected</v>
      </c>
      <c r="P236">
        <f>Tracker[[#This Row],[
Biz Type]]</f>
        <v>0</v>
      </c>
      <c r="Q236" t="e">
        <f t="shared" si="7"/>
        <v>#VALUE!</v>
      </c>
    </row>
    <row r="237" spans="1:17">
      <c r="A237" t="str">
        <f>Tracker[[#This Row],[DCR Owner]]</f>
        <v>Anushka</v>
      </c>
      <c r="B237" t="e">
        <f t="shared" si="6"/>
        <v>#VALUE!</v>
      </c>
      <c r="C237">
        <f>Tracker[[#This Row],[DCR ID - PTC]]</f>
        <v>14391784</v>
      </c>
      <c r="D237" t="s">
        <v>1886</v>
      </c>
      <c r="E237">
        <f>Tracker[[#This Row],[Estimated Hrs]]</f>
        <v>15</v>
      </c>
      <c r="F237">
        <f>Tracker[[#This Row],[Actual Efforts (Hrs)]]</f>
        <v>0</v>
      </c>
      <c r="G237">
        <f>Tracker[[#This Row],[Remaining Hrs]]</f>
        <v>15</v>
      </c>
      <c r="H237" t="str">
        <f>Tracker[[#This Row],[Summary]]</f>
        <v>File missing from clear case path for ATS - ATM Extension - PFS CES</v>
      </c>
      <c r="I237">
        <f>Tracker[[#This Row],[DCRType]]</f>
        <v>0</v>
      </c>
      <c r="J237" t="str">
        <f>Tracker[[#This Row],[PRCRState]]</f>
        <v>Implement</v>
      </c>
      <c r="K237">
        <f>Tracker[[#This Row],[Planned Start Date
&lt;dd-mm-yyyy&gt;]]</f>
        <v>0</v>
      </c>
      <c r="L237">
        <f>Tracker[[#This Row],[Planned Completion Date
&lt;dd-mm-yyyy&gt;]]</f>
        <v>0</v>
      </c>
      <c r="M237">
        <f>Tracker[[#This Row],[Actual Start Date
&lt;dd-mm-yyyy&gt;]]</f>
        <v>0</v>
      </c>
      <c r="N237">
        <f>Tracker[[#This Row],[Actual Cmpln Date
&lt;dd-mm-yyyy&gt;]]</f>
        <v>0</v>
      </c>
      <c r="O237" t="str">
        <f>Tracker[[#This Row],[At Risk]]</f>
        <v>Yet to start</v>
      </c>
      <c r="P237">
        <f>Tracker[[#This Row],[
Biz Type]]</f>
        <v>0</v>
      </c>
      <c r="Q237" t="e">
        <f t="shared" si="7"/>
        <v>#VALUE!</v>
      </c>
    </row>
    <row r="238" spans="1:17">
      <c r="A238" t="str">
        <f>Tracker[[#This Row],[DCR Owner]]</f>
        <v>Boyella Varun Teja (ag14b)</v>
      </c>
      <c r="B238" t="str">
        <f t="shared" si="6"/>
        <v>Boyella Varun Teja</v>
      </c>
      <c r="C238">
        <f>Tracker[[#This Row],[DCR ID - PTC]]</f>
        <v>19673670</v>
      </c>
      <c r="D238" t="s">
        <v>1886</v>
      </c>
      <c r="E238">
        <f>Tracker[[#This Row],[Estimated Hrs]]</f>
        <v>20</v>
      </c>
      <c r="F238">
        <f>Tracker[[#This Row],[Actual Efforts (Hrs)]]</f>
        <v>21.25</v>
      </c>
      <c r="G238">
        <f>Tracker[[#This Row],[Remaining Hrs]]</f>
        <v>-1.25</v>
      </c>
      <c r="H238" t="str">
        <f>Tracker[[#This Row],[Summary]]</f>
        <v>Need to check and update correct Error Bitmap Inputs present in SCR Heater Disable - AftElecHtrProc2 Component</v>
      </c>
      <c r="I238">
        <f>Tracker[[#This Row],[DCRType]]</f>
        <v>0</v>
      </c>
      <c r="J238" t="str">
        <f>Tracker[[#This Row],[PRCRState]]</f>
        <v>Evaluate</v>
      </c>
      <c r="K238">
        <f>Tracker[[#This Row],[Planned Start Date
&lt;dd-mm-yyyy&gt;]]</f>
        <v>0</v>
      </c>
      <c r="L238">
        <f>Tracker[[#This Row],[Planned Completion Date
&lt;dd-mm-yyyy&gt;]]</f>
        <v>0</v>
      </c>
      <c r="M238">
        <f>Tracker[[#This Row],[Actual Start Date
&lt;dd-mm-yyyy&gt;]]</f>
        <v>0</v>
      </c>
      <c r="N238">
        <f>Tracker[[#This Row],[Actual Cmpln Date
&lt;dd-mm-yyyy&gt;]]</f>
        <v>0</v>
      </c>
      <c r="O238" t="str">
        <f>Tracker[[#This Row],[At Risk]]</f>
        <v>On Track</v>
      </c>
      <c r="P238">
        <f>Tracker[[#This Row],[
Biz Type]]</f>
        <v>0</v>
      </c>
      <c r="Q238" t="str">
        <f t="shared" si="7"/>
        <v>Boyella Va</v>
      </c>
    </row>
    <row r="239" spans="1:17">
      <c r="A239" t="str">
        <f>Tracker[[#This Row],[DCR Owner]]</f>
        <v>Boyella Varun Teja (ag14b)</v>
      </c>
      <c r="B239" t="str">
        <f t="shared" si="6"/>
        <v>Boyella Varun Teja</v>
      </c>
      <c r="C239">
        <f>Tracker[[#This Row],[DCR ID - PTC]]</f>
        <v>19673670</v>
      </c>
      <c r="D239" t="s">
        <v>1886</v>
      </c>
      <c r="E239">
        <f>Tracker[[#This Row],[Estimated Hrs]]</f>
        <v>40</v>
      </c>
      <c r="F239">
        <f>Tracker[[#This Row],[Actual Efforts (Hrs)]]</f>
        <v>1</v>
      </c>
      <c r="G239">
        <f>Tracker[[#This Row],[Remaining Hrs]]</f>
        <v>39</v>
      </c>
      <c r="H239" t="str">
        <f>Tracker[[#This Row],[Summary]]</f>
        <v>Need to check and update correct Error Bitmap Inputs present in SCR Heater Disable - AftElecHtrProc2 Component</v>
      </c>
      <c r="I239">
        <f>Tracker[[#This Row],[DCRType]]</f>
        <v>0</v>
      </c>
      <c r="J239" t="str">
        <f>Tracker[[#This Row],[PRCRState]]</f>
        <v>Implement</v>
      </c>
      <c r="K239">
        <f>Tracker[[#This Row],[Planned Start Date
&lt;dd-mm-yyyy&gt;]]</f>
        <v>0</v>
      </c>
      <c r="L239">
        <f>Tracker[[#This Row],[Planned Completion Date
&lt;dd-mm-yyyy&gt;]]</f>
        <v>0</v>
      </c>
      <c r="M239">
        <f>Tracker[[#This Row],[Actual Start Date
&lt;dd-mm-yyyy&gt;]]</f>
        <v>0</v>
      </c>
      <c r="N239">
        <f>Tracker[[#This Row],[Actual Cmpln Date
&lt;dd-mm-yyyy&gt;]]</f>
        <v>0</v>
      </c>
      <c r="O239" t="str">
        <f>Tracker[[#This Row],[At Risk]]</f>
        <v>Yet to start</v>
      </c>
      <c r="P239">
        <f>Tracker[[#This Row],[
Biz Type]]</f>
        <v>0</v>
      </c>
      <c r="Q239" t="str">
        <f t="shared" si="7"/>
        <v>Boyella Va</v>
      </c>
    </row>
    <row r="240" spans="1:17">
      <c r="A240" t="str">
        <f>Tracker[[#This Row],[DCR Owner]]</f>
        <v>Prathyusha Guttapalem (ag14k)</v>
      </c>
      <c r="B240" t="str">
        <f t="shared" si="6"/>
        <v>Prathyusha Guttapalem</v>
      </c>
      <c r="C240">
        <f>Tracker[[#This Row],[DCR ID - PTC]]</f>
        <v>19864244</v>
      </c>
      <c r="D240" t="s">
        <v>1886</v>
      </c>
      <c r="E240">
        <f>Tracker[[#This Row],[Estimated Hrs]]</f>
        <v>0</v>
      </c>
      <c r="F240">
        <f>Tracker[[#This Row],[Actual Efforts (Hrs)]]</f>
        <v>5</v>
      </c>
      <c r="G240">
        <f>Tracker[[#This Row],[Remaining Hrs]]</f>
        <v>-5</v>
      </c>
      <c r="H240" t="str">
        <f>Tracker[[#This Row],[Summary]]</f>
        <v>Remove duplicate lines in dmPartMatSenCSuppVoltHiErr monitor of AftPartMatSenCVoltDiag component</v>
      </c>
      <c r="I240">
        <f>Tracker[[#This Row],[DCRType]]</f>
        <v>0</v>
      </c>
      <c r="J240" t="str">
        <f>Tracker[[#This Row],[PRCRState]]</f>
        <v>Implement_NA</v>
      </c>
      <c r="K240">
        <f>Tracker[[#This Row],[Planned Start Date
&lt;dd-mm-yyyy&gt;]]</f>
        <v>0</v>
      </c>
      <c r="L240">
        <f>Tracker[[#This Row],[Planned Completion Date
&lt;dd-mm-yyyy&gt;]]</f>
        <v>0</v>
      </c>
      <c r="M240">
        <f>Tracker[[#This Row],[Actual Start Date
&lt;dd-mm-yyyy&gt;]]</f>
        <v>0</v>
      </c>
      <c r="N240">
        <f>Tracker[[#This Row],[Actual Cmpln Date
&lt;dd-mm-yyyy&gt;]]</f>
        <v>0</v>
      </c>
      <c r="O240" t="str">
        <f>Tracker[[#This Row],[At Risk]]</f>
        <v>Closed</v>
      </c>
      <c r="P240">
        <f>Tracker[[#This Row],[
Biz Type]]</f>
        <v>0</v>
      </c>
      <c r="Q240" t="str">
        <f t="shared" si="7"/>
        <v>Prathyusha Gu</v>
      </c>
    </row>
    <row r="241" spans="1:17">
      <c r="A241" t="str">
        <f>Tracker[[#This Row],[DCR Owner]]</f>
        <v>Manswi</v>
      </c>
      <c r="B241" t="e">
        <f t="shared" si="6"/>
        <v>#VALUE!</v>
      </c>
      <c r="C241">
        <f>Tracker[[#This Row],[DCR ID - PTC]]</f>
        <v>19515992</v>
      </c>
      <c r="D241" t="s">
        <v>1886</v>
      </c>
      <c r="E241">
        <f>Tracker[[#This Row],[Estimated Hrs]]</f>
        <v>40</v>
      </c>
      <c r="F241">
        <f>Tracker[[#This Row],[Actual Efforts (Hrs)]]</f>
        <v>30</v>
      </c>
      <c r="G241">
        <f>Tracker[[#This Row],[Remaining Hrs]]</f>
        <v>10</v>
      </c>
      <c r="H241" t="str">
        <f>Tracker[[#This Row],[Summary]]</f>
        <v>Need to analyze impact of ppAftElecHtrSysIO3ErrsBtmp_deVal bitmap</v>
      </c>
      <c r="I241">
        <f>Tracker[[#This Row],[DCRType]]</f>
        <v>0</v>
      </c>
      <c r="J241" t="str">
        <f>Tracker[[#This Row],[PRCRState]]</f>
        <v>Implement_NA</v>
      </c>
      <c r="K241">
        <f>Tracker[[#This Row],[Planned Start Date
&lt;dd-mm-yyyy&gt;]]</f>
        <v>0</v>
      </c>
      <c r="L241">
        <f>Tracker[[#This Row],[Planned Completion Date
&lt;dd-mm-yyyy&gt;]]</f>
        <v>0</v>
      </c>
      <c r="M241">
        <f>Tracker[[#This Row],[Actual Start Date
&lt;dd-mm-yyyy&gt;]]</f>
        <v>0</v>
      </c>
      <c r="N241">
        <f>Tracker[[#This Row],[Actual Cmpln Date
&lt;dd-mm-yyyy&gt;]]</f>
        <v>0</v>
      </c>
      <c r="O241" t="str">
        <f>Tracker[[#This Row],[At Risk]]</f>
        <v>On Track</v>
      </c>
      <c r="P241">
        <f>Tracker[[#This Row],[
Biz Type]]</f>
        <v>0</v>
      </c>
      <c r="Q241" t="e">
        <f t="shared" si="7"/>
        <v>#VALUE!</v>
      </c>
    </row>
    <row r="242" spans="1:17" hidden="1">
      <c r="A242" t="str">
        <f>Tracker[[#This Row],[DCR Owner]]</f>
        <v>Prathyusha Guttapalem</v>
      </c>
      <c r="B242" t="str">
        <f t="shared" si="6"/>
        <v>Prathyusha Gu</v>
      </c>
      <c r="C242" t="str">
        <f>Tracker[[#This Row],[DCR ID - PTC]]</f>
        <v>20071796
20071718</v>
      </c>
      <c r="D242" t="s">
        <v>1886</v>
      </c>
      <c r="E242">
        <f>Tracker[[#This Row],[Estimated Hrs]]</f>
        <v>80</v>
      </c>
      <c r="F242">
        <f>Tracker[[#This Row],[Actual Efforts (Hrs)]]</f>
        <v>35.25</v>
      </c>
      <c r="G242">
        <f>Tracker[[#This Row],[Remaining Hrs]]</f>
        <v>44.75</v>
      </c>
      <c r="H242" t="str">
        <f>Tracker[[#This Row],[Summary]]</f>
        <v>Need to analyze impact of ppAftElecHtrSysIO3ErrsBtmp_deVal bitmap</v>
      </c>
      <c r="I242">
        <f>Tracker[[#This Row],[DCRType]]</f>
        <v>0</v>
      </c>
      <c r="J242" t="str">
        <f>Tracker[[#This Row],[PRCRState]]</f>
        <v>Implement_NA</v>
      </c>
      <c r="K242">
        <f>Tracker[[#This Row],[Planned Start Date
&lt;dd-mm-yyyy&gt;]]</f>
        <v>0</v>
      </c>
      <c r="L242">
        <f>Tracker[[#This Row],[Planned Completion Date
&lt;dd-mm-yyyy&gt;]]</f>
        <v>0</v>
      </c>
      <c r="M242">
        <f>Tracker[[#This Row],[Actual Start Date
&lt;dd-mm-yyyy&gt;]]</f>
        <v>0</v>
      </c>
      <c r="N242">
        <f>Tracker[[#This Row],[Actual Cmpln Date
&lt;dd-mm-yyyy&gt;]]</f>
        <v>0</v>
      </c>
      <c r="O242" t="str">
        <f>Tracker[[#This Row],[At Risk]]</f>
        <v>On Track</v>
      </c>
      <c r="P242" t="e">
        <v>#REF!</v>
      </c>
      <c r="Q242" t="str">
        <f t="shared" si="7"/>
        <v>Prath</v>
      </c>
    </row>
    <row r="243" spans="1:17">
      <c r="A243" t="str">
        <f>Tracker[[#This Row],[DCR Owner]]</f>
        <v>Danduboyina Sindhu (al24v)</v>
      </c>
      <c r="B243" t="str">
        <f t="shared" si="6"/>
        <v>Danduboyina Sindhu</v>
      </c>
      <c r="C243">
        <f>Tracker[[#This Row],[DCR ID - PTC]]</f>
        <v>19682810</v>
      </c>
      <c r="D243" t="s">
        <v>1886</v>
      </c>
      <c r="E243">
        <f>Tracker[[#This Row],[Estimated Hrs]]</f>
        <v>45</v>
      </c>
      <c r="F243">
        <f>Tracker[[#This Row],[Actual Efforts (Hrs)]]</f>
        <v>47</v>
      </c>
      <c r="G243">
        <f>Tracker[[#This Row],[Remaining Hrs]]</f>
        <v>-2</v>
      </c>
      <c r="H243" t="str">
        <f>Tracker[[#This Row],[Summary]]</f>
        <v>Enable calibration for Timer based Non-Mission regen</v>
      </c>
      <c r="I243">
        <f>Tracker[[#This Row],[DCRType]]</f>
        <v>0</v>
      </c>
      <c r="J243" t="str">
        <f>Tracker[[#This Row],[PRCRState]]</f>
        <v>Evaluate</v>
      </c>
      <c r="K243">
        <f>Tracker[[#This Row],[Planned Start Date
&lt;dd-mm-yyyy&gt;]]</f>
        <v>0</v>
      </c>
      <c r="L243">
        <f>Tracker[[#This Row],[Planned Completion Date
&lt;dd-mm-yyyy&gt;]]</f>
        <v>0</v>
      </c>
      <c r="M243">
        <f>Tracker[[#This Row],[Actual Start Date
&lt;dd-mm-yyyy&gt;]]</f>
        <v>0</v>
      </c>
      <c r="N243">
        <f>Tracker[[#This Row],[Actual Cmpln Date
&lt;dd-mm-yyyy&gt;]]</f>
        <v>0</v>
      </c>
      <c r="O243" t="str">
        <f>Tracker[[#This Row],[At Risk]]</f>
        <v>On Track</v>
      </c>
      <c r="P243">
        <f>Tracker[[#This Row],[
Biz Type]]</f>
        <v>0</v>
      </c>
      <c r="Q243" t="str">
        <f t="shared" si="7"/>
        <v>Danduboyin</v>
      </c>
    </row>
    <row r="244" spans="1:17">
      <c r="A244" t="str">
        <f>Tracker[[#This Row],[DCR Owner]]</f>
        <v>Danduboyina Sindhu (al24v)</v>
      </c>
      <c r="B244" t="str">
        <f t="shared" si="6"/>
        <v>Danduboyina Sindhu</v>
      </c>
      <c r="C244">
        <f>Tracker[[#This Row],[DCR ID - PTC]]</f>
        <v>19682810</v>
      </c>
      <c r="D244" t="s">
        <v>1886</v>
      </c>
      <c r="E244">
        <f>Tracker[[#This Row],[Estimated Hrs]]</f>
        <v>0</v>
      </c>
      <c r="F244">
        <f>Tracker[[#This Row],[Actual Efforts (Hrs)]]</f>
        <v>0</v>
      </c>
      <c r="G244">
        <f>Tracker[[#This Row],[Remaining Hrs]]</f>
        <v>0</v>
      </c>
      <c r="H244" t="str">
        <f>Tracker[[#This Row],[Summary]]</f>
        <v>Enable calibration for Timer based Non-Mission regen</v>
      </c>
      <c r="I244">
        <f>Tracker[[#This Row],[DCRType]]</f>
        <v>0</v>
      </c>
      <c r="J244" t="str">
        <f>Tracker[[#This Row],[PRCRState]]</f>
        <v>Implement</v>
      </c>
      <c r="K244">
        <f>Tracker[[#This Row],[Planned Start Date
&lt;dd-mm-yyyy&gt;]]</f>
        <v>0</v>
      </c>
      <c r="L244">
        <f>Tracker[[#This Row],[Planned Completion Date
&lt;dd-mm-yyyy&gt;]]</f>
        <v>0</v>
      </c>
      <c r="M244">
        <f>Tracker[[#This Row],[Actual Start Date
&lt;dd-mm-yyyy&gt;]]</f>
        <v>0</v>
      </c>
      <c r="N244">
        <f>Tracker[[#This Row],[Actual Cmpln Date
&lt;dd-mm-yyyy&gt;]]</f>
        <v>0</v>
      </c>
      <c r="O244" t="str">
        <f>Tracker[[#This Row],[At Risk]]</f>
        <v>Yet to start</v>
      </c>
      <c r="P244">
        <f>Tracker[[#This Row],[
Biz Type]]</f>
        <v>0</v>
      </c>
      <c r="Q244" t="str">
        <f t="shared" si="7"/>
        <v>Danduboyin</v>
      </c>
    </row>
    <row r="245" spans="1:17" hidden="1">
      <c r="A245" t="str">
        <f>Tracker[[#This Row],[DCR Owner]]</f>
        <v>Iram / Anushka</v>
      </c>
      <c r="B245" t="str">
        <f t="shared" si="6"/>
        <v>Iram /</v>
      </c>
      <c r="C245">
        <f>Tracker[[#This Row],[DCR ID - PTC]]</f>
        <v>19682373</v>
      </c>
      <c r="D245" t="s">
        <v>1886</v>
      </c>
      <c r="E245">
        <f>Tracker[[#This Row],[Estimated Hrs]]</f>
        <v>30</v>
      </c>
      <c r="F245">
        <f>Tracker[[#This Row],[Actual Efforts (Hrs)]]</f>
        <v>32.5</v>
      </c>
      <c r="G245">
        <f>Tracker[[#This Row],[Remaining Hrs]]</f>
        <v>-2.5</v>
      </c>
      <c r="H245" t="str">
        <f>Tracker[[#This Row],[Summary]]</f>
        <v>NM Desoot Regen can be triggered by driver when 'Conditions not met'</v>
      </c>
      <c r="I245">
        <f>Tracker[[#This Row],[DCRType]]</f>
        <v>0</v>
      </c>
      <c r="J245" t="str">
        <f>Tracker[[#This Row],[PRCRState]]</f>
        <v>Evaluate</v>
      </c>
      <c r="K245">
        <f>Tracker[[#This Row],[Planned Start Date
&lt;dd-mm-yyyy&gt;]]</f>
        <v>0</v>
      </c>
      <c r="L245">
        <f>Tracker[[#This Row],[Planned Completion Date
&lt;dd-mm-yyyy&gt;]]</f>
        <v>0</v>
      </c>
      <c r="M245">
        <f>Tracker[[#This Row],[Actual Start Date
&lt;dd-mm-yyyy&gt;]]</f>
        <v>0</v>
      </c>
      <c r="N245">
        <f>Tracker[[#This Row],[Actual Cmpln Date
&lt;dd-mm-yyyy&gt;]]</f>
        <v>0</v>
      </c>
      <c r="O245" t="str">
        <f>Tracker[[#This Row],[At Risk]]</f>
        <v>On Track</v>
      </c>
      <c r="P245">
        <f>Tracker[[#This Row],[
Biz Type]]</f>
        <v>0</v>
      </c>
      <c r="Q245" t="e">
        <f t="shared" si="7"/>
        <v>#VALUE!</v>
      </c>
    </row>
    <row r="246" spans="1:17" hidden="1">
      <c r="A246" t="str">
        <f>Tracker[[#This Row],[DCR Owner]]</f>
        <v>Anushka</v>
      </c>
      <c r="B246" t="e">
        <f t="shared" si="6"/>
        <v>#VALUE!</v>
      </c>
      <c r="C246">
        <f>Tracker[[#This Row],[DCR ID - PTC]]</f>
        <v>19682373</v>
      </c>
      <c r="D246" t="s">
        <v>1886</v>
      </c>
      <c r="E246">
        <f>Tracker[[#This Row],[Estimated Hrs]]</f>
        <v>30</v>
      </c>
      <c r="F246">
        <f>Tracker[[#This Row],[Actual Efforts (Hrs)]]</f>
        <v>0</v>
      </c>
      <c r="G246">
        <f>Tracker[[#This Row],[Remaining Hrs]]</f>
        <v>30</v>
      </c>
      <c r="H246" t="str">
        <f>Tracker[[#This Row],[Summary]]</f>
        <v>NM Desoot Regen can be triggered by driver when 'Conditions not met'</v>
      </c>
      <c r="I246">
        <f>Tracker[[#This Row],[DCRType]]</f>
        <v>0</v>
      </c>
      <c r="J246" t="str">
        <f>Tracker[[#This Row],[PRCRState]]</f>
        <v>Implement</v>
      </c>
      <c r="K246">
        <f>Tracker[[#This Row],[Planned Start Date
&lt;dd-mm-yyyy&gt;]]</f>
        <v>0</v>
      </c>
      <c r="L246">
        <f>Tracker[[#This Row],[Planned Completion Date
&lt;dd-mm-yyyy&gt;]]</f>
        <v>0</v>
      </c>
      <c r="M246">
        <f>Tracker[[#This Row],[Actual Start Date
&lt;dd-mm-yyyy&gt;]]</f>
        <v>0</v>
      </c>
      <c r="N246">
        <f>Tracker[[#This Row],[Actual Cmpln Date
&lt;dd-mm-yyyy&gt;]]</f>
        <v>0</v>
      </c>
      <c r="O246" t="str">
        <f>Tracker[[#This Row],[At Risk]]</f>
        <v>Yet to start</v>
      </c>
      <c r="P246">
        <f>Tracker[[#This Row],[
Biz Type]]</f>
        <v>0</v>
      </c>
      <c r="Q246" t="e">
        <f t="shared" si="7"/>
        <v>#VALUE!</v>
      </c>
    </row>
    <row r="247" spans="1:17" hidden="1">
      <c r="A247" t="str">
        <f>Tracker[[#This Row],[DCR Owner]]</f>
        <v>Manswi</v>
      </c>
      <c r="B247" t="e">
        <f t="shared" si="6"/>
        <v>#VALUE!</v>
      </c>
      <c r="C247">
        <f>Tracker[[#This Row],[DCR ID - PTC]]</f>
        <v>19515992</v>
      </c>
      <c r="D247" t="s">
        <v>1886</v>
      </c>
      <c r="E247">
        <f>Tracker[[#This Row],[Estimated Hrs]]</f>
        <v>40</v>
      </c>
      <c r="F247">
        <f>Tracker[[#This Row],[Actual Efforts (Hrs)]]</f>
        <v>18.25</v>
      </c>
      <c r="G247">
        <f>Tracker[[#This Row],[Remaining Hrs]]</f>
        <v>21.75</v>
      </c>
      <c r="H247" t="str">
        <f>Tracker[[#This Row],[Summary]]</f>
        <v>Need to analyze impact of ppAftElecHtrSysIO3ErrsBtmp_deVal bitmap</v>
      </c>
      <c r="I247">
        <f>Tracker[[#This Row],[DCRType]]</f>
        <v>0</v>
      </c>
      <c r="J247" t="str">
        <f>Tracker[[#This Row],[PRCRState]]</f>
        <v>Implement_NA</v>
      </c>
      <c r="K247">
        <f>Tracker[[#This Row],[Planned Start Date
&lt;dd-mm-yyyy&gt;]]</f>
        <v>0</v>
      </c>
      <c r="L247">
        <f>Tracker[[#This Row],[Planned Completion Date
&lt;dd-mm-yyyy&gt;]]</f>
        <v>0</v>
      </c>
      <c r="M247">
        <f>Tracker[[#This Row],[Actual Start Date
&lt;dd-mm-yyyy&gt;]]</f>
        <v>0</v>
      </c>
      <c r="N247">
        <f>Tracker[[#This Row],[Actual Cmpln Date
&lt;dd-mm-yyyy&gt;]]</f>
        <v>0</v>
      </c>
      <c r="O247" t="str">
        <f>Tracker[[#This Row],[At Risk]]</f>
        <v>Yet to start</v>
      </c>
      <c r="P247">
        <f>Tracker[[#This Row],[
Biz Type]]</f>
        <v>0</v>
      </c>
      <c r="Q247" t="e">
        <f t="shared" si="7"/>
        <v>#VALUE!</v>
      </c>
    </row>
    <row r="248" spans="1:17">
      <c r="A248" t="str">
        <f>Tracker[[#This Row],[DCR Owner]]</f>
        <v>Anushka / Danduboyina Sindhu</v>
      </c>
      <c r="B248" t="str">
        <f t="shared" si="6"/>
        <v>Anushka / Danduboyin</v>
      </c>
      <c r="C248">
        <f>Tracker[[#This Row],[DCR ID - PTC]]</f>
        <v>19817158</v>
      </c>
      <c r="D248" t="s">
        <v>1886</v>
      </c>
      <c r="E248">
        <f>Tracker[[#This Row],[Estimated Hrs]]</f>
        <v>0</v>
      </c>
      <c r="F248">
        <f>Tracker[[#This Row],[Actual Efforts (Hrs)]]</f>
        <v>18</v>
      </c>
      <c r="G248">
        <f>Tracker[[#This Row],[Remaining Hrs]]</f>
        <v>-18</v>
      </c>
      <c r="H248" t="str">
        <f>Tracker[[#This Row],[Summary]]</f>
        <v>AftDPFTimeBasedRegenTrigProc - 'Time Since Act Regen' is accumulating during active regen - TD3891</v>
      </c>
      <c r="I248">
        <f>Tracker[[#This Row],[DCRType]]</f>
        <v>0</v>
      </c>
      <c r="J248" t="str">
        <f>Tracker[[#This Row],[PRCRState]]</f>
        <v>Evaluate</v>
      </c>
      <c r="K248">
        <f>Tracker[[#This Row],[Planned Start Date
&lt;dd-mm-yyyy&gt;]]</f>
        <v>0</v>
      </c>
      <c r="L248">
        <f>Tracker[[#This Row],[Planned Completion Date
&lt;dd-mm-yyyy&gt;]]</f>
        <v>0</v>
      </c>
      <c r="M248">
        <f>Tracker[[#This Row],[Actual Start Date
&lt;dd-mm-yyyy&gt;]]</f>
        <v>0</v>
      </c>
      <c r="N248">
        <f>Tracker[[#This Row],[Actual Cmpln Date
&lt;dd-mm-yyyy&gt;]]</f>
        <v>0</v>
      </c>
      <c r="O248" t="str">
        <f>Tracker[[#This Row],[At Risk]]</f>
        <v>On Track</v>
      </c>
      <c r="P248">
        <f>Tracker[[#This Row],[
Biz Type]]</f>
        <v>0</v>
      </c>
      <c r="Q248" t="str">
        <f t="shared" si="7"/>
        <v>Anushka / Da</v>
      </c>
    </row>
    <row r="249" spans="1:17" hidden="1">
      <c r="A249" t="str">
        <f>Tracker[[#This Row],[DCR Owner]]</f>
        <v>Danduboyina Sindhu</v>
      </c>
      <c r="B249" t="str">
        <f t="shared" si="6"/>
        <v>Danduboyin</v>
      </c>
      <c r="C249">
        <f>Tracker[[#This Row],[DCR ID - PTC]]</f>
        <v>19817158</v>
      </c>
      <c r="D249" t="s">
        <v>1886</v>
      </c>
      <c r="E249">
        <f>Tracker[[#This Row],[Estimated Hrs]]</f>
        <v>0</v>
      </c>
      <c r="F249">
        <f>Tracker[[#This Row],[Actual Efforts (Hrs)]]</f>
        <v>0</v>
      </c>
      <c r="G249">
        <f>Tracker[[#This Row],[Remaining Hrs]]</f>
        <v>0</v>
      </c>
      <c r="H249" t="str">
        <f>Tracker[[#This Row],[Summary]]</f>
        <v>AftDPFTimeBasedRegenTrigProc - 'Time Since Act Regen' is accumulating during active regen - TD3891</v>
      </c>
      <c r="I249">
        <f>Tracker[[#This Row],[DCRType]]</f>
        <v>0</v>
      </c>
      <c r="J249" t="str">
        <f>Tracker[[#This Row],[PRCRState]]</f>
        <v>Implement</v>
      </c>
      <c r="K249">
        <f>Tracker[[#This Row],[Planned Start Date
&lt;dd-mm-yyyy&gt;]]</f>
        <v>0</v>
      </c>
      <c r="L249">
        <f>Tracker[[#This Row],[Planned Completion Date
&lt;dd-mm-yyyy&gt;]]</f>
        <v>0</v>
      </c>
      <c r="M249">
        <f>Tracker[[#This Row],[Actual Start Date
&lt;dd-mm-yyyy&gt;]]</f>
        <v>0</v>
      </c>
      <c r="N249">
        <f>Tracker[[#This Row],[Actual Cmpln Date
&lt;dd-mm-yyyy&gt;]]</f>
        <v>0</v>
      </c>
      <c r="O249" t="str">
        <f>Tracker[[#This Row],[At Risk]]</f>
        <v>Yet to start</v>
      </c>
      <c r="P249">
        <f>Tracker[[#This Row],[
Biz Type]]</f>
        <v>0</v>
      </c>
      <c r="Q249" t="str">
        <f t="shared" si="7"/>
        <v>Da</v>
      </c>
    </row>
    <row r="250" spans="1:17">
      <c r="A250" t="str">
        <f>Tracker[[#This Row],[DCR Owner]]</f>
        <v>Danduboyina Sindhu</v>
      </c>
      <c r="B250" t="str">
        <f t="shared" si="6"/>
        <v>Danduboyin</v>
      </c>
      <c r="C250">
        <f>Tracker[[#This Row],[DCR ID - PTC]]</f>
        <v>19868102</v>
      </c>
      <c r="D250" t="s">
        <v>1886</v>
      </c>
      <c r="E250">
        <f>Tracker[[#This Row],[Estimated Hrs]]</f>
        <v>0</v>
      </c>
      <c r="F250">
        <f>Tracker[[#This Row],[Actual Efforts (Hrs)]]</f>
        <v>0</v>
      </c>
      <c r="G250">
        <f>Tracker[[#This Row],[Remaining Hrs]]</f>
        <v>0</v>
      </c>
      <c r="H250" t="str">
        <f>Tracker[[#This Row],[Summary]]</f>
        <v xml:space="preserve">AftDPFTimeBasedRegenTrigProc - ppNVPartFiltTimeSinceActRegen getting reset at end of DeSOx Regen while tuned to bypass
</v>
      </c>
      <c r="I250">
        <f>Tracker[[#This Row],[DCRType]]</f>
        <v>0</v>
      </c>
      <c r="J250" t="str">
        <f>Tracker[[#This Row],[PRCRState]]</f>
        <v>Evaluate</v>
      </c>
      <c r="K250">
        <f>Tracker[[#This Row],[Planned Start Date
&lt;dd-mm-yyyy&gt;]]</f>
        <v>0</v>
      </c>
      <c r="L250">
        <f>Tracker[[#This Row],[Planned Completion Date
&lt;dd-mm-yyyy&gt;]]</f>
        <v>0</v>
      </c>
      <c r="M250">
        <f>Tracker[[#This Row],[Actual Start Date
&lt;dd-mm-yyyy&gt;]]</f>
        <v>0</v>
      </c>
      <c r="N250">
        <f>Tracker[[#This Row],[Actual Cmpln Date
&lt;dd-mm-yyyy&gt;]]</f>
        <v>0</v>
      </c>
      <c r="O250" t="str">
        <f>Tracker[[#This Row],[At Risk]]</f>
        <v>On Track</v>
      </c>
      <c r="P250">
        <f>Tracker[[#This Row],[
Biz Type]]</f>
        <v>0</v>
      </c>
      <c r="Q250" t="str">
        <f t="shared" si="7"/>
        <v>Da</v>
      </c>
    </row>
    <row r="251" spans="1:17">
      <c r="A251" t="str">
        <f>Tracker[[#This Row],[DCR Owner]]</f>
        <v>Danduboyina Sindhu</v>
      </c>
      <c r="B251" t="str">
        <f t="shared" si="6"/>
        <v>Danduboyin</v>
      </c>
      <c r="C251">
        <f>Tracker[[#This Row],[DCR ID - PTC]]</f>
        <v>19868102</v>
      </c>
      <c r="D251" t="s">
        <v>1886</v>
      </c>
      <c r="E251">
        <f>Tracker[[#This Row],[Estimated Hrs]]</f>
        <v>0</v>
      </c>
      <c r="F251">
        <f>Tracker[[#This Row],[Actual Efforts (Hrs)]]</f>
        <v>0</v>
      </c>
      <c r="G251">
        <f>Tracker[[#This Row],[Remaining Hrs]]</f>
        <v>0</v>
      </c>
      <c r="H251" t="str">
        <f>Tracker[[#This Row],[Summary]]</f>
        <v xml:space="preserve">AftDPFTimeBasedRegenTrigProc - ppNVPartFiltTimeSinceActRegen getting reset at end of DeSOx Regen while tuned to bypass
</v>
      </c>
      <c r="I251">
        <f>Tracker[[#This Row],[DCRType]]</f>
        <v>0</v>
      </c>
      <c r="J251" t="str">
        <f>Tracker[[#This Row],[PRCRState]]</f>
        <v>Implement</v>
      </c>
      <c r="K251">
        <f>Tracker[[#This Row],[Planned Start Date
&lt;dd-mm-yyyy&gt;]]</f>
        <v>0</v>
      </c>
      <c r="L251">
        <f>Tracker[[#This Row],[Planned Completion Date
&lt;dd-mm-yyyy&gt;]]</f>
        <v>0</v>
      </c>
      <c r="M251">
        <f>Tracker[[#This Row],[Actual Start Date
&lt;dd-mm-yyyy&gt;]]</f>
        <v>0</v>
      </c>
      <c r="N251">
        <f>Tracker[[#This Row],[Actual Cmpln Date
&lt;dd-mm-yyyy&gt;]]</f>
        <v>0</v>
      </c>
      <c r="O251" t="str">
        <f>Tracker[[#This Row],[At Risk]]</f>
        <v>Yet to start</v>
      </c>
      <c r="P251">
        <f>Tracker[[#This Row],[
Biz Type]]</f>
        <v>0</v>
      </c>
      <c r="Q251" t="str">
        <f t="shared" si="7"/>
        <v>Da</v>
      </c>
    </row>
    <row r="252" spans="1:17">
      <c r="A252" t="str">
        <f>Tracker[[#This Row],[DCR Owner]]</f>
        <v>aishwarya Jahagirdar (ac14v)</v>
      </c>
      <c r="B252" t="str">
        <f t="shared" si="6"/>
        <v>aishwarya Jahagirdar</v>
      </c>
      <c r="C252">
        <f>Tracker[[#This Row],[DCR ID - PTC]]</f>
        <v>19935596</v>
      </c>
      <c r="D252" t="s">
        <v>1886</v>
      </c>
      <c r="E252">
        <f>Tracker[[#This Row],[Estimated Hrs]]</f>
        <v>0</v>
      </c>
      <c r="F252">
        <f>Tracker[[#This Row],[Actual Efforts (Hrs)]]</f>
        <v>41.5</v>
      </c>
      <c r="G252">
        <f>Tracker[[#This Row],[Remaining Hrs]]</f>
        <v>-41.5</v>
      </c>
      <c r="H252" t="str">
        <f>Tracker[[#This Row],[Summary]]</f>
        <v>AftFtis65697DualElecHtrTest: Need to include OECS &amp; CSERS diagnostic in Dual eHeater service test</v>
      </c>
      <c r="I252">
        <f>Tracker[[#This Row],[DCRType]]</f>
        <v>0</v>
      </c>
      <c r="J252" t="str">
        <f>Tracker[[#This Row],[PRCRState]]</f>
        <v>Evaluate</v>
      </c>
      <c r="K252">
        <f>Tracker[[#This Row],[Planned Start Date
&lt;dd-mm-yyyy&gt;]]</f>
        <v>0</v>
      </c>
      <c r="L252">
        <f>Tracker[[#This Row],[Planned Completion Date
&lt;dd-mm-yyyy&gt;]]</f>
        <v>0</v>
      </c>
      <c r="M252">
        <f>Tracker[[#This Row],[Actual Start Date
&lt;dd-mm-yyyy&gt;]]</f>
        <v>0</v>
      </c>
      <c r="N252">
        <f>Tracker[[#This Row],[Actual Cmpln Date
&lt;dd-mm-yyyy&gt;]]</f>
        <v>0</v>
      </c>
      <c r="O252" t="str">
        <f>Tracker[[#This Row],[At Risk]]</f>
        <v>On Track</v>
      </c>
      <c r="P252">
        <f>Tracker[[#This Row],[
Biz Type]]</f>
        <v>0</v>
      </c>
      <c r="Q252" t="str">
        <f t="shared" si="7"/>
        <v>aishwarya Ja</v>
      </c>
    </row>
    <row r="253" spans="1:17">
      <c r="A253" t="str">
        <f>Tracker[[#This Row],[DCR Owner]]</f>
        <v>iram nazneen (wa667)</v>
      </c>
      <c r="B253" t="str">
        <f t="shared" si="6"/>
        <v>iram nazneen</v>
      </c>
      <c r="C253">
        <f>Tracker[[#This Row],[DCR ID - PTC]]</f>
        <v>19824310</v>
      </c>
      <c r="D253" t="s">
        <v>1886</v>
      </c>
      <c r="E253">
        <f>Tracker[[#This Row],[Estimated Hrs]]</f>
        <v>12</v>
      </c>
      <c r="F253">
        <f>Tracker[[#This Row],[Actual Efforts (Hrs)]]</f>
        <v>20.5</v>
      </c>
      <c r="G253">
        <f>Tracker[[#This Row],[Remaining Hrs]]</f>
        <v>-8.5</v>
      </c>
      <c r="H253" t="str">
        <f>Tracker[[#This Row],[Summary]]</f>
        <v>AftDiesOxidCatHCSlipInjLim - pp removed that was used by other components.</v>
      </c>
      <c r="I253">
        <f>Tracker[[#This Row],[DCRType]]</f>
        <v>0</v>
      </c>
      <c r="J253" t="str">
        <f>Tracker[[#This Row],[PRCRState]]</f>
        <v>Evaluate</v>
      </c>
      <c r="K253">
        <f>Tracker[[#This Row],[Planned Start Date
&lt;dd-mm-yyyy&gt;]]</f>
        <v>0</v>
      </c>
      <c r="L253">
        <f>Tracker[[#This Row],[Planned Completion Date
&lt;dd-mm-yyyy&gt;]]</f>
        <v>0</v>
      </c>
      <c r="M253">
        <f>Tracker[[#This Row],[Actual Start Date
&lt;dd-mm-yyyy&gt;]]</f>
        <v>0</v>
      </c>
      <c r="N253">
        <f>Tracker[[#This Row],[Actual Cmpln Date
&lt;dd-mm-yyyy&gt;]]</f>
        <v>0</v>
      </c>
      <c r="O253" t="str">
        <f>Tracker[[#This Row],[At Risk]]</f>
        <v>Closed</v>
      </c>
      <c r="P253">
        <f>Tracker[[#This Row],[
Biz Type]]</f>
        <v>0</v>
      </c>
      <c r="Q253" t="str">
        <f t="shared" si="7"/>
        <v>iram</v>
      </c>
    </row>
    <row r="254" spans="1:17">
      <c r="A254" t="str">
        <f>Tracker[[#This Row],[DCR Owner]]</f>
        <v>iram nazneen (wa667)/ Anshul</v>
      </c>
      <c r="B254" t="str">
        <f t="shared" si="6"/>
        <v>iram nazneen (wa667)</v>
      </c>
      <c r="C254">
        <f>Tracker[[#This Row],[DCR ID - PTC]]</f>
        <v>19824310</v>
      </c>
      <c r="D254" t="s">
        <v>1886</v>
      </c>
      <c r="E254">
        <f>Tracker[[#This Row],[Estimated Hrs]]</f>
        <v>32</v>
      </c>
      <c r="F254">
        <f>Tracker[[#This Row],[Actual Efforts (Hrs)]]</f>
        <v>20.5</v>
      </c>
      <c r="G254">
        <f>Tracker[[#This Row],[Remaining Hrs]]</f>
        <v>11.5</v>
      </c>
      <c r="H254" t="str">
        <f>Tracker[[#This Row],[Summary]]</f>
        <v>AftDiesOxidCatHCSlipInjLim - pp removed that was used by other components.</v>
      </c>
      <c r="I254">
        <f>Tracker[[#This Row],[DCRType]]</f>
        <v>0</v>
      </c>
      <c r="J254" t="str">
        <f>Tracker[[#This Row],[PRCRState]]</f>
        <v>Implement</v>
      </c>
      <c r="K254">
        <f>Tracker[[#This Row],[Planned Start Date
&lt;dd-mm-yyyy&gt;]]</f>
        <v>0</v>
      </c>
      <c r="L254">
        <f>Tracker[[#This Row],[Planned Completion Date
&lt;dd-mm-yyyy&gt;]]</f>
        <v>0</v>
      </c>
      <c r="M254">
        <f>Tracker[[#This Row],[Actual Start Date
&lt;dd-mm-yyyy&gt;]]</f>
        <v>0</v>
      </c>
      <c r="N254">
        <f>Tracker[[#This Row],[Actual Cmpln Date
&lt;dd-mm-yyyy&gt;]]</f>
        <v>0</v>
      </c>
      <c r="O254" t="str">
        <f>Tracker[[#This Row],[At Risk]]</f>
        <v>On Track</v>
      </c>
      <c r="P254">
        <f>Tracker[[#This Row],[
Biz Type]]</f>
        <v>0</v>
      </c>
      <c r="Q254" t="str">
        <f t="shared" si="7"/>
        <v>iram nazneen</v>
      </c>
    </row>
    <row r="255" spans="1:17">
      <c r="A255" t="str">
        <f>Tracker[[#This Row],[DCR Owner]]</f>
        <v>amit matale (xy524)</v>
      </c>
      <c r="B255" t="str">
        <f t="shared" si="6"/>
        <v>amit matale</v>
      </c>
      <c r="C255">
        <f>Tracker[[#This Row],[DCR ID - PTC]]</f>
        <v>19579019</v>
      </c>
      <c r="D255" t="s">
        <v>1886</v>
      </c>
      <c r="E255">
        <f>Tracker[[#This Row],[Estimated Hrs]]</f>
        <v>0</v>
      </c>
      <c r="F255">
        <f>Tracker[[#This Row],[Actual Efforts (Hrs)]]</f>
        <v>4</v>
      </c>
      <c r="G255">
        <f>Tracker[[#This Row],[Remaining Hrs]]</f>
        <v>-4</v>
      </c>
      <c r="H255" t="str">
        <f>Tracker[[#This Row],[Summary]]</f>
        <v>SAIPD: Update Required in AftDualHtrCtrlIPwrD Component for DOC heater power degraded OECS Intrusive diagnostic concept</v>
      </c>
      <c r="I255">
        <f>Tracker[[#This Row],[DCRType]]</f>
        <v>0</v>
      </c>
      <c r="J255" t="str">
        <f>Tracker[[#This Row],[PRCRState]]</f>
        <v>Task</v>
      </c>
      <c r="K255">
        <f>Tracker[[#This Row],[Planned Start Date
&lt;dd-mm-yyyy&gt;]]</f>
        <v>0</v>
      </c>
      <c r="L255" t="str">
        <f>Tracker[[#This Row],[Planned Completion Date
&lt;dd-mm-yyyy&gt;]]</f>
        <v>18-06:Done interface sheet changes and created branch-0.5hrs</v>
      </c>
      <c r="M255">
        <f>Tracker[[#This Row],[Actual Start Date
&lt;dd-mm-yyyy&gt;]]</f>
        <v>0</v>
      </c>
      <c r="N255">
        <f>Tracker[[#This Row],[Actual Cmpln Date
&lt;dd-mm-yyyy&gt;]]</f>
        <v>0</v>
      </c>
      <c r="O255" t="str">
        <f>Tracker[[#This Row],[At Risk]]</f>
        <v>On Track</v>
      </c>
      <c r="P255">
        <f>Tracker[[#This Row],[
Biz Type]]</f>
        <v>0</v>
      </c>
      <c r="Q255" t="str">
        <f t="shared" si="7"/>
        <v>ami</v>
      </c>
    </row>
    <row r="256" spans="1:17">
      <c r="A256" t="str">
        <f>Tracker[[#This Row],[DCR Owner]]</f>
        <v>Danduboyina Sindhu</v>
      </c>
      <c r="B256" t="str">
        <f t="shared" si="6"/>
        <v>Danduboyin</v>
      </c>
      <c r="C256">
        <f>Tracker[[#This Row],[DCR ID - PTC]]</f>
        <v>19772668</v>
      </c>
      <c r="D256" t="s">
        <v>1886</v>
      </c>
      <c r="E256">
        <f>Tracker[[#This Row],[Estimated Hrs]]</f>
        <v>10</v>
      </c>
      <c r="F256">
        <f>Tracker[[#This Row],[Actual Efforts (Hrs)]]</f>
        <v>0.5</v>
      </c>
      <c r="G256">
        <f>Tracker[[#This Row],[Remaining Hrs]]</f>
        <v>9.5</v>
      </c>
      <c r="H256" t="str">
        <f>Tracker[[#This Row],[Summary]]</f>
        <v>AftDPFTimeBasedRegenTrigProc: CSAR Implementation for inclusion of a service-based reset condition</v>
      </c>
      <c r="I256">
        <f>Tracker[[#This Row],[DCRType]]</f>
        <v>0</v>
      </c>
      <c r="J256" t="str">
        <f>Tracker[[#This Row],[PRCRState]]</f>
        <v>Evaluate</v>
      </c>
      <c r="K256">
        <f>Tracker[[#This Row],[Planned Start Date
&lt;dd-mm-yyyy&gt;]]</f>
        <v>0</v>
      </c>
      <c r="L256" t="str">
        <f>Tracker[[#This Row],[Planned Completion Date
&lt;dd-mm-yyyy&gt;]]</f>
        <v>25-06:Confirmed Yue regarding all the changes, I will share the MOM for the same.&amp; She only wants simulation result for eval so we can complete eval in 27hr &amp; and for implementation 30hr &amp; Yesterday checked for proposed Model if we are having any issue in MA, Polyspace, Codegen with latest toolbox(installed it on Lavanya's WS as in my system Polyspase toolbox is not available) we are not having any checks.(4.5hr) &amp; Discussion and support(3hr)
24-06:working on defect DCR, after doing complete analysis only we can proceed further as we did completed testing for this logic and now for DAF they are facing issue so need to check that and also need to do simulation testing.(4hr)
22-06:New Eval DCR, started with model analysis(4hrs)</v>
      </c>
      <c r="M256">
        <f>Tracker[[#This Row],[Actual Start Date
&lt;dd-mm-yyyy&gt;]]</f>
        <v>0</v>
      </c>
      <c r="N256">
        <f>Tracker[[#This Row],[Actual Cmpln Date
&lt;dd-mm-yyyy&gt;]]</f>
        <v>0</v>
      </c>
      <c r="O256" t="str">
        <f>Tracker[[#This Row],[At Risk]]</f>
        <v>Closed</v>
      </c>
      <c r="P256">
        <f>Tracker[[#This Row],[
Biz Type]]</f>
        <v>0</v>
      </c>
      <c r="Q256" t="str">
        <f t="shared" si="7"/>
        <v>Da</v>
      </c>
    </row>
    <row r="257" spans="1:17">
      <c r="A257" t="str">
        <f>Tracker[[#This Row],[DCR Owner]]</f>
        <v>Danduboyina Sindhu</v>
      </c>
      <c r="B257" t="str">
        <f t="shared" ref="B257:B261" si="8">MID(A257,1,LEN(A257)-8)</f>
        <v>Danduboyin</v>
      </c>
      <c r="C257">
        <f>Tracker[[#This Row],[DCR ID - PTC]]</f>
        <v>19772668</v>
      </c>
      <c r="D257" t="s">
        <v>1886</v>
      </c>
      <c r="E257">
        <f>Tracker[[#This Row],[Estimated Hrs]]</f>
        <v>10</v>
      </c>
      <c r="F257">
        <f>Tracker[[#This Row],[Actual Efforts (Hrs)]]</f>
        <v>0.5</v>
      </c>
      <c r="G257">
        <f>Tracker[[#This Row],[Remaining Hrs]]</f>
        <v>9.5</v>
      </c>
      <c r="H257" t="str">
        <f>Tracker[[#This Row],[Summary]]</f>
        <v>AftDPFTimeBasedRegenTrigProc: CSAR Implementation for inclusion of a service-based reset condition</v>
      </c>
      <c r="I257">
        <f>Tracker[[#This Row],[DCRType]]</f>
        <v>0</v>
      </c>
      <c r="J257" t="str">
        <f>Tracker[[#This Row],[PRCRState]]</f>
        <v>Implement</v>
      </c>
      <c r="K257">
        <f>Tracker[[#This Row],[Planned Start Date
&lt;dd-mm-yyyy&gt;]]</f>
        <v>0</v>
      </c>
      <c r="L257">
        <f>Tracker[[#This Row],[Planned Completion Date
&lt;dd-mm-yyyy&gt;]]</f>
        <v>0</v>
      </c>
      <c r="M257">
        <f>Tracker[[#This Row],[Actual Start Date
&lt;dd-mm-yyyy&gt;]]</f>
        <v>0</v>
      </c>
      <c r="N257">
        <f>Tracker[[#This Row],[Actual Cmpln Date
&lt;dd-mm-yyyy&gt;]]</f>
        <v>0</v>
      </c>
      <c r="O257" t="str">
        <f>Tracker[[#This Row],[At Risk]]</f>
        <v>On Track</v>
      </c>
      <c r="P257">
        <f>Tracker[[#This Row],[
Biz Type]]</f>
        <v>0</v>
      </c>
      <c r="Q257" t="str">
        <f t="shared" ref="Q257:Q261" si="9">MID(B257,1,LEN(B257)-8)</f>
        <v>Da</v>
      </c>
    </row>
    <row r="258" spans="1:17">
      <c r="A258" t="str">
        <f>Tracker[[#This Row],[DCR Owner]]</f>
        <v>Anushka</v>
      </c>
      <c r="B258" t="e">
        <f t="shared" si="8"/>
        <v>#VALUE!</v>
      </c>
      <c r="C258">
        <f>Tracker[[#This Row],[DCR ID - PTC]]</f>
        <v>20132126</v>
      </c>
      <c r="D258" t="s">
        <v>1886</v>
      </c>
      <c r="E258">
        <f>Tracker[[#This Row],[Estimated Hrs]]</f>
        <v>45</v>
      </c>
      <c r="F258">
        <f>Tracker[[#This Row],[Actual Efforts (Hrs)]]</f>
        <v>12.5</v>
      </c>
      <c r="G258">
        <f>Tracker[[#This Row],[Remaining Hrs]]</f>
        <v>32.5</v>
      </c>
      <c r="H258" t="str">
        <f>Tracker[[#This Row],[Summary]]</f>
        <v xml:space="preserve"> dmDiesPartFiltTmptrTooFreqRegenErr Failure to Clear</v>
      </c>
      <c r="I258">
        <f>Tracker[[#This Row],[DCRType]]</f>
        <v>0</v>
      </c>
      <c r="J258" t="str">
        <f>Tracker[[#This Row],[PRCRState]]</f>
        <v>Evaluate</v>
      </c>
      <c r="K258">
        <f>Tracker[[#This Row],[Planned Start Date
&lt;dd-mm-yyyy&gt;]]</f>
        <v>0</v>
      </c>
      <c r="L258">
        <f>Tracker[[#This Row],[Planned Completion Date
&lt;dd-mm-yyyy&gt;]]</f>
        <v>0</v>
      </c>
      <c r="M258">
        <f>Tracker[[#This Row],[Actual Start Date
&lt;dd-mm-yyyy&gt;]]</f>
        <v>0</v>
      </c>
      <c r="N258">
        <f>Tracker[[#This Row],[Actual Cmpln Date
&lt;dd-mm-yyyy&gt;]]</f>
        <v>0</v>
      </c>
      <c r="O258" t="str">
        <f>Tracker[[#This Row],[At Risk]]</f>
        <v>On Track</v>
      </c>
      <c r="P258">
        <f>Tracker[[#This Row],[
Biz Type]]</f>
        <v>0</v>
      </c>
      <c r="Q258" t="e">
        <f t="shared" si="9"/>
        <v>#VALUE!</v>
      </c>
    </row>
    <row r="259" spans="1:17">
      <c r="A259" t="str">
        <f>Tracker[[#This Row],[DCR Owner]]</f>
        <v>Anushka</v>
      </c>
      <c r="B259" t="e">
        <f t="shared" si="8"/>
        <v>#VALUE!</v>
      </c>
      <c r="C259">
        <f>Tracker[[#This Row],[DCR ID - PTC]]</f>
        <v>20132126</v>
      </c>
      <c r="D259" t="s">
        <v>1886</v>
      </c>
      <c r="E259">
        <f>Tracker[[#This Row],[Estimated Hrs]]</f>
        <v>0</v>
      </c>
      <c r="F259">
        <f>Tracker[[#This Row],[Actual Efforts (Hrs)]]</f>
        <v>0</v>
      </c>
      <c r="G259">
        <f>Tracker[[#This Row],[Remaining Hrs]]</f>
        <v>0</v>
      </c>
      <c r="H259" t="str">
        <f>Tracker[[#This Row],[Summary]]</f>
        <v xml:space="preserve"> dmDiesPartFiltTmptrTooFreqRegenErr Failure to Clear</v>
      </c>
      <c r="I259">
        <f>Tracker[[#This Row],[DCRType]]</f>
        <v>0</v>
      </c>
      <c r="J259" t="str">
        <f>Tracker[[#This Row],[PRCRState]]</f>
        <v>Implement</v>
      </c>
      <c r="K259">
        <f>Tracker[[#This Row],[Planned Start Date
&lt;dd-mm-yyyy&gt;]]</f>
        <v>0</v>
      </c>
      <c r="L259">
        <f>Tracker[[#This Row],[Planned Completion Date
&lt;dd-mm-yyyy&gt;]]</f>
        <v>0</v>
      </c>
      <c r="M259">
        <f>Tracker[[#This Row],[Actual Start Date
&lt;dd-mm-yyyy&gt;]]</f>
        <v>0</v>
      </c>
      <c r="N259">
        <f>Tracker[[#This Row],[Actual Cmpln Date
&lt;dd-mm-yyyy&gt;]]</f>
        <v>0</v>
      </c>
      <c r="O259" t="str">
        <f>Tracker[[#This Row],[At Risk]]</f>
        <v>Yet to start</v>
      </c>
      <c r="P259">
        <f>Tracker[[#This Row],[
Biz Type]]</f>
        <v>0</v>
      </c>
      <c r="Q259" t="e">
        <f t="shared" si="9"/>
        <v>#VALUE!</v>
      </c>
    </row>
    <row r="260" spans="1:17">
      <c r="A260" t="e">
        <f>Tracker[[#This Row],[DCR Owner]]</f>
        <v>#VALUE!</v>
      </c>
      <c r="B260" t="e">
        <f t="shared" si="8"/>
        <v>#VALUE!</v>
      </c>
      <c r="C260" t="e">
        <f>Tracker[[#This Row],[DCR ID - PTC]]</f>
        <v>#VALUE!</v>
      </c>
      <c r="D260" t="s">
        <v>1886</v>
      </c>
      <c r="E260" t="e">
        <f>Tracker[[#This Row],[Estimated Hrs]]</f>
        <v>#VALUE!</v>
      </c>
      <c r="F260" t="e">
        <f>Tracker[[#This Row],[Actual Efforts (Hrs)]]</f>
        <v>#VALUE!</v>
      </c>
      <c r="G260" t="e">
        <f>Tracker[[#This Row],[Remaining Hrs]]</f>
        <v>#VALUE!</v>
      </c>
      <c r="H260" t="e">
        <f>Tracker[[#This Row],[Summary]]</f>
        <v>#VALUE!</v>
      </c>
      <c r="I260" t="e">
        <f>Tracker[[#This Row],[DCRType]]</f>
        <v>#VALUE!</v>
      </c>
      <c r="J260" t="e">
        <f>Tracker[[#This Row],[PRCRState]]</f>
        <v>#VALUE!</v>
      </c>
      <c r="K260" t="e">
        <f>Tracker[[#This Row],[Planned Start Date
&lt;dd-mm-yyyy&gt;]]</f>
        <v>#VALUE!</v>
      </c>
      <c r="L260" t="e">
        <f>Tracker[[#This Row],[Planned Completion Date
&lt;dd-mm-yyyy&gt;]]</f>
        <v>#VALUE!</v>
      </c>
      <c r="M260" t="e">
        <f>Tracker[[#This Row],[Actual Start Date
&lt;dd-mm-yyyy&gt;]]</f>
        <v>#VALUE!</v>
      </c>
      <c r="N260" t="e">
        <f>Tracker[[#This Row],[Actual Cmpln Date
&lt;dd-mm-yyyy&gt;]]</f>
        <v>#VALUE!</v>
      </c>
      <c r="O260" t="e">
        <f>Tracker[[#This Row],[At Risk]]</f>
        <v>#VALUE!</v>
      </c>
      <c r="P260" t="e">
        <f>Tracker[[#This Row],[
Biz Type]]</f>
        <v>#VALUE!</v>
      </c>
      <c r="Q260" t="e">
        <f t="shared" si="9"/>
        <v>#VALUE!</v>
      </c>
    </row>
    <row r="261" spans="1:17">
      <c r="A261" t="e">
        <f>Tracker[[#This Row],[DCR Owner]]</f>
        <v>#VALUE!</v>
      </c>
      <c r="B261" t="e">
        <f t="shared" si="8"/>
        <v>#VALUE!</v>
      </c>
      <c r="C261" t="e">
        <f>Tracker[[#This Row],[DCR ID - PTC]]</f>
        <v>#VALUE!</v>
      </c>
      <c r="D261" t="s">
        <v>1886</v>
      </c>
      <c r="E261" t="e">
        <f>Tracker[[#This Row],[Estimated Hrs]]</f>
        <v>#VALUE!</v>
      </c>
      <c r="F261" t="e">
        <f>Tracker[[#This Row],[Actual Efforts (Hrs)]]</f>
        <v>#VALUE!</v>
      </c>
      <c r="G261" t="e">
        <f>Tracker[[#This Row],[Remaining Hrs]]</f>
        <v>#VALUE!</v>
      </c>
      <c r="H261" t="e">
        <f>Tracker[[#This Row],[Summary]]</f>
        <v>#VALUE!</v>
      </c>
      <c r="I261" t="e">
        <f>Tracker[[#This Row],[DCRType]]</f>
        <v>#VALUE!</v>
      </c>
      <c r="J261" t="e">
        <f>Tracker[[#This Row],[PRCRState]]</f>
        <v>#VALUE!</v>
      </c>
      <c r="K261" t="e">
        <f>Tracker[[#This Row],[Planned Start Date
&lt;dd-mm-yyyy&gt;]]</f>
        <v>#VALUE!</v>
      </c>
      <c r="L261" t="e">
        <f>Tracker[[#This Row],[Planned Completion Date
&lt;dd-mm-yyyy&gt;]]</f>
        <v>#VALUE!</v>
      </c>
      <c r="M261" t="e">
        <f>Tracker[[#This Row],[Actual Start Date
&lt;dd-mm-yyyy&gt;]]</f>
        <v>#VALUE!</v>
      </c>
      <c r="N261" t="e">
        <f>Tracker[[#This Row],[Actual Cmpln Date
&lt;dd-mm-yyyy&gt;]]</f>
        <v>#VALUE!</v>
      </c>
      <c r="O261" t="e">
        <f>Tracker[[#This Row],[At Risk]]</f>
        <v>#VALUE!</v>
      </c>
      <c r="P261" t="e">
        <f>Tracker[[#This Row],[
Biz Type]]</f>
        <v>#VALUE!</v>
      </c>
      <c r="Q261" t="e">
        <f t="shared" si="9"/>
        <v>#VALUE!</v>
      </c>
    </row>
  </sheetData>
  <autoFilter ref="A1:Q261" xr:uid="{DF0B813A-9E81-43D9-BF98-C59396DCDF86}">
    <filterColumn colId="0">
      <filters>
        <filter val="aishwarya Jahagirdar (ac14v)"/>
        <filter val="amit matale (xy524)"/>
        <filter val="Anushka P Gaikwad (wf298)"/>
        <filter val="Ashitosh Nilkanth (uh953)"/>
        <filter val="Atul Gade (vm775)"/>
        <filter val="Balraj S Malage (wf327)"/>
        <filter val="Haridas Raut (vy322)"/>
        <filter val="Harshada Borude (ur897)"/>
        <filter val="Harshal Tayade (uq969)"/>
        <filter val="Indumathi M (wf309)"/>
        <filter val="iram nazneen (wa667)"/>
        <filter val="Jagadeesh V (wt481)"/>
        <filter val="jayant patil (wl795)"/>
        <filter val="jyoti dongre (vu400)"/>
        <filter val="Lavanya Nayak (ri652)"/>
        <filter val="Prasad Yesardekar (uh542)"/>
        <filter val="Prerana Ozarkar (vk686)"/>
        <filter val="sheetal Vishwakarma (wa663)"/>
        <filter val="Shraddha Arde (ul528)"/>
        <filter val="shrutika shete (ac06r)"/>
        <filter val="Shubham U Pansare (so150)"/>
        <filter val="Srinadh Vadlamudi (wf326)"/>
        <filter val="sumitkumar patil (wf330)"/>
        <filter val="Swayangdipta sarkar (wa754)"/>
        <filter val="Tejas T Salunkhe (ur770)"/>
        <filter val="umesh borde (ad33c)"/>
        <filter val="vitthal shinde (xy599)"/>
        <filter val="Yogesh Yenorkar (vz001)"/>
      </filters>
    </filterColumn>
    <filterColumn colId="14">
      <filters>
        <filter val="At Risk"/>
        <filter val="Closed"/>
        <filter val="Deferred"/>
        <filter val="On Hold"/>
        <filter val="On Track"/>
        <filter val="Rejected"/>
        <filter val="Transferred to S/W team"/>
        <filter val="Yet to start"/>
      </filters>
    </filterColumn>
  </autoFilter>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C2:K12"/>
  <sheetViews>
    <sheetView topLeftCell="B1" workbookViewId="0">
      <selection activeCell="F22" sqref="F22"/>
    </sheetView>
  </sheetViews>
  <sheetFormatPr defaultRowHeight="14.45"/>
  <cols>
    <col min="3" max="3" width="19.140625" bestFit="1" customWidth="1"/>
    <col min="4" max="4" width="10.5703125" bestFit="1" customWidth="1"/>
    <col min="5" max="5" width="8.85546875" customWidth="1"/>
    <col min="6" max="6" width="7.140625" bestFit="1" customWidth="1"/>
    <col min="7" max="7" width="6.42578125" bestFit="1" customWidth="1"/>
    <col min="8" max="8" width="7.140625" bestFit="1" customWidth="1"/>
    <col min="9" max="9" width="6.140625" bestFit="1" customWidth="1"/>
    <col min="10" max="10" width="5.5703125" bestFit="1" customWidth="1"/>
  </cols>
  <sheetData>
    <row r="2" spans="3:11">
      <c r="D2" t="s">
        <v>1887</v>
      </c>
      <c r="E2" t="s">
        <v>1888</v>
      </c>
      <c r="F2" t="s">
        <v>1889</v>
      </c>
      <c r="I2" t="s">
        <v>1887</v>
      </c>
      <c r="J2" t="s">
        <v>1890</v>
      </c>
      <c r="K2" t="s">
        <v>1891</v>
      </c>
    </row>
    <row r="3" spans="3:11">
      <c r="C3" s="18">
        <v>42644</v>
      </c>
      <c r="D3">
        <v>13</v>
      </c>
      <c r="E3">
        <v>13</v>
      </c>
      <c r="F3" s="17">
        <f t="shared" ref="F3:F8" si="0">E3/D3</f>
        <v>1</v>
      </c>
      <c r="H3" s="18">
        <v>42644</v>
      </c>
      <c r="I3">
        <v>13</v>
      </c>
      <c r="J3">
        <v>13</v>
      </c>
      <c r="K3" s="17">
        <f t="shared" ref="K3:K8" si="1">J3/I3</f>
        <v>1</v>
      </c>
    </row>
    <row r="4" spans="3:11">
      <c r="C4" s="18">
        <v>42675</v>
      </c>
      <c r="D4">
        <v>10</v>
      </c>
      <c r="E4">
        <v>10</v>
      </c>
      <c r="F4" s="17">
        <f t="shared" si="0"/>
        <v>1</v>
      </c>
      <c r="H4" s="18">
        <v>42675</v>
      </c>
      <c r="I4">
        <v>10</v>
      </c>
      <c r="J4">
        <v>10</v>
      </c>
      <c r="K4" s="17">
        <f t="shared" si="1"/>
        <v>1</v>
      </c>
    </row>
    <row r="5" spans="3:11">
      <c r="C5" s="18">
        <v>42705</v>
      </c>
      <c r="D5">
        <v>11</v>
      </c>
      <c r="E5">
        <v>11</v>
      </c>
      <c r="F5" s="17">
        <f t="shared" si="0"/>
        <v>1</v>
      </c>
      <c r="H5" s="18">
        <v>42705</v>
      </c>
      <c r="I5">
        <v>11</v>
      </c>
      <c r="J5">
        <v>11</v>
      </c>
      <c r="K5" s="17">
        <f t="shared" si="1"/>
        <v>1</v>
      </c>
    </row>
    <row r="6" spans="3:11">
      <c r="C6" s="18">
        <v>42736</v>
      </c>
      <c r="F6" s="17" t="e">
        <f t="shared" si="0"/>
        <v>#DIV/0!</v>
      </c>
      <c r="H6" s="18">
        <v>42736</v>
      </c>
      <c r="K6" s="17" t="e">
        <f t="shared" si="1"/>
        <v>#DIV/0!</v>
      </c>
    </row>
    <row r="7" spans="3:11">
      <c r="C7" s="18">
        <v>42767</v>
      </c>
      <c r="F7" s="17" t="e">
        <f t="shared" si="0"/>
        <v>#DIV/0!</v>
      </c>
      <c r="H7" s="18">
        <v>42767</v>
      </c>
      <c r="K7" s="17" t="e">
        <f t="shared" si="1"/>
        <v>#DIV/0!</v>
      </c>
    </row>
    <row r="8" spans="3:11">
      <c r="C8" s="18">
        <v>42795</v>
      </c>
      <c r="F8" s="17" t="e">
        <f t="shared" si="0"/>
        <v>#DIV/0!</v>
      </c>
      <c r="H8" s="18">
        <v>42795</v>
      </c>
      <c r="K8" s="17" t="e">
        <f t="shared" si="1"/>
        <v>#DIV/0!</v>
      </c>
    </row>
    <row r="9" spans="3:11">
      <c r="C9" s="18"/>
      <c r="F9" s="17"/>
    </row>
    <row r="10" spans="3:11">
      <c r="C10" s="18"/>
      <c r="F10" s="17"/>
    </row>
    <row r="11" spans="3:11">
      <c r="C11" s="18"/>
      <c r="F11" s="17"/>
    </row>
    <row r="12" spans="3:11">
      <c r="C12" s="18"/>
      <c r="F12" s="17"/>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H16"/>
  <sheetViews>
    <sheetView workbookViewId="0">
      <selection activeCell="A16" sqref="A16"/>
    </sheetView>
  </sheetViews>
  <sheetFormatPr defaultRowHeight="14.45"/>
  <cols>
    <col min="1" max="1" width="29.140625" bestFit="1" customWidth="1"/>
    <col min="3" max="3" width="9.140625" customWidth="1"/>
  </cols>
  <sheetData>
    <row r="1" spans="1:8" ht="15" thickBot="1">
      <c r="A1" s="7" t="s">
        <v>101</v>
      </c>
      <c r="B1" s="7" t="s">
        <v>1892</v>
      </c>
      <c r="C1" s="8" t="s">
        <v>1893</v>
      </c>
      <c r="D1" s="7" t="s">
        <v>1894</v>
      </c>
      <c r="E1" s="7" t="s">
        <v>1895</v>
      </c>
      <c r="F1" s="7" t="s">
        <v>1896</v>
      </c>
      <c r="G1" s="7" t="s">
        <v>1897</v>
      </c>
    </row>
    <row r="2" spans="1:8">
      <c r="A2" s="9" t="s">
        <v>1898</v>
      </c>
      <c r="B2" s="9" t="s">
        <v>1899</v>
      </c>
      <c r="C2" s="6" t="s">
        <v>1900</v>
      </c>
      <c r="D2" s="10" t="s">
        <v>1900</v>
      </c>
      <c r="E2" s="10" t="s">
        <v>1900</v>
      </c>
      <c r="F2" s="10" t="s">
        <v>1900</v>
      </c>
      <c r="G2" s="11" t="s">
        <v>1901</v>
      </c>
    </row>
    <row r="3" spans="1:8">
      <c r="A3" s="12" t="s">
        <v>1902</v>
      </c>
      <c r="B3" s="12" t="s">
        <v>1899</v>
      </c>
      <c r="C3" s="3" t="s">
        <v>1900</v>
      </c>
      <c r="D3" s="4" t="s">
        <v>1900</v>
      </c>
      <c r="E3" s="4" t="s">
        <v>1900</v>
      </c>
      <c r="F3" s="4" t="s">
        <v>1901</v>
      </c>
      <c r="G3" s="13" t="s">
        <v>1900</v>
      </c>
    </row>
    <row r="4" spans="1:8">
      <c r="A4" s="12" t="s">
        <v>1903</v>
      </c>
      <c r="B4" s="12" t="s">
        <v>1904</v>
      </c>
      <c r="C4" s="3" t="s">
        <v>1200</v>
      </c>
      <c r="D4" s="4" t="s">
        <v>1900</v>
      </c>
      <c r="E4" s="4" t="s">
        <v>1901</v>
      </c>
      <c r="F4" s="4" t="s">
        <v>1900</v>
      </c>
      <c r="G4" s="13" t="s">
        <v>1900</v>
      </c>
    </row>
    <row r="5" spans="1:8">
      <c r="A5" s="12" t="s">
        <v>1905</v>
      </c>
      <c r="B5" s="12" t="s">
        <v>1906</v>
      </c>
      <c r="C5" s="3" t="s">
        <v>1901</v>
      </c>
      <c r="D5" s="4" t="s">
        <v>1200</v>
      </c>
      <c r="E5" s="4" t="s">
        <v>1900</v>
      </c>
      <c r="F5" s="4" t="s">
        <v>1900</v>
      </c>
      <c r="G5" s="13" t="s">
        <v>1900</v>
      </c>
    </row>
    <row r="6" spans="1:8">
      <c r="A6" s="12" t="s">
        <v>1907</v>
      </c>
      <c r="B6" s="12" t="s">
        <v>1904</v>
      </c>
      <c r="C6" s="3" t="s">
        <v>1901</v>
      </c>
      <c r="D6" s="4" t="s">
        <v>1908</v>
      </c>
      <c r="E6" s="4" t="s">
        <v>1900</v>
      </c>
      <c r="F6" s="4" t="s">
        <v>1900</v>
      </c>
      <c r="G6" s="13" t="s">
        <v>1200</v>
      </c>
    </row>
    <row r="7" spans="1:8">
      <c r="A7" s="12" t="s">
        <v>1909</v>
      </c>
      <c r="B7" s="12" t="s">
        <v>1904</v>
      </c>
      <c r="C7" s="3" t="s">
        <v>1908</v>
      </c>
      <c r="D7" s="4" t="s">
        <v>1900</v>
      </c>
      <c r="E7" s="4" t="s">
        <v>1900</v>
      </c>
      <c r="F7" s="4" t="s">
        <v>1900</v>
      </c>
      <c r="G7" s="13" t="s">
        <v>1901</v>
      </c>
    </row>
    <row r="8" spans="1:8">
      <c r="A8" s="12" t="s">
        <v>1910</v>
      </c>
      <c r="B8" s="12" t="s">
        <v>1911</v>
      </c>
      <c r="C8" s="3" t="s">
        <v>1200</v>
      </c>
      <c r="D8" s="4" t="s">
        <v>1900</v>
      </c>
      <c r="E8" s="4" t="s">
        <v>1900</v>
      </c>
      <c r="F8" s="4" t="s">
        <v>1901</v>
      </c>
      <c r="G8" s="13" t="s">
        <v>1900</v>
      </c>
      <c r="H8" t="s">
        <v>1912</v>
      </c>
    </row>
    <row r="9" spans="1:8" ht="15" thickBot="1">
      <c r="A9" s="14" t="s">
        <v>1913</v>
      </c>
      <c r="B9" s="14" t="s">
        <v>1911</v>
      </c>
      <c r="C9" s="5" t="s">
        <v>1200</v>
      </c>
      <c r="D9" s="15" t="s">
        <v>1901</v>
      </c>
      <c r="E9" s="15" t="s">
        <v>1900</v>
      </c>
      <c r="F9" s="15" t="s">
        <v>1900</v>
      </c>
      <c r="G9" s="16" t="s">
        <v>1908</v>
      </c>
      <c r="H9" t="s">
        <v>1914</v>
      </c>
    </row>
    <row r="13" spans="1:8">
      <c r="A13" t="s">
        <v>1915</v>
      </c>
    </row>
    <row r="14" spans="1:8">
      <c r="A14" t="s">
        <v>1916</v>
      </c>
    </row>
    <row r="15" spans="1:8">
      <c r="A15" t="s">
        <v>1917</v>
      </c>
    </row>
    <row r="16" spans="1:8">
      <c r="A16" t="s">
        <v>1918</v>
      </c>
    </row>
  </sheetData>
  <conditionalFormatting sqref="E12">
    <cfRule type="cellIs" dxfId="15" priority="4" operator="equal">
      <formula>"R"</formula>
    </cfRule>
  </conditionalFormatting>
  <conditionalFormatting sqref="C2:G9 H8:H9">
    <cfRule type="cellIs" dxfId="14" priority="1" operator="equal">
      <formula>"C"</formula>
    </cfRule>
    <cfRule type="cellIs" dxfId="13" priority="2" operator="equal">
      <formula>"A"</formula>
    </cfRule>
    <cfRule type="cellIs" dxfId="12" priority="3" operator="equal">
      <formula>"R"</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ED355-2A3F-4008-9DD0-B1BFF4CA3230}">
  <dimension ref="A1:Q34"/>
  <sheetViews>
    <sheetView showWhiteSpace="0" zoomScale="60" zoomScaleNormal="60" zoomScalePageLayoutView="80" workbookViewId="0">
      <selection activeCell="O48" sqref="O48"/>
    </sheetView>
  </sheetViews>
  <sheetFormatPr defaultColWidth="8.85546875" defaultRowHeight="14.45"/>
  <cols>
    <col min="1" max="1" width="14.42578125" style="203" customWidth="1"/>
    <col min="2" max="2" width="15.85546875" style="203" bestFit="1" customWidth="1"/>
    <col min="3" max="3" width="12.42578125" style="203" customWidth="1"/>
    <col min="4" max="4" width="8.140625" style="203" bestFit="1" customWidth="1"/>
    <col min="5" max="5" width="8.140625" style="203" customWidth="1"/>
    <col min="6" max="6" width="14.140625" style="203" customWidth="1"/>
    <col min="7" max="7" width="11.42578125" style="203" customWidth="1"/>
    <col min="8" max="8" width="9.5703125" style="203" customWidth="1"/>
    <col min="9" max="9" width="11.42578125" style="203" customWidth="1"/>
    <col min="10" max="10" width="13.42578125" style="203" customWidth="1"/>
    <col min="11" max="11" width="14.42578125" style="203" bestFit="1" customWidth="1"/>
    <col min="12" max="12" width="13.42578125" style="203" customWidth="1"/>
    <col min="13" max="13" width="14.42578125" style="203" customWidth="1"/>
    <col min="14" max="14" width="12.42578125" style="203" bestFit="1" customWidth="1"/>
    <col min="15" max="16" width="12.42578125" style="203" customWidth="1"/>
    <col min="17" max="17" width="28.28515625" style="203" customWidth="1"/>
    <col min="18" max="33" width="9.140625" style="203"/>
    <col min="34" max="34" width="11.42578125" style="203" bestFit="1" customWidth="1"/>
    <col min="35" max="16384" width="8.85546875" style="203"/>
  </cols>
  <sheetData>
    <row r="1" spans="1:17">
      <c r="N1" s="204"/>
      <c r="O1" s="204"/>
      <c r="P1" s="204"/>
    </row>
    <row r="2" spans="1:17" s="205" customFormat="1">
      <c r="B2" s="659" t="s">
        <v>809</v>
      </c>
      <c r="C2" s="659"/>
      <c r="D2" s="659"/>
      <c r="E2" s="659"/>
      <c r="F2" s="659"/>
      <c r="G2" s="659"/>
      <c r="H2" s="659"/>
      <c r="I2" s="659"/>
      <c r="J2" s="659"/>
      <c r="K2" s="659"/>
      <c r="L2" s="659"/>
      <c r="M2" s="659"/>
      <c r="N2" s="659"/>
      <c r="O2" s="659"/>
      <c r="P2" s="659"/>
      <c r="Q2" s="659"/>
    </row>
    <row r="3" spans="1:17" s="206" customFormat="1" ht="87">
      <c r="B3" s="207" t="s">
        <v>1343</v>
      </c>
      <c r="C3" s="207" t="s">
        <v>1344</v>
      </c>
      <c r="D3" s="207" t="s">
        <v>1345</v>
      </c>
      <c r="E3" s="207" t="s">
        <v>1346</v>
      </c>
      <c r="F3" s="207" t="s">
        <v>1347</v>
      </c>
      <c r="G3" s="207" t="s">
        <v>1242</v>
      </c>
      <c r="H3" s="207" t="s">
        <v>1507</v>
      </c>
      <c r="I3" s="207" t="s">
        <v>1349</v>
      </c>
      <c r="J3" s="207" t="s">
        <v>1350</v>
      </c>
      <c r="K3" s="207" t="s">
        <v>1351</v>
      </c>
      <c r="L3" s="207" t="s">
        <v>1508</v>
      </c>
      <c r="M3" s="207" t="s">
        <v>1353</v>
      </c>
      <c r="N3" s="207" t="s">
        <v>1355</v>
      </c>
      <c r="O3" s="207" t="s">
        <v>1356</v>
      </c>
      <c r="P3" s="207" t="s">
        <v>1357</v>
      </c>
      <c r="Q3" s="207" t="s">
        <v>1177</v>
      </c>
    </row>
    <row r="4" spans="1:17">
      <c r="B4" s="661" t="s">
        <v>1919</v>
      </c>
      <c r="C4" s="208">
        <v>45968</v>
      </c>
      <c r="D4" s="209">
        <v>45</v>
      </c>
      <c r="E4" s="210">
        <v>0</v>
      </c>
      <c r="F4" s="210">
        <v>0</v>
      </c>
      <c r="G4" s="212">
        <v>0</v>
      </c>
      <c r="H4" s="213">
        <v>0</v>
      </c>
      <c r="I4" s="214">
        <f>E4</f>
        <v>0</v>
      </c>
      <c r="J4" s="214">
        <f>F4</f>
        <v>0</v>
      </c>
      <c r="K4" s="214">
        <f>G4</f>
        <v>0</v>
      </c>
      <c r="L4" s="214">
        <f>F4</f>
        <v>0</v>
      </c>
      <c r="M4" s="214">
        <f>I4-K4</f>
        <v>0</v>
      </c>
      <c r="N4" s="215">
        <v>1</v>
      </c>
      <c r="O4" s="215">
        <v>1</v>
      </c>
      <c r="P4" s="215">
        <v>1</v>
      </c>
      <c r="Q4" s="209"/>
    </row>
    <row r="5" spans="1:17">
      <c r="B5" s="661"/>
      <c r="C5" s="208">
        <f t="shared" ref="C5:C15" si="0">C4+7</f>
        <v>45975</v>
      </c>
      <c r="D5" s="209">
        <v>46</v>
      </c>
      <c r="E5" s="210">
        <v>0</v>
      </c>
      <c r="F5" s="210">
        <v>0</v>
      </c>
      <c r="G5" s="212">
        <v>0</v>
      </c>
      <c r="H5" s="213">
        <v>0</v>
      </c>
      <c r="I5" s="214">
        <f>I4+E5</f>
        <v>0</v>
      </c>
      <c r="J5" s="214">
        <f>J4+F5</f>
        <v>0</v>
      </c>
      <c r="K5" s="214">
        <f>K4+G5</f>
        <v>0</v>
      </c>
      <c r="L5" s="214">
        <f t="shared" ref="L5:L13" si="1">$G5+L4</f>
        <v>0</v>
      </c>
      <c r="M5" s="214">
        <v>10</v>
      </c>
      <c r="N5" s="215">
        <v>1</v>
      </c>
      <c r="O5" s="215">
        <v>1</v>
      </c>
      <c r="P5" s="215">
        <v>1</v>
      </c>
      <c r="Q5" s="209"/>
    </row>
    <row r="6" spans="1:17">
      <c r="B6" s="661"/>
      <c r="C6" s="208">
        <f t="shared" si="0"/>
        <v>45982</v>
      </c>
      <c r="D6" s="209">
        <v>47</v>
      </c>
      <c r="E6" s="210">
        <v>0</v>
      </c>
      <c r="F6" s="210">
        <v>0</v>
      </c>
      <c r="G6" s="212">
        <v>0</v>
      </c>
      <c r="H6" s="213">
        <v>0</v>
      </c>
      <c r="I6" s="214">
        <f t="shared" ref="I6:K16" si="2">I5+E6</f>
        <v>0</v>
      </c>
      <c r="J6" s="214">
        <f t="shared" si="2"/>
        <v>0</v>
      </c>
      <c r="K6" s="214">
        <f t="shared" si="2"/>
        <v>0</v>
      </c>
      <c r="L6" s="214">
        <f t="shared" si="1"/>
        <v>0</v>
      </c>
      <c r="M6" s="214">
        <v>10</v>
      </c>
      <c r="N6" s="215">
        <v>1</v>
      </c>
      <c r="O6" s="217" t="e">
        <f t="shared" ref="O6:P13" si="3">K6/I6</f>
        <v>#DIV/0!</v>
      </c>
      <c r="P6" s="215">
        <v>1</v>
      </c>
      <c r="Q6" s="218"/>
    </row>
    <row r="7" spans="1:17">
      <c r="B7" s="661"/>
      <c r="C7" s="208">
        <f t="shared" si="0"/>
        <v>45989</v>
      </c>
      <c r="D7" s="209">
        <v>48</v>
      </c>
      <c r="E7" s="210">
        <v>2</v>
      </c>
      <c r="F7" s="210">
        <v>2</v>
      </c>
      <c r="G7" s="212">
        <v>2</v>
      </c>
      <c r="H7" s="213">
        <v>0</v>
      </c>
      <c r="I7" s="214">
        <f t="shared" si="2"/>
        <v>2</v>
      </c>
      <c r="J7" s="214">
        <f t="shared" si="2"/>
        <v>2</v>
      </c>
      <c r="K7" s="214">
        <f t="shared" si="2"/>
        <v>2</v>
      </c>
      <c r="L7" s="214">
        <f t="shared" si="1"/>
        <v>2</v>
      </c>
      <c r="M7" s="214">
        <v>10</v>
      </c>
      <c r="N7" s="217">
        <v>1</v>
      </c>
      <c r="O7" s="217">
        <f t="shared" si="3"/>
        <v>1</v>
      </c>
      <c r="P7" s="217">
        <f t="shared" si="3"/>
        <v>1</v>
      </c>
      <c r="Q7" s="219"/>
    </row>
    <row r="8" spans="1:17">
      <c r="B8" s="661"/>
      <c r="C8" s="208">
        <f t="shared" si="0"/>
        <v>45996</v>
      </c>
      <c r="D8" s="209">
        <v>49</v>
      </c>
      <c r="E8" s="210">
        <v>3</v>
      </c>
      <c r="F8" s="210">
        <v>3</v>
      </c>
      <c r="G8" s="212">
        <f>3</f>
        <v>3</v>
      </c>
      <c r="H8" s="213">
        <v>0</v>
      </c>
      <c r="I8" s="214">
        <f t="shared" si="2"/>
        <v>5</v>
      </c>
      <c r="J8" s="214">
        <f t="shared" si="2"/>
        <v>5</v>
      </c>
      <c r="K8" s="214">
        <f t="shared" si="2"/>
        <v>5</v>
      </c>
      <c r="L8" s="214">
        <f t="shared" si="1"/>
        <v>5</v>
      </c>
      <c r="M8" s="214">
        <v>5</v>
      </c>
      <c r="N8" s="217">
        <v>1</v>
      </c>
      <c r="O8" s="217">
        <f t="shared" si="3"/>
        <v>1</v>
      </c>
      <c r="P8" s="217">
        <f t="shared" si="3"/>
        <v>1</v>
      </c>
      <c r="Q8" s="220"/>
    </row>
    <row r="9" spans="1:17">
      <c r="B9" s="661"/>
      <c r="C9" s="208">
        <f t="shared" si="0"/>
        <v>46003</v>
      </c>
      <c r="D9" s="209">
        <v>50</v>
      </c>
      <c r="E9" s="210">
        <v>4</v>
      </c>
      <c r="F9" s="210">
        <v>4</v>
      </c>
      <c r="G9" s="212">
        <v>2</v>
      </c>
      <c r="H9" s="213">
        <v>0</v>
      </c>
      <c r="I9" s="214">
        <f t="shared" si="2"/>
        <v>9</v>
      </c>
      <c r="J9" s="214">
        <f t="shared" si="2"/>
        <v>9</v>
      </c>
      <c r="K9" s="214">
        <f t="shared" si="2"/>
        <v>7</v>
      </c>
      <c r="L9" s="214">
        <f t="shared" si="1"/>
        <v>7</v>
      </c>
      <c r="M9" s="214">
        <v>3</v>
      </c>
      <c r="N9" s="217">
        <v>1</v>
      </c>
      <c r="O9" s="217">
        <f t="shared" si="3"/>
        <v>0.77777777777777779</v>
      </c>
      <c r="P9" s="217">
        <f t="shared" si="3"/>
        <v>0.77777777777777779</v>
      </c>
      <c r="Q9" s="218"/>
    </row>
    <row r="10" spans="1:17">
      <c r="A10" s="233"/>
      <c r="B10" s="661"/>
      <c r="C10" s="234">
        <f t="shared" si="0"/>
        <v>46010</v>
      </c>
      <c r="D10" s="235">
        <v>51</v>
      </c>
      <c r="E10" s="211">
        <v>1</v>
      </c>
      <c r="F10" s="211">
        <v>1</v>
      </c>
      <c r="G10" s="211">
        <v>2</v>
      </c>
      <c r="H10" s="236">
        <v>0</v>
      </c>
      <c r="I10" s="237">
        <f t="shared" si="2"/>
        <v>10</v>
      </c>
      <c r="J10" s="237">
        <f t="shared" si="2"/>
        <v>10</v>
      </c>
      <c r="K10" s="237">
        <f t="shared" si="2"/>
        <v>9</v>
      </c>
      <c r="L10" s="237">
        <f t="shared" si="1"/>
        <v>9</v>
      </c>
      <c r="M10" s="237">
        <v>1</v>
      </c>
      <c r="N10" s="238">
        <v>1</v>
      </c>
      <c r="O10" s="238">
        <f t="shared" si="3"/>
        <v>0.9</v>
      </c>
      <c r="P10" s="238">
        <f t="shared" si="3"/>
        <v>0.9</v>
      </c>
      <c r="Q10" s="242"/>
    </row>
    <row r="11" spans="1:17">
      <c r="B11" s="661"/>
      <c r="C11" s="208">
        <f t="shared" si="0"/>
        <v>46017</v>
      </c>
      <c r="D11" s="209">
        <v>52</v>
      </c>
      <c r="E11" s="210">
        <v>0</v>
      </c>
      <c r="F11" s="210">
        <v>0</v>
      </c>
      <c r="G11" s="212">
        <v>0</v>
      </c>
      <c r="H11" s="213">
        <v>0</v>
      </c>
      <c r="I11" s="214">
        <f t="shared" si="2"/>
        <v>10</v>
      </c>
      <c r="J11" s="214">
        <f t="shared" si="2"/>
        <v>10</v>
      </c>
      <c r="K11" s="214">
        <f t="shared" si="2"/>
        <v>9</v>
      </c>
      <c r="L11" s="214">
        <f t="shared" si="1"/>
        <v>9</v>
      </c>
      <c r="M11" s="214">
        <v>1</v>
      </c>
      <c r="N11" s="215">
        <v>1</v>
      </c>
      <c r="O11" s="217">
        <f t="shared" si="3"/>
        <v>0.9</v>
      </c>
      <c r="P11" s="217">
        <f t="shared" si="3"/>
        <v>0.9</v>
      </c>
      <c r="Q11" s="218"/>
    </row>
    <row r="12" spans="1:17">
      <c r="B12" s="661"/>
      <c r="C12" s="208">
        <f t="shared" si="0"/>
        <v>46024</v>
      </c>
      <c r="D12" s="209">
        <v>1</v>
      </c>
      <c r="E12" s="210">
        <v>0</v>
      </c>
      <c r="F12" s="210">
        <v>0</v>
      </c>
      <c r="G12" s="212">
        <v>0</v>
      </c>
      <c r="H12" s="213">
        <v>0</v>
      </c>
      <c r="I12" s="214">
        <f t="shared" si="2"/>
        <v>10</v>
      </c>
      <c r="J12" s="214">
        <f t="shared" si="2"/>
        <v>10</v>
      </c>
      <c r="K12" s="214">
        <f t="shared" si="2"/>
        <v>9</v>
      </c>
      <c r="L12" s="214">
        <f t="shared" si="1"/>
        <v>9</v>
      </c>
      <c r="M12" s="214">
        <v>1</v>
      </c>
      <c r="N12" s="215">
        <v>1</v>
      </c>
      <c r="O12" s="217">
        <f t="shared" si="3"/>
        <v>0.9</v>
      </c>
      <c r="P12" s="217">
        <f t="shared" si="3"/>
        <v>0.9</v>
      </c>
      <c r="Q12" s="209"/>
    </row>
    <row r="13" spans="1:17">
      <c r="B13" s="661"/>
      <c r="C13" s="234">
        <f t="shared" si="0"/>
        <v>46031</v>
      </c>
      <c r="D13" s="235">
        <v>2</v>
      </c>
      <c r="E13" s="211">
        <v>0</v>
      </c>
      <c r="F13" s="211">
        <v>0</v>
      </c>
      <c r="G13" s="211">
        <v>1</v>
      </c>
      <c r="H13" s="236">
        <v>0</v>
      </c>
      <c r="I13" s="237">
        <f t="shared" si="2"/>
        <v>10</v>
      </c>
      <c r="J13" s="237">
        <f t="shared" si="2"/>
        <v>10</v>
      </c>
      <c r="K13" s="237">
        <f t="shared" si="2"/>
        <v>10</v>
      </c>
      <c r="L13" s="237">
        <f t="shared" si="1"/>
        <v>10</v>
      </c>
      <c r="M13" s="237">
        <v>0</v>
      </c>
      <c r="N13" s="238">
        <v>1</v>
      </c>
      <c r="O13" s="238">
        <f t="shared" si="3"/>
        <v>1</v>
      </c>
      <c r="P13" s="238">
        <f t="shared" si="3"/>
        <v>1</v>
      </c>
      <c r="Q13" s="239"/>
    </row>
    <row r="14" spans="1:17">
      <c r="B14" s="661"/>
      <c r="C14" s="208">
        <f t="shared" si="0"/>
        <v>46038</v>
      </c>
      <c r="D14" s="209">
        <v>3</v>
      </c>
      <c r="E14" s="210">
        <v>0</v>
      </c>
      <c r="F14" s="210">
        <v>0</v>
      </c>
      <c r="G14" s="212">
        <v>0</v>
      </c>
      <c r="H14" s="213">
        <v>0</v>
      </c>
      <c r="I14" s="214">
        <f t="shared" si="2"/>
        <v>10</v>
      </c>
      <c r="J14" s="214">
        <f t="shared" si="2"/>
        <v>10</v>
      </c>
      <c r="K14" s="214">
        <f>K13+G14</f>
        <v>10</v>
      </c>
      <c r="L14" s="214">
        <f>$G14+L13</f>
        <v>10</v>
      </c>
      <c r="M14" s="214">
        <v>0</v>
      </c>
      <c r="N14" s="215">
        <v>1</v>
      </c>
      <c r="O14" s="217">
        <f>K14/I14</f>
        <v>1</v>
      </c>
      <c r="P14" s="217">
        <f>L14/J14</f>
        <v>1</v>
      </c>
      <c r="Q14" s="218"/>
    </row>
    <row r="15" spans="1:17">
      <c r="B15" s="661"/>
      <c r="C15" s="208">
        <f t="shared" si="0"/>
        <v>46045</v>
      </c>
      <c r="D15" s="209">
        <v>4</v>
      </c>
      <c r="E15" s="210">
        <v>0</v>
      </c>
      <c r="F15" s="210">
        <v>0</v>
      </c>
      <c r="G15" s="212">
        <v>0</v>
      </c>
      <c r="H15" s="213">
        <v>0</v>
      </c>
      <c r="I15" s="214">
        <f t="shared" si="2"/>
        <v>10</v>
      </c>
      <c r="J15" s="214">
        <f t="shared" si="2"/>
        <v>10</v>
      </c>
      <c r="K15" s="214">
        <f>K14+G15</f>
        <v>10</v>
      </c>
      <c r="L15" s="214">
        <f>$G15+L14</f>
        <v>10</v>
      </c>
      <c r="M15" s="214">
        <v>0</v>
      </c>
      <c r="N15" s="215">
        <v>1</v>
      </c>
      <c r="O15" s="217">
        <f>K15/I15</f>
        <v>1</v>
      </c>
      <c r="P15" s="217">
        <f>L15/J15</f>
        <v>1</v>
      </c>
      <c r="Q15" s="229"/>
    </row>
    <row r="16" spans="1:17">
      <c r="B16" s="661"/>
      <c r="C16" s="208">
        <f>C15+7</f>
        <v>46052</v>
      </c>
      <c r="D16" s="209">
        <v>5</v>
      </c>
      <c r="E16" s="210">
        <v>0</v>
      </c>
      <c r="F16" s="210">
        <v>0</v>
      </c>
      <c r="G16" s="225"/>
      <c r="H16" s="213">
        <v>0</v>
      </c>
      <c r="I16" s="214">
        <f t="shared" si="2"/>
        <v>10</v>
      </c>
      <c r="J16" s="214">
        <f>J15+F16</f>
        <v>10</v>
      </c>
      <c r="K16" s="214">
        <v>0</v>
      </c>
      <c r="L16" s="214">
        <v>0</v>
      </c>
      <c r="M16" s="214">
        <v>0</v>
      </c>
      <c r="N16" s="215">
        <v>1</v>
      </c>
      <c r="O16" s="217">
        <v>0</v>
      </c>
      <c r="P16" s="217">
        <f>L16/J16</f>
        <v>0</v>
      </c>
      <c r="Q16" s="218"/>
    </row>
    <row r="20" spans="2:17">
      <c r="B20" s="659" t="s">
        <v>1362</v>
      </c>
      <c r="C20" s="659"/>
      <c r="D20" s="659"/>
      <c r="E20" s="659"/>
      <c r="F20" s="659"/>
      <c r="G20" s="659"/>
      <c r="H20" s="659"/>
      <c r="I20" s="659"/>
      <c r="J20" s="659"/>
      <c r="K20" s="659"/>
      <c r="L20" s="659"/>
      <c r="M20" s="659"/>
      <c r="N20" s="659"/>
      <c r="O20" s="659"/>
      <c r="P20" s="659"/>
      <c r="Q20" s="659"/>
    </row>
    <row r="21" spans="2:17" ht="87">
      <c r="B21" s="214" t="s">
        <v>1343</v>
      </c>
      <c r="C21" s="214" t="s">
        <v>1344</v>
      </c>
      <c r="D21" s="214" t="s">
        <v>1345</v>
      </c>
      <c r="E21" s="214" t="s">
        <v>1346</v>
      </c>
      <c r="F21" s="214" t="s">
        <v>1347</v>
      </c>
      <c r="G21" s="226" t="s">
        <v>1242</v>
      </c>
      <c r="H21" s="214" t="s">
        <v>1507</v>
      </c>
      <c r="I21" s="214" t="s">
        <v>1349</v>
      </c>
      <c r="J21" s="214" t="s">
        <v>1350</v>
      </c>
      <c r="K21" s="214" t="s">
        <v>1351</v>
      </c>
      <c r="L21" s="214" t="s">
        <v>1508</v>
      </c>
      <c r="M21" s="214" t="s">
        <v>1365</v>
      </c>
      <c r="N21" s="214" t="s">
        <v>1355</v>
      </c>
      <c r="O21" s="214" t="s">
        <v>1366</v>
      </c>
      <c r="P21" s="214" t="s">
        <v>1357</v>
      </c>
      <c r="Q21" s="216" t="s">
        <v>1177</v>
      </c>
    </row>
    <row r="22" spans="2:17">
      <c r="B22" s="673" t="s">
        <v>1919</v>
      </c>
      <c r="C22" s="208">
        <v>45968</v>
      </c>
      <c r="D22" s="209">
        <v>45</v>
      </c>
      <c r="E22" s="222">
        <v>0</v>
      </c>
      <c r="F22" s="235">
        <f>E22-H22</f>
        <v>0</v>
      </c>
      <c r="G22" s="225">
        <v>0</v>
      </c>
      <c r="H22" s="213">
        <v>0</v>
      </c>
      <c r="I22" s="214">
        <f>E22</f>
        <v>0</v>
      </c>
      <c r="J22" s="214">
        <f>F22</f>
        <v>0</v>
      </c>
      <c r="K22" s="214">
        <f>G22</f>
        <v>0</v>
      </c>
      <c r="L22" s="214">
        <f>F22</f>
        <v>0</v>
      </c>
      <c r="M22" s="214">
        <f t="shared" ref="M22:M26" si="4">I22-K22</f>
        <v>0</v>
      </c>
      <c r="N22" s="215">
        <v>1</v>
      </c>
      <c r="O22" s="215">
        <v>1</v>
      </c>
      <c r="P22" s="215">
        <v>1</v>
      </c>
      <c r="Q22" s="209"/>
    </row>
    <row r="23" spans="2:17">
      <c r="B23" s="663"/>
      <c r="C23" s="208">
        <f t="shared" ref="C23:C34" si="5">C22+7</f>
        <v>45975</v>
      </c>
      <c r="D23" s="209">
        <v>46</v>
      </c>
      <c r="E23" s="222">
        <v>0</v>
      </c>
      <c r="F23" s="235">
        <f t="shared" ref="F23:F24" si="6">E23-H23</f>
        <v>0</v>
      </c>
      <c r="G23" s="225">
        <v>0</v>
      </c>
      <c r="H23" s="213">
        <v>0</v>
      </c>
      <c r="I23" s="214">
        <f>I22+E23</f>
        <v>0</v>
      </c>
      <c r="J23" s="214">
        <f>J22+F23</f>
        <v>0</v>
      </c>
      <c r="K23" s="214">
        <f t="shared" ref="K23:K34" si="7">K22+G23</f>
        <v>0</v>
      </c>
      <c r="L23" s="214">
        <f t="shared" ref="L23:L34" si="8">L22+$G23</f>
        <v>0</v>
      </c>
      <c r="M23" s="214">
        <f t="shared" si="4"/>
        <v>0</v>
      </c>
      <c r="N23" s="215">
        <v>1</v>
      </c>
      <c r="O23" s="215">
        <v>1</v>
      </c>
      <c r="P23" s="215">
        <v>1</v>
      </c>
      <c r="Q23" s="209"/>
    </row>
    <row r="24" spans="2:17">
      <c r="B24" s="663"/>
      <c r="C24" s="208">
        <f t="shared" si="5"/>
        <v>45982</v>
      </c>
      <c r="D24" s="209">
        <v>47</v>
      </c>
      <c r="E24" s="222">
        <v>0</v>
      </c>
      <c r="F24" s="235">
        <f t="shared" si="6"/>
        <v>0</v>
      </c>
      <c r="G24" s="225">
        <v>0</v>
      </c>
      <c r="H24" s="213">
        <v>0</v>
      </c>
      <c r="I24" s="214">
        <f>I23+E24</f>
        <v>0</v>
      </c>
      <c r="J24" s="214">
        <f t="shared" ref="J24:J34" si="9">J23+F24</f>
        <v>0</v>
      </c>
      <c r="K24" s="214">
        <f>K23+G24</f>
        <v>0</v>
      </c>
      <c r="L24" s="214">
        <f t="shared" si="8"/>
        <v>0</v>
      </c>
      <c r="M24" s="214">
        <f t="shared" si="4"/>
        <v>0</v>
      </c>
      <c r="N24" s="215">
        <v>1</v>
      </c>
      <c r="O24" s="217" t="e">
        <f t="shared" ref="O24:P34" si="10">K24/I24</f>
        <v>#DIV/0!</v>
      </c>
      <c r="P24" s="217" t="e">
        <f>L24/J24</f>
        <v>#DIV/0!</v>
      </c>
      <c r="Q24" s="209"/>
    </row>
    <row r="25" spans="2:17">
      <c r="B25" s="663"/>
      <c r="C25" s="208">
        <f t="shared" si="5"/>
        <v>45989</v>
      </c>
      <c r="D25" s="209">
        <v>48</v>
      </c>
      <c r="E25" s="222">
        <v>0</v>
      </c>
      <c r="F25" s="235">
        <v>0</v>
      </c>
      <c r="G25" s="225">
        <v>0</v>
      </c>
      <c r="H25" s="213">
        <v>0</v>
      </c>
      <c r="I25" s="214">
        <f t="shared" ref="I25:I34" si="11">I24+E25</f>
        <v>0</v>
      </c>
      <c r="J25" s="214">
        <f t="shared" si="9"/>
        <v>0</v>
      </c>
      <c r="K25" s="214">
        <f t="shared" si="7"/>
        <v>0</v>
      </c>
      <c r="L25" s="214">
        <f t="shared" si="8"/>
        <v>0</v>
      </c>
      <c r="M25" s="214">
        <f t="shared" si="4"/>
        <v>0</v>
      </c>
      <c r="N25" s="215">
        <v>1</v>
      </c>
      <c r="O25" s="215" t="e">
        <f t="shared" si="10"/>
        <v>#DIV/0!</v>
      </c>
      <c r="P25" s="217" t="e">
        <f>L25/J25</f>
        <v>#DIV/0!</v>
      </c>
      <c r="Q25" s="209"/>
    </row>
    <row r="26" spans="2:17">
      <c r="B26" s="663"/>
      <c r="C26" s="208">
        <f t="shared" si="5"/>
        <v>45996</v>
      </c>
      <c r="D26" s="209">
        <v>49</v>
      </c>
      <c r="E26" s="222">
        <v>0</v>
      </c>
      <c r="F26" s="235">
        <v>0</v>
      </c>
      <c r="G26" s="225">
        <v>0</v>
      </c>
      <c r="H26" s="213">
        <v>0</v>
      </c>
      <c r="I26" s="214">
        <f t="shared" si="11"/>
        <v>0</v>
      </c>
      <c r="J26" s="214">
        <f t="shared" si="9"/>
        <v>0</v>
      </c>
      <c r="K26" s="214">
        <f t="shared" si="7"/>
        <v>0</v>
      </c>
      <c r="L26" s="214">
        <f t="shared" si="8"/>
        <v>0</v>
      </c>
      <c r="M26" s="214">
        <f t="shared" si="4"/>
        <v>0</v>
      </c>
      <c r="N26" s="215">
        <v>1</v>
      </c>
      <c r="O26" s="217" t="e">
        <f t="shared" si="10"/>
        <v>#DIV/0!</v>
      </c>
      <c r="P26" s="217" t="e">
        <f>L26/J26</f>
        <v>#DIV/0!</v>
      </c>
      <c r="Q26" s="218"/>
    </row>
    <row r="27" spans="2:17">
      <c r="B27" s="663"/>
      <c r="C27" s="208">
        <f t="shared" si="5"/>
        <v>46003</v>
      </c>
      <c r="D27" s="209">
        <v>50</v>
      </c>
      <c r="E27" s="222">
        <v>1</v>
      </c>
      <c r="F27" s="235">
        <v>0</v>
      </c>
      <c r="G27" s="225">
        <v>0</v>
      </c>
      <c r="H27" s="213">
        <v>0</v>
      </c>
      <c r="I27" s="214">
        <f t="shared" si="11"/>
        <v>1</v>
      </c>
      <c r="J27" s="214">
        <f t="shared" si="9"/>
        <v>0</v>
      </c>
      <c r="K27" s="214">
        <f t="shared" si="7"/>
        <v>0</v>
      </c>
      <c r="L27" s="214">
        <f t="shared" si="8"/>
        <v>0</v>
      </c>
      <c r="M27" s="214">
        <v>0</v>
      </c>
      <c r="N27" s="215">
        <v>1</v>
      </c>
      <c r="O27" s="217">
        <f t="shared" si="10"/>
        <v>0</v>
      </c>
      <c r="P27" s="217" t="e">
        <f t="shared" si="10"/>
        <v>#DIV/0!</v>
      </c>
      <c r="Q27" s="229"/>
    </row>
    <row r="28" spans="2:17">
      <c r="B28" s="663"/>
      <c r="C28" s="208">
        <f t="shared" si="5"/>
        <v>46010</v>
      </c>
      <c r="D28" s="209">
        <v>51</v>
      </c>
      <c r="E28" s="222">
        <v>1</v>
      </c>
      <c r="F28" s="235">
        <v>0</v>
      </c>
      <c r="G28" s="225">
        <v>0</v>
      </c>
      <c r="H28" s="213">
        <v>0</v>
      </c>
      <c r="I28" s="214">
        <f t="shared" si="11"/>
        <v>2</v>
      </c>
      <c r="J28" s="214">
        <f t="shared" si="9"/>
        <v>0</v>
      </c>
      <c r="K28" s="214">
        <f t="shared" si="7"/>
        <v>0</v>
      </c>
      <c r="L28" s="214">
        <f t="shared" si="8"/>
        <v>0</v>
      </c>
      <c r="M28" s="214">
        <v>0</v>
      </c>
      <c r="N28" s="215">
        <v>1</v>
      </c>
      <c r="O28" s="217">
        <f t="shared" si="10"/>
        <v>0</v>
      </c>
      <c r="P28" s="217" t="e">
        <f t="shared" si="10"/>
        <v>#DIV/0!</v>
      </c>
      <c r="Q28" s="218"/>
    </row>
    <row r="29" spans="2:17">
      <c r="B29" s="663"/>
      <c r="C29" s="208">
        <f t="shared" si="5"/>
        <v>46017</v>
      </c>
      <c r="D29" s="209">
        <v>52</v>
      </c>
      <c r="E29" s="222">
        <v>1</v>
      </c>
      <c r="F29" s="235">
        <v>0</v>
      </c>
      <c r="G29" s="225">
        <v>0</v>
      </c>
      <c r="H29" s="213">
        <v>0</v>
      </c>
      <c r="I29" s="214">
        <f t="shared" si="11"/>
        <v>3</v>
      </c>
      <c r="J29" s="214">
        <f t="shared" si="9"/>
        <v>0</v>
      </c>
      <c r="K29" s="214">
        <f t="shared" si="7"/>
        <v>0</v>
      </c>
      <c r="L29" s="214">
        <f t="shared" si="8"/>
        <v>0</v>
      </c>
      <c r="M29" s="214">
        <v>0</v>
      </c>
      <c r="N29" s="215">
        <v>1</v>
      </c>
      <c r="O29" s="217">
        <f t="shared" si="10"/>
        <v>0</v>
      </c>
      <c r="P29" s="217" t="e">
        <f t="shared" si="10"/>
        <v>#DIV/0!</v>
      </c>
      <c r="Q29" s="209"/>
    </row>
    <row r="30" spans="2:17">
      <c r="B30" s="663"/>
      <c r="C30" s="208">
        <f t="shared" si="5"/>
        <v>46024</v>
      </c>
      <c r="D30" s="209">
        <v>1</v>
      </c>
      <c r="E30" s="222">
        <v>0</v>
      </c>
      <c r="F30" s="235">
        <v>0</v>
      </c>
      <c r="G30" s="225">
        <v>0</v>
      </c>
      <c r="H30" s="213">
        <v>0</v>
      </c>
      <c r="I30" s="214">
        <f t="shared" si="11"/>
        <v>3</v>
      </c>
      <c r="J30" s="214">
        <f t="shared" si="9"/>
        <v>0</v>
      </c>
      <c r="K30" s="214">
        <f t="shared" si="7"/>
        <v>0</v>
      </c>
      <c r="L30" s="214">
        <f t="shared" si="8"/>
        <v>0</v>
      </c>
      <c r="M30" s="214">
        <v>0</v>
      </c>
      <c r="N30" s="215">
        <v>1</v>
      </c>
      <c r="O30" s="217">
        <f t="shared" si="10"/>
        <v>0</v>
      </c>
      <c r="P30" s="217" t="e">
        <f t="shared" si="10"/>
        <v>#DIV/0!</v>
      </c>
      <c r="Q30" s="218"/>
    </row>
    <row r="31" spans="2:17" s="205" customFormat="1">
      <c r="B31" s="663"/>
      <c r="C31" s="230">
        <f t="shared" si="5"/>
        <v>46031</v>
      </c>
      <c r="D31" s="209">
        <v>2</v>
      </c>
      <c r="E31" s="222">
        <v>0</v>
      </c>
      <c r="F31" s="235">
        <v>0</v>
      </c>
      <c r="G31" s="225">
        <v>0</v>
      </c>
      <c r="H31" s="213">
        <v>0</v>
      </c>
      <c r="I31" s="240">
        <f t="shared" si="11"/>
        <v>3</v>
      </c>
      <c r="J31" s="240">
        <f t="shared" si="9"/>
        <v>0</v>
      </c>
      <c r="K31" s="240">
        <f t="shared" si="7"/>
        <v>0</v>
      </c>
      <c r="L31" s="240">
        <f t="shared" si="8"/>
        <v>0</v>
      </c>
      <c r="M31" s="214">
        <v>0</v>
      </c>
      <c r="N31" s="215">
        <v>1</v>
      </c>
      <c r="O31" s="241">
        <f t="shared" si="10"/>
        <v>0</v>
      </c>
      <c r="P31" s="241" t="e">
        <f t="shared" si="10"/>
        <v>#DIV/0!</v>
      </c>
      <c r="Q31" s="232"/>
    </row>
    <row r="32" spans="2:17">
      <c r="B32" s="663"/>
      <c r="C32" s="208">
        <f t="shared" si="5"/>
        <v>46038</v>
      </c>
      <c r="D32" s="209">
        <v>3</v>
      </c>
      <c r="E32" s="222">
        <v>2</v>
      </c>
      <c r="F32" s="235">
        <v>0</v>
      </c>
      <c r="G32" s="225">
        <v>0</v>
      </c>
      <c r="H32" s="213">
        <v>0</v>
      </c>
      <c r="I32" s="214">
        <f t="shared" si="11"/>
        <v>5</v>
      </c>
      <c r="J32" s="214">
        <f t="shared" si="9"/>
        <v>0</v>
      </c>
      <c r="K32" s="214">
        <f t="shared" si="7"/>
        <v>0</v>
      </c>
      <c r="L32" s="214">
        <f t="shared" si="8"/>
        <v>0</v>
      </c>
      <c r="M32" s="214">
        <v>0</v>
      </c>
      <c r="N32" s="215">
        <v>1</v>
      </c>
      <c r="O32" s="217">
        <f t="shared" si="10"/>
        <v>0</v>
      </c>
      <c r="P32" s="217" t="e">
        <f t="shared" si="10"/>
        <v>#DIV/0!</v>
      </c>
      <c r="Q32" s="218"/>
    </row>
    <row r="33" spans="2:17">
      <c r="B33" s="663"/>
      <c r="C33" s="208">
        <f t="shared" si="5"/>
        <v>46045</v>
      </c>
      <c r="D33" s="209">
        <v>4</v>
      </c>
      <c r="E33" s="222">
        <v>2</v>
      </c>
      <c r="F33" s="235">
        <v>0</v>
      </c>
      <c r="G33" s="225">
        <v>0</v>
      </c>
      <c r="H33" s="213">
        <v>0</v>
      </c>
      <c r="I33" s="214">
        <f t="shared" si="11"/>
        <v>7</v>
      </c>
      <c r="J33" s="214">
        <f t="shared" si="9"/>
        <v>0</v>
      </c>
      <c r="K33" s="214">
        <f t="shared" si="7"/>
        <v>0</v>
      </c>
      <c r="L33" s="214">
        <f t="shared" si="8"/>
        <v>0</v>
      </c>
      <c r="M33" s="214">
        <v>0</v>
      </c>
      <c r="N33" s="215">
        <v>1</v>
      </c>
      <c r="O33" s="217">
        <f t="shared" si="10"/>
        <v>0</v>
      </c>
      <c r="P33" s="217" t="e">
        <f t="shared" si="10"/>
        <v>#DIV/0!</v>
      </c>
      <c r="Q33" s="218"/>
    </row>
    <row r="34" spans="2:17">
      <c r="B34" s="664"/>
      <c r="C34" s="221">
        <f t="shared" si="5"/>
        <v>46052</v>
      </c>
      <c r="D34" s="209">
        <v>5</v>
      </c>
      <c r="E34" s="222">
        <v>4</v>
      </c>
      <c r="F34" s="235">
        <v>0</v>
      </c>
      <c r="G34" s="225">
        <v>0</v>
      </c>
      <c r="H34" s="213">
        <v>0</v>
      </c>
      <c r="I34" s="223">
        <f t="shared" si="11"/>
        <v>11</v>
      </c>
      <c r="J34" s="223">
        <f t="shared" si="9"/>
        <v>0</v>
      </c>
      <c r="K34" s="223">
        <f t="shared" si="7"/>
        <v>0</v>
      </c>
      <c r="L34" s="223">
        <f t="shared" si="8"/>
        <v>0</v>
      </c>
      <c r="M34" s="214">
        <v>0</v>
      </c>
      <c r="N34" s="215">
        <v>1</v>
      </c>
      <c r="O34" s="224">
        <f t="shared" si="10"/>
        <v>0</v>
      </c>
      <c r="P34" s="224" t="e">
        <f t="shared" si="10"/>
        <v>#DIV/0!</v>
      </c>
      <c r="Q34" s="218"/>
    </row>
  </sheetData>
  <mergeCells count="4">
    <mergeCell ref="B2:Q2"/>
    <mergeCell ref="B4:B16"/>
    <mergeCell ref="B20:Q20"/>
    <mergeCell ref="B22:B34"/>
  </mergeCell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FEDF4-3D07-4E72-8138-62720530AE5D}">
  <sheetPr filterMode="1"/>
  <dimension ref="A1:K38"/>
  <sheetViews>
    <sheetView workbookViewId="0">
      <selection activeCell="D47" sqref="D47"/>
    </sheetView>
  </sheetViews>
  <sheetFormatPr defaultColWidth="8.85546875" defaultRowHeight="14.45"/>
  <cols>
    <col min="1" max="1" width="10.85546875" style="365" customWidth="1"/>
    <col min="2" max="2" width="11.85546875" style="365" customWidth="1"/>
    <col min="3" max="3" width="28.42578125" style="365" bestFit="1" customWidth="1"/>
    <col min="4" max="4" width="49.42578125" style="365" customWidth="1"/>
    <col min="5" max="5" width="13.140625" style="365" customWidth="1"/>
    <col min="6" max="6" width="19.5703125" style="365" customWidth="1"/>
    <col min="7" max="8" width="21" style="365" customWidth="1"/>
    <col min="9" max="9" width="10.5703125" style="365" customWidth="1"/>
    <col min="10" max="10" width="39.7109375" style="365" bestFit="1" customWidth="1"/>
    <col min="11" max="11" width="43.42578125" style="365" customWidth="1"/>
    <col min="12" max="12" width="12.28515625" style="365" bestFit="1" customWidth="1"/>
    <col min="13" max="16384" width="8.85546875" style="365"/>
  </cols>
  <sheetData>
    <row r="1" spans="1:11">
      <c r="A1" s="364" t="s">
        <v>1509</v>
      </c>
      <c r="B1" s="364" t="s">
        <v>1920</v>
      </c>
      <c r="C1" s="364" t="s">
        <v>1921</v>
      </c>
      <c r="D1" s="364" t="s">
        <v>1922</v>
      </c>
      <c r="E1" s="364" t="s">
        <v>1923</v>
      </c>
      <c r="F1" s="364" t="s">
        <v>1924</v>
      </c>
      <c r="G1" s="364" t="s">
        <v>1925</v>
      </c>
      <c r="H1" s="364" t="s">
        <v>1926</v>
      </c>
      <c r="I1" s="364" t="s">
        <v>1178</v>
      </c>
      <c r="J1" s="364" t="s">
        <v>1927</v>
      </c>
      <c r="K1" s="365" t="s">
        <v>87</v>
      </c>
    </row>
    <row r="2" spans="1:11" s="372" customFormat="1" hidden="1">
      <c r="A2" s="364"/>
      <c r="B2" s="366"/>
      <c r="C2" s="367"/>
      <c r="D2" s="368" t="s">
        <v>1928</v>
      </c>
      <c r="E2" s="369" t="s">
        <v>780</v>
      </c>
      <c r="F2" s="370" t="s">
        <v>1929</v>
      </c>
      <c r="G2" s="371"/>
      <c r="H2" s="371"/>
      <c r="I2" s="364" t="s">
        <v>1930</v>
      </c>
      <c r="J2" s="367" t="s">
        <v>1240</v>
      </c>
    </row>
    <row r="3" spans="1:11" s="372" customFormat="1" hidden="1">
      <c r="A3" s="364"/>
      <c r="B3" s="366"/>
      <c r="C3" s="367"/>
      <c r="D3" s="373" t="s">
        <v>1931</v>
      </c>
      <c r="E3" s="369" t="s">
        <v>780</v>
      </c>
      <c r="F3" s="370" t="s">
        <v>1929</v>
      </c>
      <c r="G3" s="371"/>
      <c r="H3" s="371"/>
      <c r="I3" s="364" t="s">
        <v>1930</v>
      </c>
      <c r="J3" s="367" t="s">
        <v>1240</v>
      </c>
    </row>
    <row r="4" spans="1:11" s="372" customFormat="1" hidden="1">
      <c r="A4" s="364"/>
      <c r="B4" s="366"/>
      <c r="C4" s="367"/>
      <c r="D4" s="373" t="s">
        <v>1932</v>
      </c>
      <c r="E4" s="369" t="s">
        <v>780</v>
      </c>
      <c r="F4" s="370" t="s">
        <v>1933</v>
      </c>
      <c r="G4" s="371"/>
      <c r="H4" s="371"/>
      <c r="I4" s="364" t="s">
        <v>1930</v>
      </c>
      <c r="J4" s="367" t="s">
        <v>1240</v>
      </c>
    </row>
    <row r="5" spans="1:11" s="372" customFormat="1" hidden="1">
      <c r="A5" s="364"/>
      <c r="B5" s="366"/>
      <c r="C5" s="367"/>
      <c r="D5" s="368" t="s">
        <v>1934</v>
      </c>
      <c r="E5" s="369" t="s">
        <v>780</v>
      </c>
      <c r="F5" s="370" t="s">
        <v>1933</v>
      </c>
      <c r="G5" s="371"/>
      <c r="H5" s="371"/>
      <c r="I5" s="364" t="s">
        <v>1930</v>
      </c>
      <c r="J5" s="367" t="s">
        <v>1240</v>
      </c>
    </row>
    <row r="6" spans="1:11" s="372" customFormat="1" ht="43.5" hidden="1">
      <c r="A6" s="364"/>
      <c r="B6" s="366"/>
      <c r="C6" s="367"/>
      <c r="D6" s="373" t="s">
        <v>1935</v>
      </c>
      <c r="E6" s="369" t="s">
        <v>780</v>
      </c>
      <c r="F6" s="370" t="s">
        <v>1933</v>
      </c>
      <c r="G6" s="371"/>
      <c r="H6" s="371">
        <v>46129</v>
      </c>
      <c r="I6" s="364" t="s">
        <v>1930</v>
      </c>
      <c r="J6" s="367"/>
      <c r="K6" s="374" t="s">
        <v>1936</v>
      </c>
    </row>
    <row r="7" spans="1:11" s="372" customFormat="1" hidden="1">
      <c r="A7" s="364"/>
      <c r="B7" s="366"/>
      <c r="C7" s="367"/>
      <c r="D7" s="373" t="s">
        <v>1937</v>
      </c>
      <c r="E7" s="369" t="s">
        <v>780</v>
      </c>
      <c r="F7" s="370" t="s">
        <v>1933</v>
      </c>
      <c r="G7" s="371">
        <v>46129</v>
      </c>
      <c r="H7" s="371">
        <v>46122</v>
      </c>
      <c r="I7" s="364" t="s">
        <v>1938</v>
      </c>
      <c r="J7" s="367" t="s">
        <v>1240</v>
      </c>
    </row>
    <row r="8" spans="1:11" s="372" customFormat="1" ht="72.599999999999994" hidden="1">
      <c r="A8" s="364"/>
      <c r="B8" s="375"/>
      <c r="C8" s="364"/>
      <c r="D8" s="376" t="s">
        <v>1939</v>
      </c>
      <c r="E8" s="377" t="s">
        <v>780</v>
      </c>
      <c r="F8" s="378" t="s">
        <v>1933</v>
      </c>
      <c r="G8" s="371"/>
      <c r="H8" s="371">
        <v>46129</v>
      </c>
      <c r="I8" s="364"/>
      <c r="J8" s="367"/>
      <c r="K8" s="379" t="s">
        <v>1940</v>
      </c>
    </row>
    <row r="9" spans="1:11" s="372" customFormat="1" hidden="1">
      <c r="A9" s="364"/>
      <c r="B9" s="375"/>
      <c r="C9" s="367"/>
      <c r="D9" s="373" t="s">
        <v>1941</v>
      </c>
      <c r="E9" s="369" t="s">
        <v>780</v>
      </c>
      <c r="F9" s="370" t="s">
        <v>1933</v>
      </c>
      <c r="G9" s="371"/>
      <c r="H9" s="371"/>
      <c r="I9" s="364" t="s">
        <v>1930</v>
      </c>
      <c r="J9" s="367"/>
    </row>
    <row r="10" spans="1:11" s="372" customFormat="1" hidden="1">
      <c r="A10" s="364"/>
      <c r="B10" s="375"/>
      <c r="C10" s="367"/>
      <c r="D10" s="373" t="s">
        <v>1942</v>
      </c>
      <c r="E10" s="369" t="s">
        <v>780</v>
      </c>
      <c r="F10" s="370" t="s">
        <v>1450</v>
      </c>
      <c r="G10" s="370" t="s">
        <v>1450</v>
      </c>
      <c r="H10" s="371">
        <v>46122</v>
      </c>
      <c r="I10" s="364" t="s">
        <v>1938</v>
      </c>
      <c r="J10" s="367" t="s">
        <v>1240</v>
      </c>
    </row>
    <row r="11" spans="1:11" s="372" customFormat="1" hidden="1">
      <c r="A11" s="364"/>
      <c r="B11" s="375"/>
      <c r="C11" s="367"/>
      <c r="D11" s="373" t="s">
        <v>1943</v>
      </c>
      <c r="E11" s="369" t="s">
        <v>780</v>
      </c>
      <c r="F11" s="370" t="s">
        <v>1450</v>
      </c>
      <c r="G11" s="371">
        <v>46129</v>
      </c>
      <c r="H11" s="371">
        <v>46136</v>
      </c>
      <c r="I11" s="364" t="s">
        <v>1938</v>
      </c>
      <c r="J11" s="367" t="s">
        <v>1240</v>
      </c>
    </row>
    <row r="12" spans="1:11" s="372" customFormat="1" hidden="1">
      <c r="A12" s="364"/>
      <c r="B12" s="375"/>
      <c r="C12" s="367"/>
      <c r="D12" s="368" t="s">
        <v>1944</v>
      </c>
      <c r="E12" s="369" t="s">
        <v>780</v>
      </c>
      <c r="F12" s="370" t="s">
        <v>1450</v>
      </c>
      <c r="G12" s="371"/>
      <c r="H12" s="371"/>
      <c r="I12" s="364" t="s">
        <v>1930</v>
      </c>
      <c r="J12" s="367"/>
    </row>
    <row r="13" spans="1:11" s="372" customFormat="1">
      <c r="A13" s="364"/>
      <c r="B13" s="375"/>
      <c r="C13" s="367"/>
      <c r="D13" s="373" t="s">
        <v>1945</v>
      </c>
      <c r="E13" s="369" t="s">
        <v>780</v>
      </c>
      <c r="F13" s="370" t="s">
        <v>1450</v>
      </c>
      <c r="G13" s="371">
        <v>46153</v>
      </c>
      <c r="H13" s="371"/>
      <c r="I13" s="364" t="s">
        <v>1938</v>
      </c>
      <c r="J13" s="367"/>
      <c r="K13" s="379" t="s">
        <v>1242</v>
      </c>
    </row>
    <row r="14" spans="1:11" s="372" customFormat="1" ht="57.95" hidden="1">
      <c r="A14" s="364"/>
      <c r="B14" s="375"/>
      <c r="C14" s="364"/>
      <c r="D14" s="380" t="s">
        <v>1946</v>
      </c>
      <c r="E14" s="377" t="s">
        <v>780</v>
      </c>
      <c r="F14" s="378" t="s">
        <v>1450</v>
      </c>
      <c r="G14" s="371"/>
      <c r="H14" s="371"/>
      <c r="I14" s="364" t="s">
        <v>1947</v>
      </c>
      <c r="J14" s="364"/>
      <c r="K14" s="374" t="s">
        <v>1948</v>
      </c>
    </row>
    <row r="15" spans="1:11" ht="57.95" hidden="1">
      <c r="A15" s="364"/>
      <c r="B15" s="375"/>
      <c r="C15" s="364"/>
      <c r="D15" s="376" t="s">
        <v>1949</v>
      </c>
      <c r="E15" s="377" t="s">
        <v>780</v>
      </c>
      <c r="F15" s="378" t="s">
        <v>1450</v>
      </c>
      <c r="G15" s="364"/>
      <c r="H15" s="364"/>
      <c r="I15" s="364" t="s">
        <v>1947</v>
      </c>
      <c r="J15" s="364"/>
      <c r="K15" s="374" t="s">
        <v>1948</v>
      </c>
    </row>
    <row r="16" spans="1:11" hidden="1">
      <c r="A16" s="364"/>
      <c r="B16" s="375"/>
      <c r="C16" s="364"/>
      <c r="D16" s="368" t="s">
        <v>1950</v>
      </c>
      <c r="E16" s="369" t="s">
        <v>780</v>
      </c>
      <c r="F16" s="370" t="s">
        <v>1951</v>
      </c>
      <c r="G16" s="364"/>
      <c r="H16" s="371"/>
      <c r="I16" s="364" t="s">
        <v>1930</v>
      </c>
      <c r="J16" s="364"/>
    </row>
    <row r="17" spans="1:11" hidden="1">
      <c r="A17" s="364"/>
      <c r="B17" s="375"/>
      <c r="C17" s="364"/>
      <c r="D17" s="373" t="s">
        <v>1952</v>
      </c>
      <c r="E17" s="369" t="s">
        <v>780</v>
      </c>
      <c r="F17" s="370" t="s">
        <v>1951</v>
      </c>
      <c r="G17" s="364"/>
      <c r="H17" s="371"/>
      <c r="I17" s="364" t="s">
        <v>1930</v>
      </c>
      <c r="J17" s="364"/>
    </row>
    <row r="18" spans="1:11" hidden="1">
      <c r="A18" s="364"/>
      <c r="B18" s="381"/>
      <c r="C18" s="364"/>
      <c r="D18" s="373" t="s">
        <v>1953</v>
      </c>
      <c r="E18" s="369" t="s">
        <v>780</v>
      </c>
      <c r="F18" s="412">
        <v>46153</v>
      </c>
      <c r="G18" s="412">
        <v>46153</v>
      </c>
      <c r="H18" s="364"/>
      <c r="I18" s="364" t="s">
        <v>1938</v>
      </c>
      <c r="J18" s="364"/>
      <c r="K18" s="379" t="s">
        <v>1954</v>
      </c>
    </row>
    <row r="19" spans="1:11" ht="16.5" hidden="1">
      <c r="A19" s="364"/>
      <c r="B19" s="382"/>
      <c r="C19" s="364"/>
      <c r="D19" s="368" t="s">
        <v>1955</v>
      </c>
      <c r="E19" s="369" t="s">
        <v>780</v>
      </c>
      <c r="F19" s="412">
        <v>46153</v>
      </c>
      <c r="G19" s="412">
        <v>46153</v>
      </c>
      <c r="H19" s="364"/>
      <c r="I19" s="364" t="s">
        <v>1938</v>
      </c>
      <c r="J19" s="364"/>
      <c r="K19" s="379" t="s">
        <v>1956</v>
      </c>
    </row>
    <row r="20" spans="1:11" hidden="1">
      <c r="A20" s="364"/>
      <c r="B20" s="364"/>
      <c r="C20" s="364"/>
      <c r="D20" s="373" t="s">
        <v>1957</v>
      </c>
      <c r="E20" s="369" t="s">
        <v>780</v>
      </c>
      <c r="F20" s="370" t="s">
        <v>1958</v>
      </c>
      <c r="G20" s="364"/>
      <c r="H20" s="364"/>
      <c r="I20" s="364"/>
      <c r="J20" s="364"/>
    </row>
    <row r="21" spans="1:11" hidden="1">
      <c r="A21" s="364"/>
      <c r="B21" s="364"/>
      <c r="C21" s="364"/>
      <c r="D21" s="368" t="s">
        <v>1959</v>
      </c>
      <c r="E21" s="369" t="s">
        <v>780</v>
      </c>
      <c r="F21" s="370" t="s">
        <v>1958</v>
      </c>
      <c r="G21" s="364"/>
      <c r="H21" s="364"/>
      <c r="I21" s="364"/>
      <c r="J21" s="364"/>
    </row>
    <row r="22" spans="1:11" ht="43.5" hidden="1">
      <c r="A22" s="364"/>
      <c r="B22" s="364"/>
      <c r="C22" s="364"/>
      <c r="D22" s="373" t="s">
        <v>1960</v>
      </c>
      <c r="E22" s="369" t="s">
        <v>780</v>
      </c>
      <c r="F22" s="370" t="s">
        <v>1958</v>
      </c>
      <c r="G22" s="364"/>
      <c r="H22" s="371">
        <v>46136</v>
      </c>
      <c r="I22" s="364" t="s">
        <v>1930</v>
      </c>
      <c r="J22" s="364"/>
      <c r="K22" s="374" t="s">
        <v>1936</v>
      </c>
    </row>
    <row r="23" spans="1:11" ht="43.5" hidden="1">
      <c r="A23" s="364"/>
      <c r="B23" s="364"/>
      <c r="C23" s="364"/>
      <c r="D23" s="373" t="s">
        <v>1961</v>
      </c>
      <c r="E23" s="369" t="s">
        <v>780</v>
      </c>
      <c r="F23" s="370" t="s">
        <v>1958</v>
      </c>
      <c r="G23" s="364"/>
      <c r="H23" s="371">
        <v>46136</v>
      </c>
      <c r="I23" s="364" t="s">
        <v>1930</v>
      </c>
      <c r="J23" s="364"/>
      <c r="K23" s="374" t="s">
        <v>1936</v>
      </c>
    </row>
    <row r="24" spans="1:11" hidden="1">
      <c r="A24" s="364"/>
      <c r="B24" s="364"/>
      <c r="C24" s="364"/>
      <c r="D24" s="383" t="s">
        <v>1962</v>
      </c>
      <c r="E24" s="369" t="s">
        <v>780</v>
      </c>
      <c r="F24" s="370" t="s">
        <v>1958</v>
      </c>
      <c r="G24" s="364"/>
      <c r="H24" s="364"/>
      <c r="I24" s="364"/>
      <c r="J24" s="364"/>
    </row>
    <row r="25" spans="1:11" hidden="1">
      <c r="A25" s="364"/>
      <c r="B25" s="364">
        <v>16070941</v>
      </c>
      <c r="C25" s="364"/>
      <c r="D25" s="384" t="s">
        <v>199</v>
      </c>
      <c r="E25" s="364" t="s">
        <v>1963</v>
      </c>
      <c r="F25" s="364"/>
      <c r="G25" s="364"/>
      <c r="H25" s="364"/>
      <c r="I25" s="364"/>
      <c r="J25" s="364"/>
    </row>
    <row r="26" spans="1:11" ht="29.1" hidden="1">
      <c r="A26" s="364"/>
      <c r="B26" s="364">
        <v>16826557</v>
      </c>
      <c r="C26" s="364"/>
      <c r="D26" s="385" t="s">
        <v>398</v>
      </c>
      <c r="E26" s="364" t="s">
        <v>780</v>
      </c>
      <c r="F26" s="386">
        <v>46066</v>
      </c>
      <c r="G26" s="364"/>
      <c r="H26" s="371">
        <v>46066</v>
      </c>
      <c r="I26" s="364" t="s">
        <v>1938</v>
      </c>
      <c r="J26" s="364" t="s">
        <v>1964</v>
      </c>
    </row>
    <row r="27" spans="1:11" ht="29.1" hidden="1">
      <c r="A27" s="364"/>
      <c r="B27" s="364">
        <v>18393555</v>
      </c>
      <c r="C27" s="364"/>
      <c r="D27" s="387" t="s">
        <v>202</v>
      </c>
      <c r="E27" s="364" t="s">
        <v>1963</v>
      </c>
      <c r="F27" s="364" t="s">
        <v>1965</v>
      </c>
      <c r="G27" s="364"/>
      <c r="H27" s="364"/>
      <c r="I27" s="364"/>
      <c r="J27" s="364"/>
    </row>
    <row r="28" spans="1:11" ht="38.25" hidden="1" customHeight="1">
      <c r="A28" s="364"/>
      <c r="B28" s="388">
        <v>16613144</v>
      </c>
      <c r="C28" s="364"/>
      <c r="D28" s="387" t="s">
        <v>625</v>
      </c>
      <c r="E28" s="364" t="s">
        <v>1963</v>
      </c>
      <c r="F28" s="364" t="s">
        <v>1966</v>
      </c>
      <c r="G28" s="364"/>
      <c r="H28" s="364"/>
      <c r="I28" s="364"/>
      <c r="J28" s="364"/>
    </row>
    <row r="29" spans="1:11" ht="43.5" hidden="1">
      <c r="A29" s="364"/>
      <c r="B29" s="388">
        <v>17114800</v>
      </c>
      <c r="C29" s="364"/>
      <c r="D29" s="387" t="s">
        <v>186</v>
      </c>
      <c r="E29" s="364" t="s">
        <v>1963</v>
      </c>
      <c r="F29" s="364" t="s">
        <v>1966</v>
      </c>
      <c r="G29" s="364"/>
      <c r="H29" s="364"/>
      <c r="I29" s="364"/>
      <c r="J29" s="364"/>
    </row>
    <row r="30" spans="1:11" ht="29.1" hidden="1">
      <c r="A30" s="364"/>
      <c r="B30" s="388">
        <v>17353388</v>
      </c>
      <c r="C30" s="364"/>
      <c r="D30" s="387" t="s">
        <v>189</v>
      </c>
      <c r="E30" s="364" t="s">
        <v>1963</v>
      </c>
      <c r="F30" s="364"/>
      <c r="G30" s="364"/>
      <c r="H30" s="364"/>
      <c r="I30" s="364"/>
      <c r="J30" s="364"/>
    </row>
    <row r="31" spans="1:11" ht="29.1" hidden="1">
      <c r="A31" s="364"/>
      <c r="B31" s="364">
        <v>17581155</v>
      </c>
      <c r="C31" s="364"/>
      <c r="D31" s="387" t="s">
        <v>522</v>
      </c>
      <c r="E31" s="364" t="s">
        <v>1963</v>
      </c>
      <c r="F31" s="364" t="s">
        <v>1929</v>
      </c>
      <c r="G31" s="364"/>
      <c r="H31" s="364"/>
      <c r="I31" s="364"/>
      <c r="J31" s="364"/>
    </row>
    <row r="32" spans="1:11" ht="29.1" hidden="1">
      <c r="A32" s="364"/>
      <c r="B32" s="364">
        <v>17728181</v>
      </c>
      <c r="C32" s="364"/>
      <c r="D32" s="387" t="s">
        <v>1967</v>
      </c>
      <c r="E32" s="364" t="s">
        <v>1963</v>
      </c>
      <c r="F32" s="364" t="s">
        <v>1968</v>
      </c>
      <c r="G32" s="364"/>
      <c r="H32" s="364"/>
      <c r="I32" s="364"/>
      <c r="J32" s="364"/>
    </row>
    <row r="33" spans="1:10" ht="29.1" hidden="1">
      <c r="A33" s="364"/>
      <c r="B33" s="364">
        <v>18396189</v>
      </c>
      <c r="C33" s="364"/>
      <c r="D33" s="387" t="s">
        <v>161</v>
      </c>
      <c r="E33" s="364" t="s">
        <v>780</v>
      </c>
      <c r="F33" s="386">
        <v>46176</v>
      </c>
      <c r="G33" s="364"/>
      <c r="H33" s="389">
        <v>46087</v>
      </c>
      <c r="I33" s="364" t="s">
        <v>1938</v>
      </c>
      <c r="J33" s="364" t="s">
        <v>1964</v>
      </c>
    </row>
    <row r="34" spans="1:10" ht="29.1" hidden="1">
      <c r="A34" s="364"/>
      <c r="B34" s="364" t="s">
        <v>270</v>
      </c>
      <c r="C34" s="364"/>
      <c r="D34" s="387" t="s">
        <v>1969</v>
      </c>
      <c r="E34" s="364" t="s">
        <v>780</v>
      </c>
      <c r="F34" s="364" t="s">
        <v>270</v>
      </c>
      <c r="G34" s="364"/>
      <c r="H34" s="389">
        <v>46129</v>
      </c>
      <c r="I34" s="364"/>
      <c r="J34" s="364"/>
    </row>
    <row r="35" spans="1:10" ht="29.1" hidden="1">
      <c r="A35" s="364"/>
      <c r="B35" s="364">
        <v>17808035</v>
      </c>
      <c r="C35" s="364"/>
      <c r="D35" s="387" t="s">
        <v>552</v>
      </c>
      <c r="E35" s="364" t="s">
        <v>780</v>
      </c>
      <c r="F35" s="386">
        <v>46129</v>
      </c>
      <c r="G35" s="364"/>
      <c r="H35" s="389">
        <v>46129</v>
      </c>
      <c r="I35" s="364"/>
      <c r="J35" s="364" t="s">
        <v>1970</v>
      </c>
    </row>
    <row r="36" spans="1:10" ht="29.1" hidden="1">
      <c r="A36" s="364"/>
      <c r="B36" s="388">
        <v>15194491</v>
      </c>
      <c r="C36" s="364"/>
      <c r="D36" s="387" t="s">
        <v>1971</v>
      </c>
      <c r="E36" s="364" t="s">
        <v>780</v>
      </c>
      <c r="F36" s="364"/>
      <c r="G36" s="364"/>
      <c r="H36" s="371">
        <v>46136</v>
      </c>
      <c r="I36" s="364"/>
      <c r="J36" s="364"/>
    </row>
    <row r="37" spans="1:10" ht="29.1" hidden="1">
      <c r="A37" s="364"/>
      <c r="B37" s="364" t="s">
        <v>270</v>
      </c>
      <c r="C37" s="364"/>
      <c r="D37" s="387" t="s">
        <v>1972</v>
      </c>
      <c r="E37" s="364" t="s">
        <v>780</v>
      </c>
      <c r="F37" s="364"/>
      <c r="G37" s="364"/>
      <c r="H37" s="371">
        <v>46136</v>
      </c>
      <c r="I37" s="364"/>
      <c r="J37" s="364"/>
    </row>
    <row r="38" spans="1:10" ht="29.1" hidden="1">
      <c r="A38" s="364"/>
      <c r="B38" s="364" t="s">
        <v>270</v>
      </c>
      <c r="C38" s="364"/>
      <c r="D38" s="387" t="s">
        <v>408</v>
      </c>
      <c r="E38" s="364" t="s">
        <v>780</v>
      </c>
      <c r="F38" s="364"/>
      <c r="G38" s="364"/>
      <c r="H38" s="371">
        <v>46136</v>
      </c>
      <c r="I38" s="364"/>
      <c r="J38" s="364"/>
    </row>
  </sheetData>
  <autoFilter ref="A1:M38" xr:uid="{6A5F8B72-9E0A-4241-A6DB-E323DCC0AC49}">
    <filterColumn colId="3">
      <filters>
        <filter val="dmAftElecSCRHtr2FETTmptrTooHiErr"/>
      </filters>
    </filterColumn>
  </autoFilter>
  <conditionalFormatting sqref="B2:B17">
    <cfRule type="duplicateValues" dxfId="11" priority="1"/>
  </conditionalFormatting>
  <conditionalFormatting sqref="B2:B17">
    <cfRule type="duplicateValues" dxfId="10" priority="2"/>
    <cfRule type="duplicateValues" dxfId="9" priority="3"/>
  </conditionalFormatting>
  <conditionalFormatting sqref="B18">
    <cfRule type="duplicateValues" dxfId="8" priority="4"/>
    <cfRule type="duplicateValues" dxfId="7" priority="5"/>
    <cfRule type="duplicateValues" dxfId="6" priority="6"/>
    <cfRule type="duplicateValues" dxfId="5" priority="7"/>
    <cfRule type="duplicateValues" dxfId="4" priority="8"/>
    <cfRule type="duplicateValues" dxfId="3" priority="9"/>
    <cfRule type="duplicateValues" dxfId="2" priority="10"/>
  </conditionalFormatting>
  <conditionalFormatting sqref="B2:B17">
    <cfRule type="duplicateValues" dxfId="1" priority="11" stopIfTrue="1"/>
    <cfRule type="expression" dxfId="0" priority="12" stopIfTrue="1">
      <formula>AND(COUNTIF(#REF!, B2)+COUNTIF(#REF!, B2)&gt;1,NOT(ISBLANK(B2)))</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D69A0-398A-4044-BA20-1D0DEC1A7AFE}">
  <sheetPr codeName="Sheet20"/>
  <dimension ref="D1:L47"/>
  <sheetViews>
    <sheetView topLeftCell="F25" zoomScale="70" zoomScaleNormal="70" workbookViewId="0">
      <selection activeCell="Q61" sqref="Q61"/>
    </sheetView>
  </sheetViews>
  <sheetFormatPr defaultColWidth="8.85546875" defaultRowHeight="14.45"/>
  <cols>
    <col min="1" max="1" width="6.42578125" style="392" bestFit="1" customWidth="1"/>
    <col min="2" max="2" width="10.85546875" style="392" bestFit="1" customWidth="1"/>
    <col min="3" max="3" width="8" style="392" bestFit="1" customWidth="1"/>
    <col min="4" max="4" width="20.42578125" style="392" customWidth="1"/>
    <col min="5" max="5" width="13.42578125" style="392" bestFit="1" customWidth="1"/>
    <col min="6" max="6" width="10.85546875" style="392" customWidth="1"/>
    <col min="7" max="7" width="10.42578125" style="392" customWidth="1"/>
    <col min="8" max="8" width="57.42578125" style="392" customWidth="1"/>
    <col min="9" max="9" width="11.42578125" style="392" bestFit="1" customWidth="1"/>
    <col min="10" max="10" width="25.85546875" style="392" customWidth="1"/>
    <col min="11" max="12" width="11.42578125" style="392" bestFit="1" customWidth="1"/>
    <col min="13" max="13" width="11.140625" style="392" bestFit="1" customWidth="1"/>
    <col min="14" max="15" width="10.42578125" style="392" bestFit="1" customWidth="1"/>
    <col min="16" max="16" width="11" style="392" bestFit="1" customWidth="1"/>
    <col min="17" max="16384" width="8.85546875" style="392"/>
  </cols>
  <sheetData>
    <row r="1" spans="4:8">
      <c r="D1" s="390"/>
      <c r="E1" s="391"/>
      <c r="F1" s="391"/>
      <c r="G1" s="391"/>
    </row>
    <row r="3" spans="4:8" ht="18.600000000000001">
      <c r="D3" s="674" t="s">
        <v>1973</v>
      </c>
      <c r="E3" s="674"/>
      <c r="F3" s="674"/>
      <c r="G3" s="674"/>
      <c r="H3" s="674"/>
    </row>
    <row r="4" spans="4:8" ht="57.95">
      <c r="D4" s="393" t="s">
        <v>1974</v>
      </c>
      <c r="E4" s="394" t="s">
        <v>1975</v>
      </c>
      <c r="F4" s="393" t="s">
        <v>1976</v>
      </c>
      <c r="G4" s="394" t="s">
        <v>1977</v>
      </c>
      <c r="H4" s="395" t="s">
        <v>1177</v>
      </c>
    </row>
    <row r="5" spans="4:8">
      <c r="D5" s="396">
        <v>46003</v>
      </c>
      <c r="E5" s="397">
        <v>1</v>
      </c>
      <c r="F5" s="397">
        <v>1</v>
      </c>
      <c r="G5" s="397">
        <v>1</v>
      </c>
      <c r="H5" s="398"/>
    </row>
    <row r="6" spans="4:8">
      <c r="D6" s="396">
        <v>46010</v>
      </c>
      <c r="E6" s="397">
        <v>1</v>
      </c>
      <c r="F6" s="399">
        <v>1</v>
      </c>
      <c r="G6" s="399">
        <v>1</v>
      </c>
      <c r="H6" s="398"/>
    </row>
    <row r="7" spans="4:8">
      <c r="D7" s="396">
        <v>46031</v>
      </c>
      <c r="E7" s="397">
        <v>1</v>
      </c>
      <c r="F7" s="399">
        <v>1</v>
      </c>
      <c r="G7" s="399">
        <v>1</v>
      </c>
      <c r="H7" s="400"/>
    </row>
    <row r="8" spans="4:8">
      <c r="D8" s="396">
        <v>46038</v>
      </c>
      <c r="E8" s="397">
        <v>1</v>
      </c>
      <c r="F8" s="399">
        <v>1</v>
      </c>
      <c r="G8" s="399">
        <v>1</v>
      </c>
      <c r="H8" s="400"/>
    </row>
    <row r="9" spans="4:8">
      <c r="D9" s="396">
        <v>46045</v>
      </c>
      <c r="E9" s="397">
        <v>1</v>
      </c>
      <c r="F9" s="399">
        <v>1</v>
      </c>
      <c r="G9" s="399">
        <v>1</v>
      </c>
      <c r="H9" s="400"/>
    </row>
    <row r="10" spans="4:8">
      <c r="D10" s="396">
        <v>46052</v>
      </c>
      <c r="E10" s="397">
        <v>1</v>
      </c>
      <c r="F10" s="399">
        <v>1</v>
      </c>
      <c r="G10" s="399">
        <v>1</v>
      </c>
      <c r="H10" s="401"/>
    </row>
    <row r="11" spans="4:8">
      <c r="D11" s="396"/>
      <c r="E11" s="397"/>
      <c r="F11" s="402"/>
      <c r="G11" s="402"/>
      <c r="H11" s="401"/>
    </row>
    <row r="12" spans="4:8">
      <c r="D12" s="396"/>
      <c r="E12" s="397"/>
      <c r="F12" s="403"/>
      <c r="G12" s="403"/>
      <c r="H12" s="404"/>
    </row>
    <row r="13" spans="4:8">
      <c r="D13" s="396"/>
      <c r="E13" s="405"/>
      <c r="F13" s="397"/>
      <c r="G13" s="397"/>
      <c r="H13" s="404"/>
    </row>
    <row r="14" spans="4:8">
      <c r="D14" s="396"/>
      <c r="E14" s="397"/>
      <c r="F14" s="397"/>
      <c r="G14" s="397"/>
      <c r="H14" s="404"/>
    </row>
    <row r="15" spans="4:8">
      <c r="D15" s="396"/>
      <c r="E15" s="397"/>
      <c r="F15" s="397"/>
      <c r="G15" s="397"/>
      <c r="H15" s="406"/>
    </row>
    <row r="16" spans="4:8">
      <c r="D16" s="396"/>
      <c r="E16" s="397"/>
      <c r="F16" s="397"/>
      <c r="G16" s="397"/>
      <c r="H16" s="406"/>
    </row>
    <row r="17" spans="4:12">
      <c r="D17" s="396"/>
      <c r="E17" s="397"/>
      <c r="F17" s="397"/>
      <c r="G17" s="397"/>
      <c r="H17" s="406"/>
    </row>
    <row r="18" spans="4:12">
      <c r="D18" s="396"/>
      <c r="E18" s="397"/>
      <c r="F18" s="397"/>
      <c r="G18" s="397"/>
      <c r="H18" s="406"/>
    </row>
    <row r="19" spans="4:12">
      <c r="D19" s="396"/>
      <c r="E19" s="407"/>
      <c r="F19" s="407"/>
      <c r="G19" s="407"/>
      <c r="H19" s="406"/>
    </row>
    <row r="20" spans="4:12">
      <c r="D20" s="396"/>
      <c r="E20" s="408"/>
      <c r="F20" s="407"/>
      <c r="G20" s="407"/>
      <c r="H20" s="406"/>
    </row>
    <row r="21" spans="4:12">
      <c r="D21" s="396"/>
      <c r="E21" s="407"/>
      <c r="F21" s="407"/>
      <c r="G21" s="407"/>
      <c r="H21" s="404"/>
      <c r="J21" s="409"/>
      <c r="L21" s="408"/>
    </row>
    <row r="31" spans="4:12" ht="18.600000000000001">
      <c r="D31" s="674" t="s">
        <v>1978</v>
      </c>
      <c r="E31" s="674"/>
      <c r="F31" s="674"/>
      <c r="G31" s="674"/>
      <c r="H31" s="674"/>
    </row>
    <row r="32" spans="4:12" ht="43.5">
      <c r="D32" s="393" t="s">
        <v>1974</v>
      </c>
      <c r="E32" s="394" t="s">
        <v>1979</v>
      </c>
      <c r="F32" s="393" t="s">
        <v>1976</v>
      </c>
      <c r="G32" s="394" t="s">
        <v>1980</v>
      </c>
      <c r="H32" s="395" t="s">
        <v>1177</v>
      </c>
    </row>
    <row r="33" spans="4:8">
      <c r="D33" s="396">
        <v>46066</v>
      </c>
      <c r="E33" s="410">
        <v>1</v>
      </c>
      <c r="F33" s="410">
        <v>0</v>
      </c>
      <c r="G33" s="410">
        <v>1</v>
      </c>
      <c r="H33" s="400"/>
    </row>
    <row r="34" spans="4:8">
      <c r="D34" s="396">
        <f t="shared" ref="D34:D42" si="0">D33+7</f>
        <v>46073</v>
      </c>
      <c r="E34" s="410">
        <f>E33</f>
        <v>1</v>
      </c>
      <c r="F34" s="410">
        <v>1</v>
      </c>
      <c r="G34" s="410">
        <v>1</v>
      </c>
      <c r="H34" s="400" t="s">
        <v>1981</v>
      </c>
    </row>
    <row r="35" spans="4:8">
      <c r="D35" s="396">
        <f t="shared" si="0"/>
        <v>46080</v>
      </c>
      <c r="E35" s="410">
        <f>E34</f>
        <v>1</v>
      </c>
      <c r="F35" s="410">
        <f>F34</f>
        <v>1</v>
      </c>
      <c r="G35" s="410">
        <f>G34+1</f>
        <v>2</v>
      </c>
      <c r="H35" s="400"/>
    </row>
    <row r="36" spans="4:8">
      <c r="D36" s="396">
        <f t="shared" si="0"/>
        <v>46087</v>
      </c>
      <c r="E36" s="410">
        <f>E35+1</f>
        <v>2</v>
      </c>
      <c r="F36" s="410">
        <f>F35+1</f>
        <v>2</v>
      </c>
      <c r="G36" s="410">
        <f>G35</f>
        <v>2</v>
      </c>
      <c r="H36" s="400"/>
    </row>
    <row r="37" spans="4:8">
      <c r="D37" s="396">
        <f t="shared" si="0"/>
        <v>46094</v>
      </c>
      <c r="E37" s="410">
        <f>E36</f>
        <v>2</v>
      </c>
      <c r="F37" s="410">
        <f>F36</f>
        <v>2</v>
      </c>
      <c r="G37" s="410">
        <f>G36</f>
        <v>2</v>
      </c>
      <c r="H37" s="400"/>
    </row>
    <row r="38" spans="4:8">
      <c r="D38" s="396">
        <f t="shared" si="0"/>
        <v>46101</v>
      </c>
      <c r="E38" s="410">
        <f>E37</f>
        <v>2</v>
      </c>
      <c r="F38" s="410">
        <f>F37</f>
        <v>2</v>
      </c>
      <c r="G38" s="410">
        <f>G37</f>
        <v>2</v>
      </c>
      <c r="H38" s="411"/>
    </row>
    <row r="39" spans="4:8">
      <c r="D39" s="396">
        <f t="shared" si="0"/>
        <v>46108</v>
      </c>
      <c r="E39" s="410">
        <f>E38+1</f>
        <v>3</v>
      </c>
      <c r="F39" s="410">
        <f>F38</f>
        <v>2</v>
      </c>
      <c r="G39" s="410">
        <f>G38+1</f>
        <v>3</v>
      </c>
      <c r="H39" s="411"/>
    </row>
    <row r="40" spans="4:8">
      <c r="D40" s="396">
        <f t="shared" si="0"/>
        <v>46115</v>
      </c>
      <c r="E40" s="410">
        <f>E39</f>
        <v>3</v>
      </c>
      <c r="F40" s="410">
        <f>F39</f>
        <v>2</v>
      </c>
      <c r="G40" s="410">
        <f>G39</f>
        <v>3</v>
      </c>
      <c r="H40" s="411"/>
    </row>
    <row r="41" spans="4:8">
      <c r="D41" s="396">
        <f t="shared" si="0"/>
        <v>46122</v>
      </c>
      <c r="E41" s="410">
        <f>E40+2</f>
        <v>5</v>
      </c>
      <c r="F41" s="397">
        <f>F40</f>
        <v>2</v>
      </c>
      <c r="G41" s="397">
        <f>G40+2</f>
        <v>5</v>
      </c>
      <c r="H41" s="406"/>
    </row>
    <row r="42" spans="4:8">
      <c r="D42" s="396">
        <f t="shared" si="0"/>
        <v>46129</v>
      </c>
      <c r="E42" s="410">
        <f>E41+2</f>
        <v>7</v>
      </c>
      <c r="F42" s="397">
        <f>F41+3</f>
        <v>5</v>
      </c>
      <c r="G42" s="397">
        <f>G41+2</f>
        <v>7</v>
      </c>
      <c r="H42" s="406"/>
    </row>
    <row r="43" spans="4:8">
      <c r="D43" s="396">
        <f>D42+7+3</f>
        <v>46139</v>
      </c>
      <c r="E43" s="397">
        <f>E42+5</f>
        <v>12</v>
      </c>
      <c r="F43" s="397">
        <f>F42</f>
        <v>5</v>
      </c>
      <c r="G43" s="397">
        <f>G42</f>
        <v>7</v>
      </c>
      <c r="H43" s="406"/>
    </row>
    <row r="44" spans="4:8">
      <c r="D44" s="396">
        <f>D43+7-3</f>
        <v>46143</v>
      </c>
      <c r="E44" s="407">
        <f>E43+2</f>
        <v>14</v>
      </c>
      <c r="F44" s="407">
        <f>F43</f>
        <v>5</v>
      </c>
      <c r="G44" s="407">
        <f>G43+1</f>
        <v>8</v>
      </c>
      <c r="H44" s="406"/>
    </row>
    <row r="45" spans="4:8">
      <c r="D45" s="396">
        <v>46153</v>
      </c>
      <c r="E45" s="408">
        <f>E44</f>
        <v>14</v>
      </c>
      <c r="F45" s="407">
        <f>F44+4</f>
        <v>9</v>
      </c>
      <c r="G45" s="407">
        <f>G44+2+1</f>
        <v>11</v>
      </c>
      <c r="H45" s="406"/>
    </row>
    <row r="46" spans="4:8">
      <c r="D46" s="396"/>
      <c r="E46" s="407"/>
      <c r="F46" s="407"/>
      <c r="G46" s="407"/>
      <c r="H46" s="406"/>
    </row>
    <row r="47" spans="4:8">
      <c r="D47" s="396"/>
      <c r="E47" s="407"/>
      <c r="F47" s="407"/>
      <c r="G47" s="407"/>
      <c r="H47" s="404"/>
    </row>
  </sheetData>
  <mergeCells count="2">
    <mergeCell ref="D3:H3"/>
    <mergeCell ref="D31:H31"/>
  </mergeCells>
  <pageMargins left="0.7" right="0.7" top="0.75" bottom="0.75" header="0.3" footer="0.3"/>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B3B22540E5E3443B54ABF6B7C0B8BD5" ma:contentTypeVersion="13" ma:contentTypeDescription="Create a new document." ma:contentTypeScope="" ma:versionID="695a085d774c325c6807ada9cf7f8b62">
  <xsd:schema xmlns:xsd="http://www.w3.org/2001/XMLSchema" xmlns:xs="http://www.w3.org/2001/XMLSchema" xmlns:p="http://schemas.microsoft.com/office/2006/metadata/properties" xmlns:ns2="b3000cfa-824b-43c7-a674-3ce6af27e132" xmlns:ns3="eb6bcf98-0308-4abd-b547-1c856d3d019c" targetNamespace="http://schemas.microsoft.com/office/2006/metadata/properties" ma:root="true" ma:fieldsID="6f1eb1523170e20f98852e04911a2dbc" ns2:_="" ns3:_="">
    <xsd:import namespace="b3000cfa-824b-43c7-a674-3ce6af27e132"/>
    <xsd:import namespace="eb6bcf98-0308-4abd-b547-1c856d3d019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3000cfa-824b-43c7-a674-3ce6af27e13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2b8f5e56-e41c-4ff5-942a-46bb561873b8"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description="" ma:indexed="true" ma:internalName="MediaServiceLocation" ma:readOnly="true">
      <xsd:simpleType>
        <xsd:restriction base="dms:Text"/>
      </xsd:simpleType>
    </xsd:element>
    <xsd:element name="MediaServiceBillingMetadata" ma:index="20"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b6bcf98-0308-4abd-b547-1c856d3d019c"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32715fd5-1b57-47c9-92d2-cce6d78308a2}" ma:internalName="TaxCatchAll" ma:showField="CatchAllData" ma:web="eb6bcf98-0308-4abd-b547-1c856d3d019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b6bcf98-0308-4abd-b547-1c856d3d019c" xsi:nil="true"/>
    <lcf76f155ced4ddcb4097134ff3c332f xmlns="b3000cfa-824b-43c7-a674-3ce6af27e13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199C56B-0481-486C-B158-FAAF724AA177}"/>
</file>

<file path=customXml/itemProps2.xml><?xml version="1.0" encoding="utf-8"?>
<ds:datastoreItem xmlns:ds="http://schemas.openxmlformats.org/officeDocument/2006/customXml" ds:itemID="{ABB6A90F-9E2E-4A9B-8C7A-48D98B55D427}"/>
</file>

<file path=customXml/itemProps3.xml><?xml version="1.0" encoding="utf-8"?>
<ds:datastoreItem xmlns:ds="http://schemas.openxmlformats.org/officeDocument/2006/customXml" ds:itemID="{DEF2C237-7454-4A6C-9FE9-9385197DEBC0}"/>
</file>

<file path=docMetadata/LabelInfo.xml><?xml version="1.0" encoding="utf-8"?>
<clbl:labelList xmlns:clbl="http://schemas.microsoft.com/office/2020/mipLabelMetadata">
  <clbl:label id="{b31a5d86-6dda-4457-85e5-c55bbc07923d}" enabled="0" method="" siteId="{b31a5d86-6dda-4457-85e5-c55bbc07923d}"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Cummins Inc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Jyoti Brahme</dc:creator>
  <cp:keywords/>
  <dc:description/>
  <cp:lastModifiedBy/>
  <cp:revision/>
  <dcterms:created xsi:type="dcterms:W3CDTF">2011-04-14T12:01:55Z</dcterms:created>
  <dcterms:modified xsi:type="dcterms:W3CDTF">2026-06-29T18:11:09Z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0x0101007B3B22540E5E3443B54ABF6B7C0B8BD5</vt:lpwstr>
  </property>
  <property fmtid="{D5CDD505-2E9C-101B-9397-08002B2CF9AE}" pid="3" name="MediaServiceImageTags">
    <vt:lpwstr/>
  </property>
</Properties>
</file>