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36A1CFA0-6C8B-44C8-A47B-6BA9747FC48C}" xr6:coauthVersionLast="47" xr6:coauthVersionMax="47" xr10:uidLastSave="{00000000-0000-0000-0000-000000000000}"/>
  <bookViews>
    <workbookView xWindow="-110" yWindow="-110" windowWidth="19420" windowHeight="10300" xr2:uid="{1B9582B9-CC5D-49D0-9FC1-8E0B8A8BE720}"/>
  </bookViews>
  <sheets>
    <sheet name="Revised_23developers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'Revised_23developers)'!$B$4:$J$32</definedName>
    <definedName name="_xlcn.WorksheetConnection_Q225_DCR_Completion_dates.xlsxTable1" hidden="1">[1]!Table1[#Data]</definedName>
    <definedName name="ActHrs">#REF!</definedName>
    <definedName name="ActualCmplDt">#REF!</definedName>
    <definedName name="ActualL2Dt">#REF!</definedName>
    <definedName name="APP_ACCEPTED">[3]Lookup!$A$19</definedName>
    <definedName name="APP_DECLINED">[3]Lookup!$A$21</definedName>
    <definedName name="APP_GEN">[3]Lookup!$A$22</definedName>
    <definedName name="APP_JOINED">[3]Lookup!$A$25</definedName>
    <definedName name="APP_L1_CANCEL">[3]Lookup!$A$12</definedName>
    <definedName name="APP_L1_REJ">[3]Lookup!$A$13</definedName>
    <definedName name="APP_L1_SCH">[3]Lookup!$A$14</definedName>
    <definedName name="APP_L1_SHRT">[3]Lookup!$A$15</definedName>
    <definedName name="APP_L2_REJ">[3]Lookup!$A$16</definedName>
    <definedName name="APP_L2_SCH">[3]Lookup!$A$17</definedName>
    <definedName name="APP_NOT_SHRT">[3]Lookup!$A$3</definedName>
    <definedName name="APP_PENDING">[3]Lookup!$A$4</definedName>
    <definedName name="APP_PREP">[3]Lookup!$A$23</definedName>
    <definedName name="APP_PROG">[3]Lookup!$A$2</definedName>
    <definedName name="APP_PROPOSED">[3]Lookup!$A$24</definedName>
    <definedName name="APP_SCR_PENDING">[3]Lookup!$A$5</definedName>
    <definedName name="APP_SCR_REJ">[3]Lookup!$A$6</definedName>
    <definedName name="APP_SCR_SHRT">[3]Lookup!$A$7</definedName>
    <definedName name="APP_SHRT">[3]Lookup!$A$8</definedName>
    <definedName name="APP_WITHDRAWN">[3]Lookup!$A$9</definedName>
    <definedName name="AssignDt">#REF!</definedName>
    <definedName name="AssignDt_Act">#REF!</definedName>
    <definedName name="BizHead">#REF!</definedName>
    <definedName name="CES_clearError_Btn">[4]Tracker!#REF!</definedName>
    <definedName name="COL_APP_STATUS">'[3]Detailed Timeline Report'!$AT$2:$AT$5000</definedName>
    <definedName name="COL_REQ_ID">'[3]Detailed Timeline Report'!$D$2:$D$5000</definedName>
    <definedName name="CommDate">#REF!</definedName>
    <definedName name="Comments">#REF!</definedName>
    <definedName name="CQPRState">#REF!</definedName>
    <definedName name="DCR_ID">#REF!</definedName>
    <definedName name="DCR_Status">[5]Values_Guidelines_KRA!$B$2:$B$20</definedName>
    <definedName name="DCRPhase">#REF!</definedName>
    <definedName name="DCRPrj">#REF!</definedName>
    <definedName name="DCRState">#REF!</definedName>
    <definedName name="DCRstatenote">#REF!</definedName>
    <definedName name="DCRType">#REF!</definedName>
    <definedName name="Deadline4phase">#REF!</definedName>
    <definedName name="delayedNewDate">#REF!</definedName>
    <definedName name="Doc">[6]Sheet1!$A$1:$A$4</definedName>
    <definedName name="DUR">[6]Sheet1!$A$1:$A$3</definedName>
    <definedName name="EstmHrs">#REF!</definedName>
    <definedName name="EstTime_Cl">#REF!</definedName>
    <definedName name="Feedback_Awaited">#REF!</definedName>
    <definedName name="Fmt_Rng">[7]References!$A$10:$B$34</definedName>
    <definedName name="IntOwnerCol">[4]Tracker!#REF!</definedName>
    <definedName name="L2RespnseDt">#REF!</definedName>
    <definedName name="L2SentTo">#REF!</definedName>
    <definedName name="NeedDate">#REF!</definedName>
    <definedName name="Owner">#REF!</definedName>
    <definedName name="Plan4Quarter">#REF!</definedName>
    <definedName name="PlannedCmplDate">#REF!</definedName>
    <definedName name="PRCR_Status">[8]Values!$A$2:$A$15</definedName>
    <definedName name="PRCRActStat">#REF!</definedName>
    <definedName name="PRCRID">#REF!</definedName>
    <definedName name="PRCRID_G">#REF!</definedName>
    <definedName name="PRCRState">#REF!</definedName>
    <definedName name="PRCRStatus">#REF!</definedName>
    <definedName name="PRCRSubmitDt">#REF!</definedName>
    <definedName name="Priority">#REF!</definedName>
    <definedName name="Project">#REF!</definedName>
    <definedName name="Reason4AssignLate">#REF!</definedName>
    <definedName name="Reason4Delay">#REF!</definedName>
    <definedName name="Reasonfordelay">#REF!</definedName>
    <definedName name="ReqByPhase">#REF!</definedName>
    <definedName name="Responsible">#REF!</definedName>
    <definedName name="RmnHrs">#REF!</definedName>
    <definedName name="SevIndx">[7]References!$A$1:$B$6</definedName>
    <definedName name="SevLst">[7]References!$A$1:$A$6</definedName>
    <definedName name="Sheet_BoschSCRFaultStatusMessage.Range_SignalDCU">#REF!</definedName>
    <definedName name="Sheet_ErrorsInBuild.Range_Component">[9]ErrorsInBuild!$B$3:$B$65536</definedName>
    <definedName name="Sheet_ErrorsInBuild.Range_ErrorName">[9]ErrorsInBuild!$D$3:$D$65536</definedName>
    <definedName name="Sheet_MasterDiagnosticList.Range_AlgorithmIDCalculated">#REF!</definedName>
    <definedName name="Sheet_MasterDiagnosticList.Range_ComponentSystemName">#REF!</definedName>
    <definedName name="Sheet_MasterDiagnosticList.Range_FailureMode">#REF!</definedName>
    <definedName name="Sheet_MasterDiagnosticList.Range_HandoffDatePostStep8">#REF!</definedName>
    <definedName name="Sheet_MasterDiagnosticList.Range_Milestone4ReviewDatePostStep6">#REF!</definedName>
    <definedName name="Sheet_MasterDiagnosticList.Range_MS4ReviewActual">#REF!</definedName>
    <definedName name="Sheet_MasterDiagnosticList.Range_MS5ReviewActual">#REF!</definedName>
    <definedName name="sk_col_num_role">MATCH(stream,Tbl_roleHeaders,0)</definedName>
    <definedName name="sk_col_num_skillgrp">#N/A</definedName>
    <definedName name="sk_col_role">INDEX(Tbl_role,,sk_col_num_role)</definedName>
    <definedName name="sk_col_skillgrp">INDEX(Tbl_skill,,sk_col_num_skillgrp)</definedName>
    <definedName name="sk_role">INDEX(Tbl_role,1,sk_col_num_role) : INDEX(Tbl_role, COUNTA(sk_col_role), sk_col_num_role)</definedName>
    <definedName name="sk_skillgrp">INDEX(Tbl_skill,1,sk_col_num_skillgrp) : INDEX(Tbl_skill, COUNTA(sk_col_skillgrp), sk_col_num_skillgrp)</definedName>
    <definedName name="Sprint">#REF!</definedName>
    <definedName name="st_grade">INDEX(Tbl_grade,MATCH(stream_role_join,Tbl_stream_role_join, 0)) : INDEX(Tbl_grade,MATCH(stream_role_join,Tbl_stream_role_join, 0)+COUNTIF(Tbl_stream_role_join,stream_role_join)-1)</definedName>
    <definedName name="st_primary_skill">INDEX(Tbl_Primary_Skill,MATCH(stream_skill_join,Tbl_Stream_Skill_join, 0)) : INDEX(Tbl_Primary_Skill,MATCH(stream_skill_join,Tbl_Stream_Skill_join, 0)+COUNTIF(Tbl_Stream_Skill_join,stream_skill_join)-1)</definedName>
    <definedName name="Status">[10]Lookups!$D$2:$D$8</definedName>
    <definedName name="Statusnote">#REF!</definedName>
    <definedName name="stream">'[11]Resource Loading'!$A1</definedName>
    <definedName name="stream_role_join">'[11]Resource Loading'!$A1&amp;'[11]Resource Loading'!$D1</definedName>
    <definedName name="stream_skill_join">'[12]Resource Loading'!$A1&amp;'[12]Resource Loading'!$B1</definedName>
    <definedName name="SubActivity">#REF!</definedName>
    <definedName name="SubSystem">#REF!</definedName>
    <definedName name="SubTask">[4]Tracker!#REF!</definedName>
    <definedName name="Summary">#REF!</definedName>
    <definedName name="SupportReqByDt">#REF!</definedName>
    <definedName name="SupportReqByTeam">#REF!</definedName>
    <definedName name="Tag">#REF!</definedName>
    <definedName name="Tbl_grade">[11]References!$L$2:$L$342</definedName>
    <definedName name="Tbl_grade_level">[12]References!$R$2:$R$5</definedName>
    <definedName name="Tbl_Primary_Skill">[12]References!$D$2:$D$1311</definedName>
    <definedName name="Tbl_project_mode">[12]References!$BQ$2:$BQ$3</definedName>
    <definedName name="Tbl_role">[11]References!$AR$2:$BM$19</definedName>
    <definedName name="Tbl_roleHeaders">[11]References!$AR$1:$BM$1</definedName>
    <definedName name="Tbl_skill">[12]References!$T$2:$AO$30</definedName>
    <definedName name="Tbl_skillHeaders">[12]References!$T$1:$AO$1</definedName>
    <definedName name="Tbl_stream">[12]References!$P$2:$P$23</definedName>
    <definedName name="Tbl_stream_role_join">[11]References!$K$2:$K$342</definedName>
    <definedName name="Tbl_Stream_Skill_join">[12]References!$C$2:$C$1311</definedName>
    <definedName name="TypeContent">#REF!</definedName>
    <definedName name="UsedHrs">[4]Tracker!#REF!</definedName>
    <definedName name="UsedTime_Cl">[4]Tracker!#REF!</definedName>
    <definedName name="VnVCmplDtReq">#REF!</definedName>
    <definedName name="Who">OFFSET(#REF!,0,0,COUNTA(#REF!))</definedName>
    <definedName name="YN">'[13]Support Sheet'!$N$3:$N$4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9" i="1" l="1"/>
  <c r="L57" i="1"/>
  <c r="H56" i="1"/>
  <c r="L55" i="1"/>
  <c r="H55" i="1"/>
  <c r="H51" i="1"/>
  <c r="H47" i="1"/>
  <c r="H45" i="1"/>
  <c r="D45" i="1"/>
  <c r="L44" i="1"/>
  <c r="G30" i="1"/>
  <c r="F30" i="1"/>
  <c r="L28" i="1"/>
  <c r="J27" i="1"/>
  <c r="H27" i="1"/>
  <c r="D27" i="1"/>
  <c r="H26" i="1"/>
  <c r="D26" i="1"/>
  <c r="E26" i="1" s="1"/>
  <c r="I26" i="1" s="1"/>
  <c r="K26" i="1" s="1"/>
  <c r="L26" i="1" s="1"/>
  <c r="H25" i="1"/>
  <c r="D25" i="1"/>
  <c r="H24" i="1"/>
  <c r="D24" i="1"/>
  <c r="E24" i="1" s="1"/>
  <c r="I24" i="1" s="1"/>
  <c r="K24" i="1" s="1"/>
  <c r="L24" i="1" s="1"/>
  <c r="H23" i="1"/>
  <c r="D23" i="1"/>
  <c r="J22" i="1"/>
  <c r="H22" i="1"/>
  <c r="D22" i="1"/>
  <c r="J21" i="1"/>
  <c r="H21" i="1"/>
  <c r="D21" i="1"/>
  <c r="E21" i="1" s="1"/>
  <c r="I21" i="1" s="1"/>
  <c r="K21" i="1" s="1"/>
  <c r="L21" i="1" s="1"/>
  <c r="H20" i="1"/>
  <c r="D20" i="1"/>
  <c r="J19" i="1"/>
  <c r="H19" i="1"/>
  <c r="D19" i="1"/>
  <c r="H18" i="1"/>
  <c r="D18" i="1"/>
  <c r="E18" i="1" s="1"/>
  <c r="I18" i="1" s="1"/>
  <c r="K18" i="1" s="1"/>
  <c r="L18" i="1" s="1"/>
  <c r="H17" i="1"/>
  <c r="D17" i="1"/>
  <c r="S16" i="1"/>
  <c r="T16" i="1" s="1"/>
  <c r="T22" i="1" s="1"/>
  <c r="J16" i="1"/>
  <c r="H16" i="1"/>
  <c r="D16" i="1"/>
  <c r="S15" i="1"/>
  <c r="T15" i="1" s="1"/>
  <c r="T21" i="1" s="1"/>
  <c r="J15" i="1"/>
  <c r="H15" i="1"/>
  <c r="D15" i="1"/>
  <c r="E15" i="1" s="1"/>
  <c r="I15" i="1" s="1"/>
  <c r="K15" i="1" s="1"/>
  <c r="L15" i="1" s="1"/>
  <c r="S14" i="1"/>
  <c r="T14" i="1" s="1"/>
  <c r="T20" i="1" s="1"/>
  <c r="J14" i="1"/>
  <c r="H14" i="1"/>
  <c r="D14" i="1"/>
  <c r="E14" i="1" s="1"/>
  <c r="I14" i="1" s="1"/>
  <c r="K14" i="1" s="1"/>
  <c r="L14" i="1" s="1"/>
  <c r="T13" i="1"/>
  <c r="T19" i="1" s="1"/>
  <c r="S13" i="1"/>
  <c r="J13" i="1"/>
  <c r="I13" i="1"/>
  <c r="K13" i="1" s="1"/>
  <c r="L13" i="1" s="1"/>
  <c r="H13" i="1"/>
  <c r="E13" i="1"/>
  <c r="D13" i="1"/>
  <c r="J12" i="1"/>
  <c r="H12" i="1"/>
  <c r="D12" i="1"/>
  <c r="J11" i="1"/>
  <c r="H11" i="1"/>
  <c r="D11" i="1"/>
  <c r="E11" i="1" s="1"/>
  <c r="I11" i="1" s="1"/>
  <c r="K11" i="1" s="1"/>
  <c r="L11" i="1" s="1"/>
  <c r="U10" i="1"/>
  <c r="J10" i="1"/>
  <c r="H10" i="1"/>
  <c r="D10" i="1"/>
  <c r="E10" i="1" s="1"/>
  <c r="I10" i="1" s="1"/>
  <c r="K10" i="1" s="1"/>
  <c r="L10" i="1" s="1"/>
  <c r="X9" i="1"/>
  <c r="V9" i="1"/>
  <c r="J9" i="1"/>
  <c r="H9" i="1"/>
  <c r="E9" i="1"/>
  <c r="I9" i="1" s="1"/>
  <c r="K9" i="1" s="1"/>
  <c r="L9" i="1" s="1"/>
  <c r="D9" i="1"/>
  <c r="V8" i="1"/>
  <c r="X8" i="1" s="1"/>
  <c r="X10" i="1" s="1"/>
  <c r="X12" i="1" s="1"/>
  <c r="T8" i="1"/>
  <c r="J8" i="1"/>
  <c r="H8" i="1"/>
  <c r="D8" i="1"/>
  <c r="V7" i="1"/>
  <c r="J7" i="1"/>
  <c r="H7" i="1"/>
  <c r="D7" i="1"/>
  <c r="E7" i="1" s="1"/>
  <c r="I7" i="1" s="1"/>
  <c r="K7" i="1" s="1"/>
  <c r="L7" i="1" s="1"/>
  <c r="H6" i="1"/>
  <c r="D6" i="1"/>
  <c r="E6" i="1" s="1"/>
  <c r="I6" i="1" s="1"/>
  <c r="K6" i="1" s="1"/>
  <c r="L6" i="1" s="1"/>
  <c r="J5" i="1"/>
  <c r="H5" i="1"/>
  <c r="H30" i="1" s="1"/>
  <c r="D5" i="1"/>
  <c r="E5" i="1" s="1"/>
  <c r="E4" i="1"/>
  <c r="J23" i="1" s="1"/>
  <c r="H2" i="1"/>
  <c r="H57" i="1" s="1"/>
  <c r="I5" i="1" l="1"/>
  <c r="H35" i="1"/>
  <c r="F35" i="1"/>
  <c r="E19" i="1"/>
  <c r="I19" i="1" s="1"/>
  <c r="K19" i="1" s="1"/>
  <c r="L19" i="1" s="1"/>
  <c r="E22" i="1"/>
  <c r="E27" i="1"/>
  <c r="I27" i="1" s="1"/>
  <c r="K27" i="1" s="1"/>
  <c r="L27" i="1" s="1"/>
  <c r="H50" i="1"/>
  <c r="E16" i="1"/>
  <c r="I16" i="1" s="1"/>
  <c r="K16" i="1" s="1"/>
  <c r="L16" i="1" s="1"/>
  <c r="J17" i="1"/>
  <c r="J25" i="1"/>
  <c r="H44" i="1"/>
  <c r="H58" i="1"/>
  <c r="J24" i="1"/>
  <c r="H46" i="1"/>
  <c r="D46" i="1" s="1"/>
  <c r="J18" i="1"/>
  <c r="J30" i="1" s="1"/>
  <c r="E20" i="1"/>
  <c r="I20" i="1" s="1"/>
  <c r="K20" i="1" s="1"/>
  <c r="L20" i="1" s="1"/>
  <c r="E23" i="1"/>
  <c r="I23" i="1" s="1"/>
  <c r="K23" i="1" s="1"/>
  <c r="L23" i="1" s="1"/>
  <c r="J26" i="1"/>
  <c r="J31" i="1" s="1"/>
  <c r="D56" i="1" s="1"/>
  <c r="E17" i="1"/>
  <c r="I17" i="1" s="1"/>
  <c r="K17" i="1" s="1"/>
  <c r="L17" i="1" s="1"/>
  <c r="E25" i="1"/>
  <c r="I25" i="1" s="1"/>
  <c r="K25" i="1" s="1"/>
  <c r="L25" i="1" s="1"/>
  <c r="J6" i="1"/>
  <c r="E8" i="1"/>
  <c r="I8" i="1" s="1"/>
  <c r="K8" i="1" s="1"/>
  <c r="L8" i="1" s="1"/>
  <c r="E12" i="1"/>
  <c r="I12" i="1" s="1"/>
  <c r="K12" i="1" s="1"/>
  <c r="L12" i="1" s="1"/>
  <c r="J20" i="1"/>
  <c r="D47" i="1" l="1"/>
  <c r="D51" i="1"/>
  <c r="J32" i="1"/>
  <c r="D58" i="1" s="1"/>
  <c r="E32" i="1"/>
  <c r="I22" i="1"/>
  <c r="K22" i="1" s="1"/>
  <c r="L22" i="1" s="1"/>
  <c r="E31" i="1"/>
  <c r="E30" i="1"/>
  <c r="K5" i="1"/>
  <c r="L5" i="1" s="1"/>
  <c r="I30" i="1"/>
  <c r="D50" i="1" l="1"/>
  <c r="H34" i="1"/>
  <c r="G34" i="1"/>
  <c r="E34" i="1"/>
  <c r="D44" i="1"/>
  <c r="F34" i="1"/>
  <c r="L29" i="1"/>
  <c r="D57" i="1"/>
  <c r="K32" i="1"/>
  <c r="H36" i="1"/>
  <c r="H37" i="1" s="1"/>
  <c r="E36" i="1"/>
  <c r="E37" i="1" s="1"/>
  <c r="G36" i="1"/>
  <c r="G37" i="1" s="1"/>
  <c r="F36" i="1"/>
  <c r="D55" i="1"/>
  <c r="K31" i="1"/>
  <c r="N59" i="1" l="1"/>
  <c r="N61" i="1" s="1"/>
  <c r="N62" i="1" s="1"/>
  <c r="N57" i="1"/>
  <c r="M57" i="1"/>
  <c r="K57" i="1"/>
  <c r="D48" i="1"/>
  <c r="U13" i="1"/>
  <c r="V13" i="1" s="1"/>
  <c r="U15" i="1" s="1"/>
  <c r="M44" i="1"/>
  <c r="W9" i="1"/>
  <c r="E35" i="1"/>
  <c r="G35" i="1"/>
  <c r="M55" i="1"/>
  <c r="K55" i="1"/>
  <c r="D59" i="1"/>
  <c r="D62" i="1" s="1"/>
  <c r="F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Chitharenjan Nair</author>
  </authors>
  <commentList>
    <comment ref="K44" authorId="0" shapeId="0" xr:uid="{0CBAEAC5-A32C-41A8-A63A-61B1C96D0894}">
      <text>
        <r>
          <rPr>
            <sz val="11"/>
            <color theme="1"/>
            <rFont val="Aptos Narrow"/>
            <family val="2"/>
            <scheme val="minor"/>
          </rPr>
          <t xml:space="preserve">Chitharenjan Nair:
</t>
        </r>
      </text>
    </comment>
  </commentList>
</comments>
</file>

<file path=xl/sharedStrings.xml><?xml version="1.0" encoding="utf-8"?>
<sst xmlns="http://schemas.openxmlformats.org/spreadsheetml/2006/main" count="88" uniqueCount="71">
  <si>
    <t>No of Working days  offshore CTCI</t>
  </si>
  <si>
    <t>May</t>
  </si>
  <si>
    <t>Jun</t>
  </si>
  <si>
    <t>Jul</t>
  </si>
  <si>
    <t>Total</t>
  </si>
  <si>
    <t>Workign days</t>
  </si>
  <si>
    <t>Holidays</t>
  </si>
  <si>
    <t>Flexi holiday: June 26</t>
  </si>
  <si>
    <t>Total weeks available in quarter (from 1-May)</t>
  </si>
  <si>
    <t xml:space="preserve">DCRs Work planned based on tentative estimates (hours) </t>
  </si>
  <si>
    <t xml:space="preserve">DCRs Work planned based on tentative estimates (weeks) </t>
  </si>
  <si>
    <t>Tentative bandwidth available as on date for  Q3 (Weeks)</t>
  </si>
  <si>
    <t>Review and support</t>
  </si>
  <si>
    <t>Remarks</t>
  </si>
  <si>
    <t>Efforts after excluding 4 days of leave</t>
  </si>
  <si>
    <t>Employee Name</t>
  </si>
  <si>
    <t>Drag %</t>
  </si>
  <si>
    <t>E</t>
  </si>
  <si>
    <t>I</t>
  </si>
  <si>
    <t>Jayant Patil</t>
  </si>
  <si>
    <t>Boyella Varun Teja</t>
  </si>
  <si>
    <t>Swayangdipta Sarkar</t>
  </si>
  <si>
    <t>SumitKumar Patil</t>
  </si>
  <si>
    <t>Iram Nazneen</t>
  </si>
  <si>
    <t>Amit Matale</t>
  </si>
  <si>
    <t>5 to swayang</t>
  </si>
  <si>
    <t>Yashwanth polisetti</t>
  </si>
  <si>
    <t>5 to shraddha</t>
  </si>
  <si>
    <t>Sheetal Vishwakarma</t>
  </si>
  <si>
    <t>4 to amit</t>
  </si>
  <si>
    <t>Zameer Shaik</t>
  </si>
  <si>
    <t>4 to Harshal</t>
  </si>
  <si>
    <t>Anushka Gaikwad</t>
  </si>
  <si>
    <t>4 to Aishwarya</t>
  </si>
  <si>
    <t>Indumathi M</t>
  </si>
  <si>
    <t>4 to sheetal</t>
  </si>
  <si>
    <t xml:space="preserve">Srinadh </t>
  </si>
  <si>
    <t>4 to shradha Tilloo</t>
  </si>
  <si>
    <t>Aishwarya Jahagirdar</t>
  </si>
  <si>
    <t>Prathyusha</t>
  </si>
  <si>
    <t>Shrutika shete</t>
  </si>
  <si>
    <t>Danduboyina Sindhu</t>
  </si>
  <si>
    <t>Shraddha Tilloo</t>
  </si>
  <si>
    <t>Shraddha Manusmare</t>
  </si>
  <si>
    <t>Harshal Tayade</t>
  </si>
  <si>
    <t>Balraj S Malage</t>
  </si>
  <si>
    <t>Omkar Shinde</t>
  </si>
  <si>
    <t>Manish Hariya</t>
  </si>
  <si>
    <t>Amancharla Vishnupriya</t>
  </si>
  <si>
    <t>TOTAL</t>
  </si>
  <si>
    <t>Total efforts for Quarter ( hours)</t>
  </si>
  <si>
    <t>Planned efforts (hours)</t>
  </si>
  <si>
    <t xml:space="preserve">Available bandwidth as on date (hours) </t>
  </si>
  <si>
    <t>Available bandwidth (%)  towards end of quarter</t>
  </si>
  <si>
    <t>Efforts in hrs.</t>
  </si>
  <si>
    <t>working hrs.</t>
  </si>
  <si>
    <t>Week days</t>
  </si>
  <si>
    <t>Utlization factor</t>
  </si>
  <si>
    <t>Workings days in Quarter</t>
  </si>
  <si>
    <t>Team members</t>
  </si>
  <si>
    <t>Remark</t>
  </si>
  <si>
    <t>Working days</t>
  </si>
  <si>
    <r>
      <t xml:space="preserve">Total </t>
    </r>
    <r>
      <rPr>
        <b/>
        <sz val="11"/>
        <rFont val="Work Sans"/>
      </rPr>
      <t>work</t>
    </r>
    <r>
      <rPr>
        <sz val="11"/>
        <rFont val="Work Sans"/>
      </rPr>
      <t xml:space="preserve"> Hrs. Available for PFS team</t>
    </r>
  </si>
  <si>
    <t>As per optimization PPT.</t>
  </si>
  <si>
    <t>Mandatory Hrs Hudle -Compulsary effort</t>
  </si>
  <si>
    <t>As per optimization PPT</t>
  </si>
  <si>
    <t>Mandatory Hrs Communication Compulsary effort</t>
  </si>
  <si>
    <r>
      <t xml:space="preserve">Total </t>
    </r>
    <r>
      <rPr>
        <b/>
        <sz val="11"/>
        <rFont val="Work Sans"/>
      </rPr>
      <t xml:space="preserve">Review/Estimation,unplanned activity  etc </t>
    </r>
    <r>
      <rPr>
        <sz val="11"/>
        <rFont val="Work Sans"/>
      </rPr>
      <t xml:space="preserve"> Hrs. Available for PFS team</t>
    </r>
  </si>
  <si>
    <t>23* 5*12.8*8.5</t>
  </si>
  <si>
    <t>Direct 1 hrs. cutting (As per earlier method)</t>
  </si>
  <si>
    <r>
      <t xml:space="preserve">Total </t>
    </r>
    <r>
      <rPr>
        <b/>
        <sz val="11"/>
        <rFont val="Work Sans"/>
      </rPr>
      <t>Review</t>
    </r>
    <r>
      <rPr>
        <sz val="11"/>
        <rFont val="Work Sans"/>
      </rPr>
      <t xml:space="preserve"> Hrs. Available for PFS team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</si>
</sst>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Work Sans"/>
    </font>
    <font>
      <i/>
      <sz val="10"/>
      <name val="Arial"/>
      <family val="2"/>
    </font>
    <font>
      <b/>
      <sz val="8"/>
      <color rgb="FFFFFFFF"/>
      <name val="Calibri"/>
      <family val="2"/>
    </font>
    <font>
      <b/>
      <i/>
      <sz val="8"/>
      <color rgb="FFFFFFFF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Work Sans"/>
    </font>
    <font>
      <b/>
      <sz val="11"/>
      <name val="Work Sans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164" fontId="5" fillId="4" borderId="4" xfId="3" applyFont="1" applyFill="1" applyBorder="1" applyAlignment="1">
      <alignment vertical="center" wrapText="1"/>
    </xf>
    <xf numFmtId="43" fontId="5" fillId="4" borderId="5" xfId="1" applyFont="1" applyFill="1" applyBorder="1" applyAlignment="1">
      <alignment vertical="center" wrapText="1"/>
    </xf>
    <xf numFmtId="9" fontId="5" fillId="4" borderId="6" xfId="2" applyFont="1" applyFill="1" applyBorder="1" applyAlignment="1">
      <alignment vertical="center" wrapText="1"/>
    </xf>
    <xf numFmtId="0" fontId="5" fillId="4" borderId="6" xfId="2" applyNumberFormat="1" applyFont="1" applyFill="1" applyBorder="1" applyAlignment="1">
      <alignment horizontal="center" vertical="center" wrapText="1"/>
    </xf>
    <xf numFmtId="164" fontId="6" fillId="4" borderId="4" xfId="3" applyFont="1" applyFill="1" applyBorder="1" applyAlignment="1">
      <alignment horizontal="center" vertical="center" wrapText="1"/>
    </xf>
    <xf numFmtId="164" fontId="5" fillId="4" borderId="4" xfId="3" applyFont="1" applyFill="1" applyBorder="1" applyAlignment="1">
      <alignment horizontal="left" vertical="center" wrapText="1"/>
    </xf>
    <xf numFmtId="43" fontId="7" fillId="5" borderId="1" xfId="1" applyFont="1" applyFill="1" applyBorder="1" applyAlignment="1">
      <alignment vertical="top"/>
    </xf>
    <xf numFmtId="9" fontId="8" fillId="6" borderId="1" xfId="1" applyNumberFormat="1" applyFont="1" applyFill="1" applyBorder="1" applyAlignment="1">
      <alignment vertical="center"/>
    </xf>
    <xf numFmtId="9" fontId="8" fillId="6" borderId="0" xfId="1" applyNumberFormat="1" applyFont="1" applyFill="1" applyBorder="1" applyAlignment="1">
      <alignment vertical="center"/>
    </xf>
    <xf numFmtId="43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2" fillId="3" borderId="0" xfId="0" applyFont="1" applyFill="1"/>
    <xf numFmtId="165" fontId="0" fillId="0" borderId="0" xfId="0" applyNumberFormat="1"/>
    <xf numFmtId="9" fontId="0" fillId="0" borderId="0" xfId="2" applyFont="1"/>
    <xf numFmtId="9" fontId="0" fillId="0" borderId="0" xfId="0" applyNumberFormat="1"/>
    <xf numFmtId="43" fontId="7" fillId="5" borderId="1" xfId="1" applyFont="1" applyFill="1" applyBorder="1" applyAlignment="1">
      <alignment vertical="center"/>
    </xf>
    <xf numFmtId="43" fontId="7" fillId="7" borderId="1" xfId="1" applyFont="1" applyFill="1" applyBorder="1" applyAlignment="1">
      <alignment vertical="top"/>
    </xf>
    <xf numFmtId="2" fontId="0" fillId="0" borderId="0" xfId="0" applyNumberFormat="1" applyAlignment="1">
      <alignment horizontal="left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1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left"/>
    </xf>
    <xf numFmtId="0" fontId="11" fillId="8" borderId="1" xfId="0" applyFont="1" applyFill="1" applyBorder="1"/>
    <xf numFmtId="0" fontId="11" fillId="0" borderId="2" xfId="0" applyFont="1" applyBorder="1"/>
    <xf numFmtId="165" fontId="12" fillId="8" borderId="1" xfId="0" applyNumberFormat="1" applyFont="1" applyFill="1" applyBorder="1"/>
    <xf numFmtId="1" fontId="11" fillId="0" borderId="3" xfId="0" applyNumberFormat="1" applyFont="1" applyBorder="1"/>
    <xf numFmtId="165" fontId="12" fillId="0" borderId="0" xfId="0" applyNumberFormat="1" applyFont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2" fontId="11" fillId="0" borderId="1" xfId="0" applyNumberFormat="1" applyFont="1" applyBorder="1"/>
    <xf numFmtId="1" fontId="11" fillId="0" borderId="1" xfId="0" applyNumberFormat="1" applyFont="1" applyBorder="1"/>
    <xf numFmtId="165" fontId="12" fillId="0" borderId="1" xfId="0" applyNumberFormat="1" applyFont="1" applyBorder="1"/>
    <xf numFmtId="0" fontId="0" fillId="8" borderId="0" xfId="0" applyFill="1"/>
    <xf numFmtId="165" fontId="2" fillId="8" borderId="0" xfId="0" applyNumberFormat="1" applyFont="1" applyFill="1"/>
    <xf numFmtId="165" fontId="2" fillId="0" borderId="0" xfId="0" applyNumberFormat="1" applyFont="1"/>
  </cellXfs>
  <cellStyles count="4">
    <cellStyle name="Comma" xfId="1" builtinId="3"/>
    <cellStyle name="Comma 2" xfId="3" xr:uid="{1261D599-8E91-4CD8-AD42-2E54065D8D84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ummins365-my.sharepoint.com/personal/tw196_cummins_com/Documents/MeghaRane/Cummins/CES/CES_Q2'25_Planning/PFS/Q2'25_DCR_Completion_dates.xlsx" TargetMode="External"/><Relationship Id="rId1" Type="http://schemas.openxmlformats.org/officeDocument/2006/relationships/externalLinkPath" Target="https://cummins365-my.sharepoint.com/personal/tw196_cummins_com/Documents/MeghaRane/Cummins/CES/CES_Q2'25_Planning/PFS/Q2'25_DCR_Completion_dat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01F\Downloads\PFS_Q3'26_Plan-with%2017%20and%206%20developers%20-Q3'26.xlsx" TargetMode="External"/><Relationship Id="rId1" Type="http://schemas.openxmlformats.org/officeDocument/2006/relationships/externalLinkPath" Target="file:///C:\Users\AM01F\Downloads\PFS_Q3'26_Plan-with%2017%20and%206%20developers%20-Q3'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mmins365-my.sharepoint.com/Users/meghar/Downloads/Hiring%20Requirements_Tracker%20(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w196\Downloads\SCRUM_M&amp;M_Nov'23.xlsm" TargetMode="External"/><Relationship Id="rId1" Type="http://schemas.openxmlformats.org/officeDocument/2006/relationships/externalLinkPath" Target="https://cummins365-my.sharepoint.com/Users/tw196/Downloads/SCRUM_M&amp;M_Nov'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mmins365-my.sharepoint.com/Users/kf258/Desktop/CES/Scrum%20IUDC%20UL2/2018/SCRUM_IUDC_UL2_Mar201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_url/Users/sandeepb/AppData/Local/Microsoft/Windows/Temporary%20Internet%20Files/Content.Outlook/KNCCDYPK/Proposal_Review_Chklis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mmins365-my.sharepoint.com/SVN/Trunk/Project%20Management/Project%20Execution%20&amp;%20Control/Reports/Risk%20Sheet/Risk_Management_Report_C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mmins365-my.sharepoint.com/Software/Data/OR0740/Branch/Process/PRCR%20Plan%20Tool/Current_PRCR_Status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es_controls\wwSCR\OBD\CES_SCR_DiagReqTracker_FaultAccom%20Working%20Copy\CES_SCR_DiagReqTracker_FaultAcco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mmins365-my.sharepoint.com/Users/kf258/Desktop/CES/AppGuide%20Work/Overall_AppGuide_Statu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itc.sharepoint.com/Powertrain%20Practise/Hitachi_VW_Inverter/KPIT_CustName_ProjectName_RLS_Verx.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mmins365-my.sharepoint.com/Megha_L-4591_Backup/PM_Volkswagen/Project%20Management/Cummins/CumminsOBD/ProjectDocuments/RLS/KPIT_Cummins_OBD%203%20Step%20Calibration%20Support%20UK_RLS_V3.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itc-my.sharepoint.com/Users/md537/Desktop/CES_Extension%202017-18%20Pricing%20template/KPIT_PBD_Cummins_CES%20Project%20extension_V%203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AR_Plan"/>
      <sheetName val="CSAR_WSR_Graph"/>
      <sheetName val="CSAR_WSR_Graph (Revised compl)"/>
      <sheetName val="DDP_Plan"/>
      <sheetName val="DDP_MS1-5_Plan"/>
      <sheetName val="DDP_WSR_Graph"/>
      <sheetName val="FTIS"/>
      <sheetName val="Sheet4"/>
      <sheetName val="Sheet6"/>
      <sheetName val="Revised planned end date"/>
      <sheetName val="Pivot table"/>
      <sheetName val="% details of Eval &amp; Impl"/>
      <sheetName val="Revised planned end date (2)"/>
      <sheetName val="Q2'25_DCR_Completion_d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S_HC-PFS_Team_Q1_31Jan-26"/>
      <sheetName val="CES_HC-Non-STLA_Tm_Q1_31Jan-26"/>
      <sheetName val="CES_HC-STLA_Team_Q1_31Jan-26"/>
      <sheetName val="Quaterly DCR_plan (STLA)"/>
      <sheetName val="Quaterly DCR_plan"/>
      <sheetName val="Revised_23developers)"/>
      <sheetName val="COmbined efforts of 24 peop (R)"/>
      <sheetName val="Revised_4"/>
      <sheetName val="COmbined efforts of 23 peop"/>
      <sheetName val="Revised_3"/>
      <sheetName val="Revised_2"/>
      <sheetName val="Revised_1"/>
      <sheetName val="Sheet1"/>
      <sheetName val="COmbined efforts of 24 people"/>
      <sheetName val="Non_STLA-FT_Q1'26"/>
      <sheetName val="STLA-FT_Q1'26"/>
      <sheetName val="CES_HC-Non-STLA_FT_Q1_31Jan-26"/>
      <sheetName val="CES_HC-STLA_FT_Q1_31Jan-26"/>
      <sheetName val="Drag details"/>
      <sheetName val="% details of Eval &amp; Impl"/>
      <sheetName val="Team_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ring req (Closed)"/>
      <sheetName val="Summary"/>
      <sheetName val="Hiring req"/>
      <sheetName val="IPFahren"/>
      <sheetName val="Detailed Timeline Report"/>
      <sheetName val="Lookup"/>
      <sheetName val="Dashboard ( Daily Report )"/>
      <sheetName val="Dashboard (Weekly Report)"/>
      <sheetName val="Skill and Grade Wise Panel List"/>
      <sheetName val="TAG SPOC"/>
      <sheetName val="Panel"/>
      <sheetName val="Approval Table"/>
      <sheetName val="Lookup Table"/>
      <sheetName val="Guidelines for priority"/>
      <sheetName val="Account Wise Panel List_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lines"/>
      <sheetName val="Tracker"/>
      <sheetName val="Efforts_Estimation_Q1'24"/>
      <sheetName val="LOB"/>
      <sheetName val="Resource_Sprint"/>
      <sheetName val="Resource Utilization"/>
      <sheetName val="Value Addition"/>
      <sheetName val="RASC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Tracker"/>
      <sheetName val="Sheet1"/>
      <sheetName val="DRB Comments"/>
      <sheetName val="Categories"/>
      <sheetName val="Leaves"/>
      <sheetName val="CSAT"/>
      <sheetName val="Values_Guidelines_KRA"/>
      <sheetName val="Feb'18 efforts"/>
      <sheetName val="Resource Utilization"/>
      <sheetName val="Log"/>
      <sheetName val="Value Addition"/>
      <sheetName val="RASCI"/>
      <sheetName val="InputsAnd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PS-Review-Checklist"/>
      <sheetName val="Sheet1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Risk_List"/>
      <sheetName val="Risk_Tracking"/>
      <sheetName val="Reporting"/>
      <sheetName val="References"/>
      <sheetName val="Guidelines"/>
      <sheetName val="Easy PRC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Planning"/>
      <sheetName val="Values"/>
      <sheetName val="App Guide Phase2 DCRs"/>
      <sheetName val="Dummy_for_Comparison1"/>
      <sheetName val="Dummy_for_Comparison2"/>
      <sheetName val="Dummy_for_Comparison3"/>
      <sheetName val="Dummy_for_Comparison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hanges"/>
      <sheetName val="Software Architecture"/>
      <sheetName val="Fault Accommodation Masks"/>
      <sheetName val="Tampering Detection"/>
      <sheetName val="Copy Of UIMBBitmaps2ATMBitmaps"/>
      <sheetName val="SECURITY CHECKLIST"/>
      <sheetName val="Master Diagnostic List 2.4.2.4"/>
      <sheetName val="Translated Requirements1.0.0.24"/>
      <sheetName val="Service Fault Codes 1.0.0.57"/>
      <sheetName val="UPDATE INSTRUCTIONS"/>
      <sheetName val="MDL Tracker (Euro-SCR Only)"/>
      <sheetName val="C2ST Errors In Build (Grundfos)"/>
      <sheetName val="C2ST Errors In Build (Bosch)"/>
      <sheetName val="Equinox_Rainbow_OBD_EU_Template"/>
      <sheetName val="Equinox_Rainbow_OBD_Ch_Template"/>
      <sheetName val="Avalon_FireFox_OBD_Template"/>
      <sheetName val="ClearQuest SCR PRCRs"/>
      <sheetName val="Equinox DEP Recommendations"/>
      <sheetName val="Excel2003 Colour Palette"/>
      <sheetName val="Named Range Manager"/>
      <sheetName val="C_UID_bs_SysFalseFault_X"/>
      <sheetName val="C_UIM_bs_UDB_xxxxxx_Enbl"/>
      <sheetName val="UIMB Bitmaps To ATM Bitmaps"/>
      <sheetName val="Master Diagnostic List 2.4.0.2"/>
      <sheetName val="Master Diagnostic List 2.3.0.1"/>
      <sheetName val="Service Fault Codes 1.0.0.52iws"/>
      <sheetName val="BoschSCRFaultStatMsg 2008-11-06"/>
      <sheetName val="DeNOx2.2 OBD 2008-11-07 (1)"/>
      <sheetName val="DeNOx2.2 OBD 2008-11-07 (2)"/>
      <sheetName val="Bosch Internal Relay Mapping"/>
      <sheetName val="Bosch OBD Issue Tracker"/>
      <sheetName val="Euro Certification Document"/>
      <sheetName val="SCR Tracker"/>
      <sheetName val="ErrorsInBuild"/>
      <sheetName val="Euro Legislation Requirements"/>
      <sheetName val="MDL_PRCRs"/>
      <sheetName val="ClearQuest SCR PRCRs in Working"/>
      <sheetName val="Extracted MS Review Dates"/>
      <sheetName val="2008 Calendar"/>
      <sheetName val="CD_CES_SCR_ATD"/>
      <sheetName val="CD_CES_SCR_Bosch"/>
      <sheetName val="Merged CES &amp; OBD 8-Step Process"/>
      <sheetName val="Legislation Applicability"/>
      <sheetName val="Emission Limit &amp; OBD Thresholds"/>
      <sheetName val="Sensor A2D Calcs"/>
      <sheetName val="DeNOx 2.2 DCU Sample Levels"/>
      <sheetName val="V_ATD_bs_SCR_SysIO1_Errs"/>
      <sheetName val="V_ATD_bs_SCR_SysIO2_Errs"/>
      <sheetName val="V_ATD_bs_SCR_SysPerf_Errs"/>
      <sheetName val="V_UIM_bs_DiagStatus"/>
      <sheetName val="temp1"/>
      <sheetName val="DeNOx2.2 OBD v11 2008-09-24"/>
      <sheetName val="DeNOx2.2 OBD v10 2008-07-28"/>
      <sheetName val="DeNOx2.2 Diagnostic List V9"/>
      <sheetName val="DeNOx2.2 Diagnostic List V2.5.3"/>
      <sheetName val="BoschSCRFaultStatMsg 2008-08-21"/>
      <sheetName val="BoschDFCToCumminsSysErr"/>
      <sheetName val="Master Diagnostic List 2.4.1.1"/>
      <sheetName val="Service Fault Codes 1.0.0.55"/>
      <sheetName val="temp new fault mask design sht"/>
      <sheetName val="Master Diagnostic List 2.2.1.10"/>
      <sheetName val="Translated Requirements1.0.0.21"/>
      <sheetName val="Service Fault Codes 1.0.0.51iws"/>
      <sheetName val="ClearQuest SCR_Working"/>
      <sheetName val="C_UIM_bs_UreaDoserB_xxxxxx_Enbl"/>
      <sheetName val="C_UID_bs_DosingSysFaultHandle_X"/>
      <sheetName val="temp"/>
      <sheetName val="Master Diagnostic List 2.2.1.3"/>
      <sheetName val="Service Fault Codes 1.0.0.49"/>
      <sheetName val="Bosch SCR Fault Status Message"/>
      <sheetName val="DeNOx2.2 OBD v11 2008-08-29"/>
      <sheetName val="Master Diagnostic List 2.3.1.0"/>
      <sheetName val="DeNOx2.2 OBD 2008-10-30 (1)"/>
      <sheetName val="DeNOx2.2 OBD 2008-10-30 (2)"/>
      <sheetName val="SCR Euro-Only Tracker"/>
      <sheetName val="Master Diagnostic List 2.4.0.7"/>
      <sheetName val="Service Fault Codes 1.0.0.54"/>
      <sheetName val="obsolete"/>
      <sheetName val="Master Diagnostic List 2.4.2.1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int Template - 2wks (2) copy"/>
      <sheetName val="Instructions"/>
      <sheetName val="Task Dashboard"/>
      <sheetName val="Sprint Task Tracker"/>
      <sheetName val="Productivity Metric"/>
      <sheetName val="Retrospective"/>
      <sheetName val="Sprint Template - PAR"/>
      <sheetName val="Sprint Template - 1wk"/>
      <sheetName val="Product Backlog"/>
      <sheetName val="Lookups"/>
      <sheetName val="Sprint # AppGuide Nov"/>
      <sheetName val="Sprint # AppGuide Dec"/>
      <sheetName val="Sprint # AppGuide Jan"/>
      <sheetName val="AppGuide List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s"/>
      <sheetName val="Resource Loading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Resource Loading"/>
      <sheetName val="Commercial Calc"/>
      <sheetName val="More details "/>
      <sheetName val="Travels"/>
      <sheetName val="Tools &amp; Other costs"/>
      <sheetName val="Resource plan graph"/>
      <sheetName val="References"/>
      <sheetName val="FTE Calculations"/>
      <sheetName val="Resource Loading (2)"/>
      <sheetName val="Revised Rate till Oct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_details"/>
      <sheetName val="Planning_Basedata"/>
      <sheetName val="Output_View_II"/>
      <sheetName val="Detailed_Output_Sheet"/>
      <sheetName val="Total_Project_Cost"/>
      <sheetName val="Output_Working"/>
      <sheetName val="Salary_Subcon_Cost"/>
      <sheetName val="Resourcewise_Revenue"/>
      <sheetName val="Customer_View_Lists"/>
      <sheetName val="Resource_planning_input"/>
      <sheetName val="Transition_Resource_Input"/>
      <sheetName val="Project_Milestones"/>
      <sheetName val="Operations_planning_input"/>
      <sheetName val="Revenue_Input"/>
      <sheetName val="Other_Cost_Input"/>
      <sheetName val="Travel_Cost_Input"/>
      <sheetName val="Notepad"/>
      <sheetName val="Risk_Assumptions"/>
      <sheetName val="File_Validation"/>
      <sheetName val="Salary_Matrix"/>
      <sheetName val="Exchange Rates"/>
      <sheetName val="Support Sheet"/>
      <sheetName val="KPIT_PBD_Cummins_CES Project 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27DA-B750-412E-8A8E-D8A34175F3DF}">
  <sheetPr>
    <tabColor rgb="FF002060"/>
  </sheetPr>
  <dimension ref="B1:X62"/>
  <sheetViews>
    <sheetView tabSelected="1" topLeftCell="B18" zoomScale="75" zoomScaleNormal="75" workbookViewId="0">
      <selection activeCell="L28" sqref="L28"/>
    </sheetView>
  </sheetViews>
  <sheetFormatPr defaultRowHeight="14.5" x14ac:dyDescent="0.35"/>
  <cols>
    <col min="2" max="2" width="79.1796875" bestFit="1" customWidth="1"/>
    <col min="4" max="4" width="10.453125" bestFit="1" customWidth="1"/>
    <col min="5" max="5" width="11" customWidth="1"/>
    <col min="8" max="8" width="9.453125" bestFit="1" customWidth="1"/>
    <col min="9" max="9" width="9.7265625" customWidth="1"/>
    <col min="10" max="10" width="12" style="22" customWidth="1"/>
    <col min="11" max="11" width="17.453125" customWidth="1"/>
    <col min="12" max="12" width="18.453125" bestFit="1" customWidth="1"/>
    <col min="15" max="15" width="15.453125" bestFit="1" customWidth="1"/>
  </cols>
  <sheetData>
    <row r="1" spans="2:24" ht="16" x14ac:dyDescent="0.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2" t="s">
        <v>6</v>
      </c>
      <c r="K1" s="3"/>
    </row>
    <row r="2" spans="2:24" ht="16" x14ac:dyDescent="0.5">
      <c r="D2" s="1"/>
      <c r="E2" s="1">
        <v>20</v>
      </c>
      <c r="F2" s="1">
        <v>22</v>
      </c>
      <c r="G2" s="1">
        <v>23</v>
      </c>
      <c r="H2" s="1">
        <f>SUM(E2:G2)-1</f>
        <v>64</v>
      </c>
      <c r="I2" s="1">
        <v>5</v>
      </c>
      <c r="J2" s="2">
        <v>1</v>
      </c>
      <c r="K2" s="4" t="s">
        <v>7</v>
      </c>
    </row>
    <row r="3" spans="2:24" ht="91" x14ac:dyDescent="0.35">
      <c r="E3" s="5" t="s">
        <v>8</v>
      </c>
      <c r="F3" s="6" t="s">
        <v>9</v>
      </c>
      <c r="G3" s="7"/>
      <c r="H3" s="8" t="s">
        <v>10</v>
      </c>
      <c r="I3" s="5" t="s">
        <v>11</v>
      </c>
      <c r="J3" s="9" t="s">
        <v>12</v>
      </c>
      <c r="K3" s="10" t="s">
        <v>13</v>
      </c>
      <c r="L3" s="10" t="s">
        <v>14</v>
      </c>
    </row>
    <row r="4" spans="2:24" x14ac:dyDescent="0.35">
      <c r="B4" s="11" t="s">
        <v>15</v>
      </c>
      <c r="C4" s="12" t="s">
        <v>16</v>
      </c>
      <c r="D4" s="13">
        <v>1</v>
      </c>
      <c r="E4" s="14">
        <f>(64)/5</f>
        <v>12.8</v>
      </c>
      <c r="F4" s="15" t="s">
        <v>17</v>
      </c>
      <c r="G4" s="15" t="s">
        <v>18</v>
      </c>
      <c r="H4" s="11"/>
      <c r="I4" s="11"/>
      <c r="J4" s="16"/>
    </row>
    <row r="5" spans="2:24" x14ac:dyDescent="0.35">
      <c r="B5" s="17" t="s">
        <v>19</v>
      </c>
      <c r="C5" s="18">
        <v>0</v>
      </c>
      <c r="D5" s="19">
        <f>$D$4-C5</f>
        <v>1</v>
      </c>
      <c r="E5" s="20">
        <f>$E$4*D5</f>
        <v>12.8</v>
      </c>
      <c r="F5">
        <v>0</v>
      </c>
      <c r="G5">
        <v>0</v>
      </c>
      <c r="H5" s="21">
        <f>(F5+G5)/ (7.75*5)</f>
        <v>0</v>
      </c>
      <c r="I5" s="20">
        <f t="shared" ref="I5:I27" si="0">E5-H5</f>
        <v>12.8</v>
      </c>
      <c r="J5" s="22">
        <f>$E$4*C5</f>
        <v>0</v>
      </c>
      <c r="K5" s="23">
        <f>I5*5*7.75</f>
        <v>496</v>
      </c>
      <c r="L5" s="23">
        <f t="shared" ref="L5:L27" si="1">K5-(4*7.75)</f>
        <v>465</v>
      </c>
    </row>
    <row r="6" spans="2:24" x14ac:dyDescent="0.35">
      <c r="B6" s="17" t="s">
        <v>20</v>
      </c>
      <c r="C6" s="18">
        <v>0</v>
      </c>
      <c r="D6" s="19">
        <f t="shared" ref="D6:D27" si="2">$D$4-C6</f>
        <v>1</v>
      </c>
      <c r="E6" s="20">
        <f t="shared" ref="E6:E27" si="3">$E$4*D6</f>
        <v>12.8</v>
      </c>
      <c r="F6">
        <v>0</v>
      </c>
      <c r="G6">
        <v>0</v>
      </c>
      <c r="H6" s="21">
        <f t="shared" ref="H6:H27" si="4">(F6+G6)/ (7.75*5)</f>
        <v>0</v>
      </c>
      <c r="I6" s="20">
        <f t="shared" si="0"/>
        <v>12.8</v>
      </c>
      <c r="J6" s="22">
        <f t="shared" ref="J6:J27" si="5">$E$4*C6</f>
        <v>0</v>
      </c>
      <c r="K6" s="23">
        <f t="shared" ref="K6:K27" si="6">I6*5*7.75</f>
        <v>496</v>
      </c>
      <c r="L6" s="23">
        <f t="shared" si="1"/>
        <v>465</v>
      </c>
    </row>
    <row r="7" spans="2:24" x14ac:dyDescent="0.35">
      <c r="B7" s="17" t="s">
        <v>21</v>
      </c>
      <c r="C7" s="18">
        <v>0.6</v>
      </c>
      <c r="D7" s="19">
        <f>$D$4-C7</f>
        <v>0.4</v>
      </c>
      <c r="E7" s="20">
        <f t="shared" si="3"/>
        <v>5.120000000000001</v>
      </c>
      <c r="F7">
        <v>0</v>
      </c>
      <c r="G7">
        <v>0</v>
      </c>
      <c r="H7" s="21">
        <f t="shared" si="4"/>
        <v>0</v>
      </c>
      <c r="I7" s="20">
        <f t="shared" si="0"/>
        <v>5.120000000000001</v>
      </c>
      <c r="J7" s="22">
        <f>$E$4*C7</f>
        <v>7.68</v>
      </c>
      <c r="K7" s="23">
        <f t="shared" si="6"/>
        <v>198.40000000000003</v>
      </c>
      <c r="L7" s="23">
        <f t="shared" si="1"/>
        <v>167.40000000000003</v>
      </c>
      <c r="V7" s="24">
        <f>R8*S8*S11*R10</f>
        <v>12512</v>
      </c>
    </row>
    <row r="8" spans="2:24" x14ac:dyDescent="0.35">
      <c r="B8" s="17" t="s">
        <v>22</v>
      </c>
      <c r="C8" s="18">
        <v>0</v>
      </c>
      <c r="D8" s="19">
        <f t="shared" si="2"/>
        <v>1</v>
      </c>
      <c r="E8" s="20">
        <f t="shared" si="3"/>
        <v>12.8</v>
      </c>
      <c r="F8">
        <v>0</v>
      </c>
      <c r="G8">
        <v>0</v>
      </c>
      <c r="H8" s="21">
        <f t="shared" si="4"/>
        <v>0</v>
      </c>
      <c r="I8" s="20">
        <f t="shared" si="0"/>
        <v>12.8</v>
      </c>
      <c r="J8" s="22">
        <f t="shared" si="5"/>
        <v>0</v>
      </c>
      <c r="K8" s="23">
        <f t="shared" si="6"/>
        <v>496</v>
      </c>
      <c r="L8" s="23">
        <f t="shared" si="1"/>
        <v>465</v>
      </c>
      <c r="R8" s="25">
        <v>12.8</v>
      </c>
      <c r="S8" s="25">
        <v>23</v>
      </c>
      <c r="T8">
        <f>R8*S8</f>
        <v>294.40000000000003</v>
      </c>
      <c r="V8" s="24">
        <f>R8*S8*S10*R10</f>
        <v>11408.000000000002</v>
      </c>
      <c r="X8">
        <f>V8/T10</f>
        <v>496.00000000000006</v>
      </c>
    </row>
    <row r="9" spans="2:24" x14ac:dyDescent="0.35">
      <c r="B9" s="17" t="s">
        <v>23</v>
      </c>
      <c r="C9" s="18">
        <v>0.3</v>
      </c>
      <c r="D9" s="19">
        <f t="shared" si="2"/>
        <v>0.7</v>
      </c>
      <c r="E9" s="20">
        <f>$E$4*D9</f>
        <v>8.9599999999999991</v>
      </c>
      <c r="F9">
        <v>0</v>
      </c>
      <c r="G9">
        <v>0</v>
      </c>
      <c r="H9" s="21">
        <f t="shared" si="4"/>
        <v>0</v>
      </c>
      <c r="I9" s="20">
        <f t="shared" si="0"/>
        <v>8.9599999999999991</v>
      </c>
      <c r="J9" s="22">
        <f t="shared" si="5"/>
        <v>3.84</v>
      </c>
      <c r="K9" s="23">
        <f t="shared" si="6"/>
        <v>347.2</v>
      </c>
      <c r="L9" s="23">
        <f t="shared" si="1"/>
        <v>316.2</v>
      </c>
      <c r="N9">
        <v>60</v>
      </c>
      <c r="V9">
        <f>V7-V8</f>
        <v>1103.9999999999982</v>
      </c>
      <c r="W9" s="26">
        <f>V8-D44</f>
        <v>1289.5999999999985</v>
      </c>
      <c r="X9">
        <f>R10*S11</f>
        <v>42.5</v>
      </c>
    </row>
    <row r="10" spans="2:24" x14ac:dyDescent="0.35">
      <c r="B10" s="17" t="s">
        <v>24</v>
      </c>
      <c r="C10" s="18">
        <v>0.25</v>
      </c>
      <c r="D10" s="19">
        <f t="shared" si="2"/>
        <v>0.75</v>
      </c>
      <c r="E10" s="20">
        <f t="shared" si="3"/>
        <v>9.6000000000000014</v>
      </c>
      <c r="F10">
        <v>0</v>
      </c>
      <c r="G10">
        <v>0</v>
      </c>
      <c r="H10" s="21">
        <f t="shared" si="4"/>
        <v>0</v>
      </c>
      <c r="I10" s="20">
        <f t="shared" si="0"/>
        <v>9.6000000000000014</v>
      </c>
      <c r="J10" s="22">
        <f t="shared" si="5"/>
        <v>3.2</v>
      </c>
      <c r="K10" s="23">
        <f t="shared" si="6"/>
        <v>372.00000000000006</v>
      </c>
      <c r="L10" s="23">
        <f>K10-(4*7.75)</f>
        <v>341.00000000000006</v>
      </c>
      <c r="N10">
        <v>5</v>
      </c>
      <c r="O10" t="s">
        <v>25</v>
      </c>
      <c r="R10" s="25">
        <v>5</v>
      </c>
      <c r="S10" s="25">
        <v>7.75</v>
      </c>
      <c r="T10">
        <v>23</v>
      </c>
      <c r="U10">
        <f>R10*S10*T10</f>
        <v>891.25</v>
      </c>
      <c r="X10">
        <f>X8-X9</f>
        <v>453.50000000000006</v>
      </c>
    </row>
    <row r="11" spans="2:24" x14ac:dyDescent="0.35">
      <c r="B11" s="17" t="s">
        <v>26</v>
      </c>
      <c r="C11" s="18">
        <v>0</v>
      </c>
      <c r="D11" s="19">
        <f t="shared" si="2"/>
        <v>1</v>
      </c>
      <c r="E11" s="20">
        <f t="shared" si="3"/>
        <v>12.8</v>
      </c>
      <c r="F11">
        <v>0</v>
      </c>
      <c r="G11">
        <v>0</v>
      </c>
      <c r="H11" s="21">
        <f t="shared" si="4"/>
        <v>0</v>
      </c>
      <c r="I11" s="20">
        <f t="shared" si="0"/>
        <v>12.8</v>
      </c>
      <c r="J11" s="22">
        <f t="shared" si="5"/>
        <v>0</v>
      </c>
      <c r="K11" s="23">
        <f t="shared" si="6"/>
        <v>496</v>
      </c>
      <c r="L11" s="23">
        <f t="shared" si="1"/>
        <v>465</v>
      </c>
      <c r="N11">
        <v>5</v>
      </c>
      <c r="O11" t="s">
        <v>27</v>
      </c>
      <c r="S11">
        <v>8.5</v>
      </c>
    </row>
    <row r="12" spans="2:24" x14ac:dyDescent="0.35">
      <c r="B12" s="17" t="s">
        <v>28</v>
      </c>
      <c r="C12" s="18">
        <v>0.25</v>
      </c>
      <c r="D12" s="19">
        <f t="shared" si="2"/>
        <v>0.75</v>
      </c>
      <c r="E12" s="20">
        <f t="shared" si="3"/>
        <v>9.6000000000000014</v>
      </c>
      <c r="F12">
        <v>0</v>
      </c>
      <c r="G12">
        <v>0</v>
      </c>
      <c r="H12" s="21">
        <f t="shared" si="4"/>
        <v>0</v>
      </c>
      <c r="I12" s="20">
        <f t="shared" si="0"/>
        <v>9.6000000000000014</v>
      </c>
      <c r="J12" s="22">
        <f t="shared" si="5"/>
        <v>3.2</v>
      </c>
      <c r="K12" s="23">
        <f t="shared" si="6"/>
        <v>372.00000000000006</v>
      </c>
      <c r="L12" s="23">
        <f t="shared" si="1"/>
        <v>341.00000000000006</v>
      </c>
      <c r="N12">
        <v>4</v>
      </c>
      <c r="O12" t="s">
        <v>29</v>
      </c>
      <c r="U12" s="27">
        <v>1</v>
      </c>
      <c r="X12">
        <f>X10*T10</f>
        <v>10430.500000000002</v>
      </c>
    </row>
    <row r="13" spans="2:24" x14ac:dyDescent="0.35">
      <c r="B13" s="17" t="s">
        <v>30</v>
      </c>
      <c r="C13" s="18">
        <v>0</v>
      </c>
      <c r="D13" s="19">
        <f t="shared" si="2"/>
        <v>1</v>
      </c>
      <c r="E13" s="20">
        <f t="shared" si="3"/>
        <v>12.8</v>
      </c>
      <c r="F13">
        <v>0</v>
      </c>
      <c r="G13">
        <v>0</v>
      </c>
      <c r="H13" s="21">
        <f t="shared" si="4"/>
        <v>0</v>
      </c>
      <c r="I13" s="20">
        <f t="shared" si="0"/>
        <v>12.8</v>
      </c>
      <c r="J13" s="22">
        <f t="shared" si="5"/>
        <v>0</v>
      </c>
      <c r="K13" s="23">
        <f t="shared" si="6"/>
        <v>496</v>
      </c>
      <c r="L13" s="23">
        <f t="shared" si="1"/>
        <v>465</v>
      </c>
      <c r="N13">
        <v>4</v>
      </c>
      <c r="O13" t="s">
        <v>31</v>
      </c>
      <c r="R13">
        <v>60</v>
      </c>
      <c r="S13">
        <f>S10*R13%</f>
        <v>4.6499999999999995</v>
      </c>
      <c r="T13">
        <f>S10-S13</f>
        <v>3.1000000000000005</v>
      </c>
      <c r="U13" s="27">
        <f>U10/D44</f>
        <v>8.808210784313722E-2</v>
      </c>
      <c r="V13" s="28">
        <f>U12-U13</f>
        <v>0.91191789215686281</v>
      </c>
    </row>
    <row r="14" spans="2:24" x14ac:dyDescent="0.35">
      <c r="B14" s="17" t="s">
        <v>32</v>
      </c>
      <c r="C14" s="18">
        <v>0</v>
      </c>
      <c r="D14" s="19">
        <f t="shared" si="2"/>
        <v>1</v>
      </c>
      <c r="E14" s="20">
        <f t="shared" si="3"/>
        <v>12.8</v>
      </c>
      <c r="F14">
        <v>0</v>
      </c>
      <c r="G14">
        <v>0</v>
      </c>
      <c r="H14" s="21">
        <f t="shared" si="4"/>
        <v>0</v>
      </c>
      <c r="I14" s="20">
        <f t="shared" si="0"/>
        <v>12.8</v>
      </c>
      <c r="J14" s="22">
        <f t="shared" si="5"/>
        <v>0</v>
      </c>
      <c r="K14" s="23">
        <f t="shared" si="6"/>
        <v>496</v>
      </c>
      <c r="L14" s="23">
        <f t="shared" si="1"/>
        <v>465</v>
      </c>
      <c r="N14">
        <v>4</v>
      </c>
      <c r="O14" t="s">
        <v>33</v>
      </c>
      <c r="R14">
        <v>30</v>
      </c>
      <c r="S14">
        <f>S10*R14%</f>
        <v>2.3249999999999997</v>
      </c>
      <c r="T14">
        <f>S10-S14</f>
        <v>5.4250000000000007</v>
      </c>
    </row>
    <row r="15" spans="2:24" x14ac:dyDescent="0.35">
      <c r="B15" s="17" t="s">
        <v>34</v>
      </c>
      <c r="C15" s="18">
        <v>0</v>
      </c>
      <c r="D15" s="19">
        <f t="shared" si="2"/>
        <v>1</v>
      </c>
      <c r="E15" s="20">
        <f t="shared" si="3"/>
        <v>12.8</v>
      </c>
      <c r="F15">
        <v>0</v>
      </c>
      <c r="G15">
        <v>0</v>
      </c>
      <c r="H15" s="21">
        <f t="shared" si="4"/>
        <v>0</v>
      </c>
      <c r="I15" s="20">
        <f t="shared" si="0"/>
        <v>12.8</v>
      </c>
      <c r="J15" s="22">
        <f t="shared" si="5"/>
        <v>0</v>
      </c>
      <c r="K15" s="23">
        <f t="shared" si="6"/>
        <v>496</v>
      </c>
      <c r="L15" s="23">
        <f t="shared" si="1"/>
        <v>465</v>
      </c>
      <c r="N15">
        <v>4</v>
      </c>
      <c r="O15" t="s">
        <v>35</v>
      </c>
      <c r="R15">
        <v>25</v>
      </c>
      <c r="S15">
        <f>S10*R15%</f>
        <v>1.9375</v>
      </c>
      <c r="T15">
        <f>S10-S15</f>
        <v>5.8125</v>
      </c>
      <c r="U15">
        <f>D44*V13</f>
        <v>9227.1500000000033</v>
      </c>
    </row>
    <row r="16" spans="2:24" x14ac:dyDescent="0.35">
      <c r="B16" s="17" t="s">
        <v>36</v>
      </c>
      <c r="C16" s="18">
        <v>0</v>
      </c>
      <c r="D16" s="19">
        <f t="shared" si="2"/>
        <v>1</v>
      </c>
      <c r="E16" s="20">
        <f t="shared" si="3"/>
        <v>12.8</v>
      </c>
      <c r="F16">
        <v>0</v>
      </c>
      <c r="G16">
        <v>0</v>
      </c>
      <c r="H16" s="21">
        <f t="shared" si="4"/>
        <v>0</v>
      </c>
      <c r="I16" s="20">
        <f t="shared" si="0"/>
        <v>12.8</v>
      </c>
      <c r="J16" s="22">
        <f t="shared" si="5"/>
        <v>0</v>
      </c>
      <c r="K16" s="23">
        <f t="shared" si="6"/>
        <v>496</v>
      </c>
      <c r="L16" s="23">
        <f t="shared" si="1"/>
        <v>465</v>
      </c>
      <c r="N16">
        <v>4</v>
      </c>
      <c r="O16" t="s">
        <v>37</v>
      </c>
      <c r="R16">
        <v>15</v>
      </c>
      <c r="S16">
        <f>S10*R16%</f>
        <v>1.1624999999999999</v>
      </c>
      <c r="T16">
        <f>S10-S16</f>
        <v>6.5875000000000004</v>
      </c>
    </row>
    <row r="17" spans="2:20" x14ac:dyDescent="0.35">
      <c r="B17" s="29" t="s">
        <v>38</v>
      </c>
      <c r="C17" s="18">
        <v>0.25</v>
      </c>
      <c r="D17" s="19">
        <f t="shared" si="2"/>
        <v>0.75</v>
      </c>
      <c r="E17" s="20">
        <f t="shared" si="3"/>
        <v>9.6000000000000014</v>
      </c>
      <c r="F17">
        <v>0</v>
      </c>
      <c r="G17">
        <v>0</v>
      </c>
      <c r="H17" s="21">
        <f t="shared" si="4"/>
        <v>0</v>
      </c>
      <c r="I17" s="20">
        <f t="shared" si="0"/>
        <v>9.6000000000000014</v>
      </c>
      <c r="J17" s="22">
        <f t="shared" si="5"/>
        <v>3.2</v>
      </c>
      <c r="K17" s="23">
        <f t="shared" si="6"/>
        <v>372.00000000000006</v>
      </c>
      <c r="L17" s="23">
        <f t="shared" si="1"/>
        <v>341.00000000000006</v>
      </c>
      <c r="S17">
        <v>0.5</v>
      </c>
    </row>
    <row r="18" spans="2:20" x14ac:dyDescent="0.35">
      <c r="B18" s="17" t="s">
        <v>39</v>
      </c>
      <c r="C18" s="18">
        <v>0</v>
      </c>
      <c r="D18" s="19">
        <f t="shared" si="2"/>
        <v>1</v>
      </c>
      <c r="E18" s="20">
        <f t="shared" si="3"/>
        <v>12.8</v>
      </c>
      <c r="F18">
        <v>0</v>
      </c>
      <c r="G18">
        <v>0</v>
      </c>
      <c r="H18" s="21">
        <f t="shared" si="4"/>
        <v>0</v>
      </c>
      <c r="I18" s="20">
        <f t="shared" si="0"/>
        <v>12.8</v>
      </c>
      <c r="J18" s="22">
        <f t="shared" si="5"/>
        <v>0</v>
      </c>
      <c r="K18" s="23">
        <f t="shared" si="6"/>
        <v>496</v>
      </c>
      <c r="L18" s="23">
        <f t="shared" si="1"/>
        <v>465</v>
      </c>
      <c r="S18">
        <v>0.25</v>
      </c>
    </row>
    <row r="19" spans="2:20" x14ac:dyDescent="0.35">
      <c r="B19" s="17" t="s">
        <v>40</v>
      </c>
      <c r="C19" s="18">
        <v>0</v>
      </c>
      <c r="D19" s="19">
        <f t="shared" si="2"/>
        <v>1</v>
      </c>
      <c r="E19" s="20">
        <f t="shared" si="3"/>
        <v>12.8</v>
      </c>
      <c r="F19">
        <v>0</v>
      </c>
      <c r="G19">
        <v>0</v>
      </c>
      <c r="H19" s="21">
        <f t="shared" si="4"/>
        <v>0</v>
      </c>
      <c r="I19" s="20">
        <f t="shared" si="0"/>
        <v>12.8</v>
      </c>
      <c r="J19" s="22">
        <f t="shared" si="5"/>
        <v>0</v>
      </c>
      <c r="K19" s="23">
        <f t="shared" si="6"/>
        <v>496</v>
      </c>
      <c r="L19" s="23">
        <f t="shared" si="1"/>
        <v>465</v>
      </c>
      <c r="T19">
        <f>SUM(T13,S13,S17,S18)</f>
        <v>8.5</v>
      </c>
    </row>
    <row r="20" spans="2:20" x14ac:dyDescent="0.35">
      <c r="B20" s="17" t="s">
        <v>41</v>
      </c>
      <c r="C20" s="18">
        <v>0</v>
      </c>
      <c r="D20" s="19">
        <f t="shared" si="2"/>
        <v>1</v>
      </c>
      <c r="E20" s="20">
        <f t="shared" si="3"/>
        <v>12.8</v>
      </c>
      <c r="F20">
        <v>0</v>
      </c>
      <c r="G20">
        <v>0</v>
      </c>
      <c r="H20" s="21">
        <f t="shared" si="4"/>
        <v>0</v>
      </c>
      <c r="I20" s="20">
        <f t="shared" si="0"/>
        <v>12.8</v>
      </c>
      <c r="J20" s="22">
        <f t="shared" si="5"/>
        <v>0</v>
      </c>
      <c r="K20" s="23">
        <f>I20*5*7.75</f>
        <v>496</v>
      </c>
      <c r="L20" s="23">
        <f t="shared" si="1"/>
        <v>465</v>
      </c>
      <c r="T20">
        <f>SUM(T14,S14,S17,S18)</f>
        <v>8.5</v>
      </c>
    </row>
    <row r="21" spans="2:20" x14ac:dyDescent="0.35">
      <c r="B21" s="17" t="s">
        <v>42</v>
      </c>
      <c r="C21" s="18">
        <v>0.2</v>
      </c>
      <c r="D21" s="19">
        <f>$D$4-C21</f>
        <v>0.8</v>
      </c>
      <c r="E21" s="20">
        <f>$E$4*D21</f>
        <v>10.240000000000002</v>
      </c>
      <c r="F21">
        <v>0</v>
      </c>
      <c r="G21">
        <v>0</v>
      </c>
      <c r="H21" s="21">
        <f>(F21+G21)/ (7.75*5)</f>
        <v>0</v>
      </c>
      <c r="I21" s="20">
        <f>E21-H21</f>
        <v>10.240000000000002</v>
      </c>
      <c r="J21" s="22">
        <f>$E$4*C21</f>
        <v>2.5600000000000005</v>
      </c>
      <c r="K21" s="23">
        <f t="shared" si="6"/>
        <v>396.80000000000007</v>
      </c>
      <c r="L21" s="23">
        <f t="shared" si="1"/>
        <v>365.80000000000007</v>
      </c>
      <c r="T21">
        <f>SUM(T15,S15,S17,S18)</f>
        <v>8.5</v>
      </c>
    </row>
    <row r="22" spans="2:20" x14ac:dyDescent="0.35">
      <c r="B22" s="30" t="s">
        <v>43</v>
      </c>
      <c r="C22" s="18">
        <v>0.3</v>
      </c>
      <c r="D22" s="19">
        <f t="shared" si="2"/>
        <v>0.7</v>
      </c>
      <c r="E22" s="20">
        <f t="shared" si="3"/>
        <v>8.9599999999999991</v>
      </c>
      <c r="F22">
        <v>0</v>
      </c>
      <c r="G22">
        <v>0</v>
      </c>
      <c r="H22" s="21">
        <f t="shared" si="4"/>
        <v>0</v>
      </c>
      <c r="I22" s="20">
        <f t="shared" si="0"/>
        <v>8.9599999999999991</v>
      </c>
      <c r="J22" s="22">
        <f t="shared" si="5"/>
        <v>3.84</v>
      </c>
      <c r="K22" s="23">
        <f t="shared" si="6"/>
        <v>347.2</v>
      </c>
      <c r="L22" s="23">
        <f t="shared" si="1"/>
        <v>316.2</v>
      </c>
      <c r="T22">
        <f>SUM(T16,S16,S17,S18)</f>
        <v>8.5</v>
      </c>
    </row>
    <row r="23" spans="2:20" x14ac:dyDescent="0.35">
      <c r="B23" s="30" t="s">
        <v>44</v>
      </c>
      <c r="C23" s="18">
        <v>0.3</v>
      </c>
      <c r="D23" s="19">
        <f t="shared" si="2"/>
        <v>0.7</v>
      </c>
      <c r="E23" s="20">
        <f t="shared" si="3"/>
        <v>8.9599999999999991</v>
      </c>
      <c r="F23">
        <v>0</v>
      </c>
      <c r="G23">
        <v>0</v>
      </c>
      <c r="H23" s="21">
        <f t="shared" si="4"/>
        <v>0</v>
      </c>
      <c r="I23" s="20">
        <f t="shared" si="0"/>
        <v>8.9599999999999991</v>
      </c>
      <c r="J23" s="22">
        <f t="shared" si="5"/>
        <v>3.84</v>
      </c>
      <c r="K23" s="23">
        <f t="shared" si="6"/>
        <v>347.2</v>
      </c>
      <c r="L23" s="23">
        <f t="shared" si="1"/>
        <v>316.2</v>
      </c>
    </row>
    <row r="24" spans="2:20" x14ac:dyDescent="0.35">
      <c r="B24" s="30" t="s">
        <v>45</v>
      </c>
      <c r="C24" s="18">
        <v>0</v>
      </c>
      <c r="D24" s="19">
        <f t="shared" si="2"/>
        <v>1</v>
      </c>
      <c r="E24" s="20">
        <f t="shared" si="3"/>
        <v>12.8</v>
      </c>
      <c r="F24">
        <v>0</v>
      </c>
      <c r="G24">
        <v>0</v>
      </c>
      <c r="H24" s="21">
        <f t="shared" si="4"/>
        <v>0</v>
      </c>
      <c r="I24" s="20">
        <f t="shared" si="0"/>
        <v>12.8</v>
      </c>
      <c r="J24" s="22">
        <f t="shared" si="5"/>
        <v>0</v>
      </c>
      <c r="K24" s="23">
        <f t="shared" si="6"/>
        <v>496</v>
      </c>
      <c r="L24" s="23">
        <f t="shared" si="1"/>
        <v>465</v>
      </c>
    </row>
    <row r="25" spans="2:20" x14ac:dyDescent="0.35">
      <c r="B25" s="30" t="s">
        <v>46</v>
      </c>
      <c r="C25" s="18">
        <v>0.15</v>
      </c>
      <c r="D25" s="19">
        <f t="shared" si="2"/>
        <v>0.85</v>
      </c>
      <c r="E25" s="20">
        <f t="shared" si="3"/>
        <v>10.88</v>
      </c>
      <c r="F25">
        <v>0</v>
      </c>
      <c r="G25">
        <v>0</v>
      </c>
      <c r="H25" s="21">
        <f t="shared" si="4"/>
        <v>0</v>
      </c>
      <c r="I25" s="20">
        <f t="shared" si="0"/>
        <v>10.88</v>
      </c>
      <c r="J25" s="22">
        <f t="shared" si="5"/>
        <v>1.92</v>
      </c>
      <c r="K25" s="23">
        <f t="shared" si="6"/>
        <v>421.6</v>
      </c>
      <c r="L25" s="23">
        <f t="shared" si="1"/>
        <v>390.6</v>
      </c>
    </row>
    <row r="26" spans="2:20" x14ac:dyDescent="0.35">
      <c r="B26" s="30" t="s">
        <v>47</v>
      </c>
      <c r="C26" s="18">
        <v>0</v>
      </c>
      <c r="D26" s="19">
        <f t="shared" si="2"/>
        <v>1</v>
      </c>
      <c r="E26" s="20">
        <f t="shared" si="3"/>
        <v>12.8</v>
      </c>
      <c r="F26">
        <v>0</v>
      </c>
      <c r="G26">
        <v>0</v>
      </c>
      <c r="H26" s="21">
        <f t="shared" si="4"/>
        <v>0</v>
      </c>
      <c r="I26" s="20">
        <f t="shared" si="0"/>
        <v>12.8</v>
      </c>
      <c r="J26" s="22">
        <f t="shared" si="5"/>
        <v>0</v>
      </c>
      <c r="K26" s="23">
        <f t="shared" si="6"/>
        <v>496</v>
      </c>
      <c r="L26" s="23">
        <f t="shared" si="1"/>
        <v>465</v>
      </c>
    </row>
    <row r="27" spans="2:20" x14ac:dyDescent="0.35">
      <c r="B27" s="30" t="s">
        <v>48</v>
      </c>
      <c r="C27" s="18">
        <v>0</v>
      </c>
      <c r="D27" s="19">
        <f t="shared" si="2"/>
        <v>1</v>
      </c>
      <c r="E27" s="20">
        <f t="shared" si="3"/>
        <v>12.8</v>
      </c>
      <c r="F27">
        <v>0</v>
      </c>
      <c r="G27">
        <v>0</v>
      </c>
      <c r="H27" s="21">
        <f t="shared" si="4"/>
        <v>0</v>
      </c>
      <c r="I27" s="20">
        <f t="shared" si="0"/>
        <v>12.8</v>
      </c>
      <c r="J27" s="22">
        <f t="shared" si="5"/>
        <v>0</v>
      </c>
      <c r="K27" s="23">
        <f t="shared" si="6"/>
        <v>496</v>
      </c>
      <c r="L27" s="23">
        <f t="shared" si="1"/>
        <v>465</v>
      </c>
    </row>
    <row r="28" spans="2:20" x14ac:dyDescent="0.35">
      <c r="L28">
        <f>23*4*7.75</f>
        <v>713</v>
      </c>
    </row>
    <row r="29" spans="2:20" x14ac:dyDescent="0.35">
      <c r="L29" s="23">
        <f>SUM(L5:L28)</f>
        <v>10118.4</v>
      </c>
    </row>
    <row r="30" spans="2:20" x14ac:dyDescent="0.35">
      <c r="B30" t="s">
        <v>49</v>
      </c>
      <c r="E30" s="21">
        <f>SUM(E5:E29)</f>
        <v>261.12000000000006</v>
      </c>
      <c r="F30" s="21">
        <f t="shared" ref="F30:J30" si="7">SUM(F5:F29)</f>
        <v>0</v>
      </c>
      <c r="G30" s="21">
        <f t="shared" si="7"/>
        <v>0</v>
      </c>
      <c r="H30" s="21">
        <f t="shared" si="7"/>
        <v>0</v>
      </c>
      <c r="I30" s="21">
        <f t="shared" si="7"/>
        <v>261.12000000000006</v>
      </c>
      <c r="J30" s="31">
        <f t="shared" si="7"/>
        <v>33.28</v>
      </c>
    </row>
    <row r="31" spans="2:20" x14ac:dyDescent="0.35">
      <c r="E31" s="20">
        <f>SUM(E22:E27)</f>
        <v>67.2</v>
      </c>
      <c r="J31" s="22">
        <f>SUM(J22:J27)</f>
        <v>9.6</v>
      </c>
      <c r="K31" s="20">
        <f>SUM(E31,J31)</f>
        <v>76.8</v>
      </c>
    </row>
    <row r="32" spans="2:20" x14ac:dyDescent="0.35">
      <c r="E32" s="20">
        <f>SUM(E5:E21)</f>
        <v>193.92000000000004</v>
      </c>
      <c r="J32" s="22">
        <f>SUM(J5:J21)</f>
        <v>23.68</v>
      </c>
      <c r="K32" s="20">
        <f>SUM(E32,J32)</f>
        <v>217.60000000000005</v>
      </c>
    </row>
    <row r="34" spans="2:13" x14ac:dyDescent="0.35">
      <c r="B34" s="32" t="s">
        <v>50</v>
      </c>
      <c r="E34" s="21">
        <f>(E30*7.5*5)*0.95</f>
        <v>9302.4000000000033</v>
      </c>
      <c r="F34">
        <f>(E30*7.5*5)*1</f>
        <v>9792.0000000000036</v>
      </c>
      <c r="G34" s="21">
        <f>(E30*7.75*5)*0.95</f>
        <v>9612.4800000000032</v>
      </c>
      <c r="H34">
        <f>(E30*7.75*5)*1</f>
        <v>10118.400000000003</v>
      </c>
    </row>
    <row r="35" spans="2:13" x14ac:dyDescent="0.35">
      <c r="B35" s="32" t="s">
        <v>51</v>
      </c>
      <c r="E35" s="21">
        <f>E34-E36</f>
        <v>0</v>
      </c>
      <c r="F35">
        <f>H30*7.5*5</f>
        <v>0</v>
      </c>
      <c r="G35" s="21">
        <f>G34-G36</f>
        <v>0</v>
      </c>
      <c r="H35">
        <f>H30*7.75*5</f>
        <v>0</v>
      </c>
    </row>
    <row r="36" spans="2:13" x14ac:dyDescent="0.35">
      <c r="B36" s="33" t="s">
        <v>52</v>
      </c>
      <c r="E36" s="21">
        <f>(I30*7.5*5)*0.95</f>
        <v>9302.4000000000033</v>
      </c>
      <c r="F36">
        <f>(I30*7.5*5)*0.95</f>
        <v>9302.4000000000033</v>
      </c>
      <c r="G36" s="21">
        <f>(I30*7.75*5)*0.95</f>
        <v>9612.4800000000032</v>
      </c>
      <c r="H36">
        <f>(I30*7.75*5)*0.95</f>
        <v>9612.4800000000032</v>
      </c>
    </row>
    <row r="37" spans="2:13" x14ac:dyDescent="0.35">
      <c r="B37" s="33" t="s">
        <v>53</v>
      </c>
      <c r="E37" s="27">
        <f>E36/E34</f>
        <v>1</v>
      </c>
      <c r="F37" s="27">
        <f>F36/F34</f>
        <v>0.95</v>
      </c>
      <c r="G37" s="27">
        <f t="shared" ref="G37:H37" si="8">G36/G34</f>
        <v>1</v>
      </c>
      <c r="H37" s="27">
        <f t="shared" si="8"/>
        <v>0.95</v>
      </c>
    </row>
    <row r="42" spans="2:13" ht="17.5" x14ac:dyDescent="0.55000000000000004">
      <c r="B42" s="34"/>
      <c r="C42" s="34"/>
      <c r="D42" s="35" t="s">
        <v>54</v>
      </c>
      <c r="E42" s="35" t="s">
        <v>55</v>
      </c>
      <c r="F42" s="36" t="s">
        <v>56</v>
      </c>
      <c r="G42" s="36" t="s">
        <v>57</v>
      </c>
      <c r="H42" s="36" t="s">
        <v>58</v>
      </c>
      <c r="I42" s="36" t="s">
        <v>59</v>
      </c>
      <c r="J42" s="37" t="s">
        <v>60</v>
      </c>
      <c r="K42" s="3" t="s">
        <v>61</v>
      </c>
    </row>
    <row r="43" spans="2:13" ht="17.5" x14ac:dyDescent="0.55000000000000004">
      <c r="B43" s="34"/>
      <c r="C43" s="34"/>
      <c r="D43" s="38"/>
      <c r="E43" s="39"/>
      <c r="F43" s="40"/>
      <c r="G43" s="41"/>
      <c r="H43" s="41"/>
      <c r="I43" s="41"/>
      <c r="J43" s="42"/>
      <c r="K43" s="3"/>
    </row>
    <row r="44" spans="2:13" ht="17.5" x14ac:dyDescent="0.55000000000000004">
      <c r="B44" s="43" t="s">
        <v>62</v>
      </c>
      <c r="C44" s="44"/>
      <c r="D44" s="45">
        <f>($E$30*E44*F44*G44)</f>
        <v>10118.400000000003</v>
      </c>
      <c r="E44" s="39">
        <v>7.75</v>
      </c>
      <c r="F44" s="39">
        <v>5</v>
      </c>
      <c r="G44" s="39">
        <v>1</v>
      </c>
      <c r="H44" s="39">
        <f>($H$2)</f>
        <v>64</v>
      </c>
      <c r="I44" s="39">
        <v>23</v>
      </c>
      <c r="J44" s="2" t="s">
        <v>63</v>
      </c>
      <c r="K44" s="46"/>
      <c r="L44">
        <f>E44*F44*I44</f>
        <v>891.25</v>
      </c>
      <c r="M44" s="26">
        <f>D44-L44</f>
        <v>9227.1500000000033</v>
      </c>
    </row>
    <row r="45" spans="2:13" ht="17.5" x14ac:dyDescent="0.55000000000000004">
      <c r="B45" s="38" t="s">
        <v>64</v>
      </c>
      <c r="C45" s="44"/>
      <c r="D45" s="38">
        <f>(I45*H45*G45*E45)</f>
        <v>368</v>
      </c>
      <c r="E45" s="39">
        <v>0.25</v>
      </c>
      <c r="F45" s="39">
        <v>5</v>
      </c>
      <c r="G45" s="39">
        <v>1</v>
      </c>
      <c r="H45" s="39">
        <f>($H$2)</f>
        <v>64</v>
      </c>
      <c r="I45" s="39">
        <v>23</v>
      </c>
      <c r="J45" s="2" t="s">
        <v>65</v>
      </c>
      <c r="K45" s="3"/>
    </row>
    <row r="46" spans="2:13" ht="17.5" x14ac:dyDescent="0.55000000000000004">
      <c r="B46" s="38" t="s">
        <v>66</v>
      </c>
      <c r="C46" s="44"/>
      <c r="D46" s="38">
        <f>(I46*H46*G46*E46)</f>
        <v>736</v>
      </c>
      <c r="E46" s="39">
        <v>0.5</v>
      </c>
      <c r="F46" s="39">
        <v>5</v>
      </c>
      <c r="G46" s="39">
        <v>1</v>
      </c>
      <c r="H46" s="39">
        <f>($H$2)</f>
        <v>64</v>
      </c>
      <c r="I46" s="39">
        <v>23</v>
      </c>
      <c r="J46" s="2" t="s">
        <v>65</v>
      </c>
      <c r="K46" s="3"/>
    </row>
    <row r="47" spans="2:13" ht="17.5" x14ac:dyDescent="0.55000000000000004">
      <c r="B47" s="38" t="s">
        <v>67</v>
      </c>
      <c r="C47" s="44"/>
      <c r="D47" s="35">
        <f>($J$30*E47*F47*G47)</f>
        <v>1289.6000000000001</v>
      </c>
      <c r="E47" s="39">
        <v>7.75</v>
      </c>
      <c r="F47" s="39">
        <v>5</v>
      </c>
      <c r="G47" s="39">
        <v>1</v>
      </c>
      <c r="H47" s="39">
        <f>($H$2)</f>
        <v>64</v>
      </c>
      <c r="I47" s="39">
        <v>23</v>
      </c>
      <c r="J47" s="2" t="s">
        <v>65</v>
      </c>
      <c r="K47" s="3"/>
    </row>
    <row r="48" spans="2:13" ht="17.5" x14ac:dyDescent="0.55000000000000004">
      <c r="B48" s="34" t="s">
        <v>68</v>
      </c>
      <c r="C48" s="34"/>
      <c r="D48" s="47">
        <f>SUM(D44:D47)</f>
        <v>12512.000000000004</v>
      </c>
      <c r="E48" s="41"/>
      <c r="F48" s="41"/>
      <c r="G48" s="41"/>
      <c r="H48" s="41"/>
      <c r="I48" s="41"/>
      <c r="J48" s="48"/>
      <c r="K48" s="3"/>
    </row>
    <row r="49" spans="2:14" ht="17.5" x14ac:dyDescent="0.55000000000000004">
      <c r="B49" s="34"/>
      <c r="C49" s="34"/>
      <c r="D49" s="34"/>
      <c r="E49" s="41"/>
      <c r="F49" s="41"/>
      <c r="G49" s="41"/>
      <c r="H49" s="41"/>
      <c r="I49" s="41"/>
      <c r="J49" s="49"/>
      <c r="K49" s="3"/>
    </row>
    <row r="50" spans="2:14" ht="17.5" x14ac:dyDescent="0.55000000000000004">
      <c r="B50" s="38" t="s">
        <v>62</v>
      </c>
      <c r="C50" s="44"/>
      <c r="D50" s="50">
        <f>($E$30*E50*F50*G50)</f>
        <v>9792.0000000000036</v>
      </c>
      <c r="E50" s="39">
        <v>7.5</v>
      </c>
      <c r="F50" s="39">
        <v>5</v>
      </c>
      <c r="G50" s="39">
        <v>1</v>
      </c>
      <c r="H50" s="39">
        <f>($H$2)</f>
        <v>64</v>
      </c>
      <c r="I50" s="39">
        <v>23</v>
      </c>
      <c r="J50" s="2" t="s">
        <v>69</v>
      </c>
      <c r="K50" s="51"/>
    </row>
    <row r="51" spans="2:14" ht="17.5" x14ac:dyDescent="0.55000000000000004">
      <c r="B51" s="38" t="s">
        <v>70</v>
      </c>
      <c r="C51" s="44"/>
      <c r="D51" s="38">
        <f>($J$30*E51*F51*G51)</f>
        <v>1248</v>
      </c>
      <c r="E51" s="39">
        <v>7.5</v>
      </c>
      <c r="F51" s="39">
        <v>5</v>
      </c>
      <c r="G51" s="39">
        <v>1</v>
      </c>
      <c r="H51" s="39">
        <f>($H$2)</f>
        <v>64</v>
      </c>
      <c r="I51" s="39">
        <v>23</v>
      </c>
      <c r="J51" s="2" t="s">
        <v>69</v>
      </c>
      <c r="K51" s="3"/>
    </row>
    <row r="55" spans="2:14" ht="17.5" x14ac:dyDescent="0.55000000000000004">
      <c r="B55" s="38" t="s">
        <v>62</v>
      </c>
      <c r="C55" s="44"/>
      <c r="D55" s="52">
        <f>($E$31*E55*F55*G55)</f>
        <v>2604.0000000000005</v>
      </c>
      <c r="E55" s="39">
        <v>7.75</v>
      </c>
      <c r="F55" s="39">
        <v>5</v>
      </c>
      <c r="G55" s="39">
        <v>1</v>
      </c>
      <c r="H55" s="39">
        <f>($H$2)</f>
        <v>64</v>
      </c>
      <c r="I55" s="39">
        <v>6</v>
      </c>
      <c r="J55" s="2" t="s">
        <v>63</v>
      </c>
      <c r="K55" s="46">
        <f>(D55-D56)</f>
        <v>2232.0000000000005</v>
      </c>
      <c r="L55">
        <f>E55*F55*I55</f>
        <v>232.5</v>
      </c>
      <c r="M55" s="26">
        <f>D55-L55</f>
        <v>2371.5000000000005</v>
      </c>
    </row>
    <row r="56" spans="2:14" ht="17.5" x14ac:dyDescent="0.55000000000000004">
      <c r="B56" s="38" t="s">
        <v>67</v>
      </c>
      <c r="C56" s="44"/>
      <c r="D56" s="35">
        <f>($J$31*E56*F56*G56)</f>
        <v>371.99999999999994</v>
      </c>
      <c r="E56" s="39">
        <v>7.75</v>
      </c>
      <c r="F56" s="39">
        <v>5</v>
      </c>
      <c r="G56" s="39">
        <v>1</v>
      </c>
      <c r="H56" s="39">
        <f>($H$2)</f>
        <v>64</v>
      </c>
      <c r="I56" s="39">
        <v>6</v>
      </c>
      <c r="J56" s="2" t="s">
        <v>65</v>
      </c>
      <c r="K56" s="3"/>
    </row>
    <row r="57" spans="2:14" ht="17.5" x14ac:dyDescent="0.55000000000000004">
      <c r="B57" s="38" t="s">
        <v>62</v>
      </c>
      <c r="C57" s="44"/>
      <c r="D57" s="52">
        <f>($E$32*E57*F57*G57)</f>
        <v>7514.4000000000015</v>
      </c>
      <c r="E57" s="39">
        <v>7.75</v>
      </c>
      <c r="F57" s="39">
        <v>5</v>
      </c>
      <c r="G57" s="39">
        <v>1</v>
      </c>
      <c r="H57" s="39">
        <f>($H$2)</f>
        <v>64</v>
      </c>
      <c r="I57" s="39">
        <v>17</v>
      </c>
      <c r="J57" s="2" t="s">
        <v>63</v>
      </c>
      <c r="K57" s="46">
        <f>(D53-D57)</f>
        <v>-7514.4000000000015</v>
      </c>
      <c r="L57">
        <f>E57*F57*I57</f>
        <v>658.75</v>
      </c>
      <c r="M57" s="26">
        <f>D57-L57</f>
        <v>6855.6500000000015</v>
      </c>
      <c r="N57">
        <f>D57*90%</f>
        <v>6762.9600000000019</v>
      </c>
    </row>
    <row r="58" spans="2:14" ht="17.5" x14ac:dyDescent="0.55000000000000004">
      <c r="B58" s="38" t="s">
        <v>67</v>
      </c>
      <c r="C58" s="44"/>
      <c r="D58" s="35">
        <f>($J$32*E58*F58*G58)</f>
        <v>917.6</v>
      </c>
      <c r="E58" s="39">
        <v>7.75</v>
      </c>
      <c r="F58" s="39">
        <v>5</v>
      </c>
      <c r="G58" s="39">
        <v>1</v>
      </c>
      <c r="H58" s="39">
        <f>($H$2)</f>
        <v>64</v>
      </c>
      <c r="I58" s="39">
        <v>17</v>
      </c>
      <c r="J58" s="2" t="s">
        <v>65</v>
      </c>
      <c r="K58" s="3"/>
    </row>
    <row r="59" spans="2:14" ht="17.5" x14ac:dyDescent="0.55000000000000004">
      <c r="B59" s="43" t="s">
        <v>62</v>
      </c>
      <c r="C59" s="53"/>
      <c r="D59" s="54">
        <f>SUM(D55:D58)</f>
        <v>11408.000000000002</v>
      </c>
      <c r="L59">
        <f>658/7514</f>
        <v>8.7569869576789985E-2</v>
      </c>
      <c r="N59" s="26">
        <f>D57-6762</f>
        <v>752.40000000000146</v>
      </c>
    </row>
    <row r="60" spans="2:14" ht="17.5" x14ac:dyDescent="0.55000000000000004">
      <c r="B60" s="38" t="s">
        <v>64</v>
      </c>
      <c r="C60" s="44"/>
      <c r="D60" s="38">
        <v>368</v>
      </c>
      <c r="E60" s="39">
        <v>0.25</v>
      </c>
      <c r="F60" s="39">
        <v>5</v>
      </c>
      <c r="G60" s="39">
        <v>1</v>
      </c>
      <c r="H60" s="39">
        <v>64</v>
      </c>
      <c r="I60" s="39">
        <v>23</v>
      </c>
      <c r="J60" s="2" t="s">
        <v>65</v>
      </c>
      <c r="K60" s="3"/>
    </row>
    <row r="61" spans="2:14" ht="17.5" x14ac:dyDescent="0.55000000000000004">
      <c r="B61" s="38" t="s">
        <v>66</v>
      </c>
      <c r="C61" s="44"/>
      <c r="D61" s="38">
        <v>736</v>
      </c>
      <c r="E61" s="39">
        <v>0.5</v>
      </c>
      <c r="F61" s="39">
        <v>5</v>
      </c>
      <c r="G61" s="39">
        <v>1</v>
      </c>
      <c r="H61" s="39">
        <v>64</v>
      </c>
      <c r="I61" s="39">
        <v>23</v>
      </c>
      <c r="J61" s="2" t="s">
        <v>65</v>
      </c>
      <c r="K61" s="3"/>
      <c r="N61" s="26">
        <f>N59/17</f>
        <v>44.258823529411849</v>
      </c>
    </row>
    <row r="62" spans="2:14" x14ac:dyDescent="0.35">
      <c r="D62" s="55">
        <f>SUM(D59:D61)</f>
        <v>12512.000000000002</v>
      </c>
      <c r="N62">
        <f>N61/7.75</f>
        <v>5.7108159392789482</v>
      </c>
    </row>
  </sheetData>
  <autoFilter ref="B4:J32" xr:uid="{093E0B1B-622F-46C7-BD6F-38C48373441E}"/>
  <mergeCells count="1">
    <mergeCell ref="F3:G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Revised_23developers)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Chitharenjan Nair</dc:creator>
  <cp:lastModifiedBy>Chitharenjan Nair</cp:lastModifiedBy>
  <dcterms:created xsi:type="dcterms:W3CDTF">2026-07-03T12:13:44Z</dcterms:created>
  <dcterms:modified xsi:type="dcterms:W3CDTF">2026-07-03T12:13:48Z</dcterms:modified>
</cp:coreProperties>
</file>